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2f23dde8628eee5/Aplicaciones Antigravity/Control de Gestion Web/src/data/COMGES 2026/"/>
    </mc:Choice>
  </mc:AlternateContent>
  <xr:revisionPtr revIDLastSave="57" documentId="13_ncr:1_{45BFBFB5-B951-423C-A785-9EC622F53716}" xr6:coauthVersionLast="47" xr6:coauthVersionMax="47" xr10:uidLastSave="{EE4BFE14-DF88-4DB8-AE93-D7066A925704}"/>
  <bookViews>
    <workbookView xWindow="-120" yWindow="-120" windowWidth="29040" windowHeight="15720" firstSheet="2" activeTab="3" xr2:uid="{00000000-000D-0000-FFFF-FFFF00000000}"/>
  </bookViews>
  <sheets>
    <sheet name="atributos CONSULTA" sheetId="31" r:id="rId1"/>
    <sheet name="6,2 NO GES ONCO" sheetId="44" r:id="rId2"/>
    <sheet name="6,1 CUMPLIMIENTO GES ONCO" sheetId="33" r:id="rId3"/>
    <sheet name="5,2 SUPERV ECPRI" sheetId="41" r:id="rId4"/>
    <sheet name="4,7 PROCED DISCIPLINARIOS" sheetId="37" state="hidden" r:id="rId5"/>
    <sheet name="4,6 IND AUSENTISMO" sheetId="36" r:id="rId6"/>
    <sheet name="4,5 GASTO PERSONAS NATURALES " sheetId="42" r:id="rId7"/>
    <sheet name="4,4 GESTION DE DESASTRES" sheetId="38" r:id="rId8"/>
    <sheet name="3,2 EG TRANSIT  GES" sheetId="29" state="hidden" r:id="rId9"/>
    <sheet name="3,1 CUMPLIMIENTO GES" sheetId="28" r:id="rId10"/>
    <sheet name="2,10 POT DONANTES" sheetId="40" r:id="rId11"/>
    <sheet name="2,8 PAC PD " sheetId="46" r:id="rId12"/>
    <sheet name="2,7 FAV EN IRC" sheetId="45" r:id="rId13"/>
    <sheet name="2.3 CESAREA" sheetId="25" r:id="rId14"/>
    <sheet name="1,15 CAMAS DISPONIBLES" sheetId="23" r:id="rId15"/>
    <sheet name="1,13 HODOM " sheetId="20" r:id="rId16"/>
    <sheet name="1,11 HOSP URG" sheetId="18" r:id="rId17"/>
    <sheet name="1,10 AT C2" sheetId="19" r:id="rId18"/>
    <sheet name="1,9 ABANDONO URG" sheetId="24" r:id="rId19"/>
    <sheet name="1,8 NSP CONTROL" sheetId="43" r:id="rId20"/>
    <sheet name="1,8 NSP CN" sheetId="17" r:id="rId21"/>
    <sheet name="1,7 ALTAS" sheetId="16" r:id="rId22"/>
    <sheet name="1,6 CN" sheetId="3" r:id="rId23"/>
    <sheet name="AT AMBULATORIA TODO POR MES" sheetId="32" r:id="rId24"/>
    <sheet name="1,2 SUSP CX" sheetId="8" r:id="rId25"/>
    <sheet name="1,1 AMB CMA" sheetId="5" r:id="rId26"/>
    <sheet name="resumen gonzalo" sheetId="47" r:id="rId27"/>
    <sheet name="LISTAS DE ESPERA" sheetId="13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xlnm._FilterDatabase" localSheetId="22" hidden="1">'1,6 CN'!$A$1:$AT$59</definedName>
    <definedName name="_xlnm._FilterDatabase" localSheetId="21" hidden="1">'1,7 ALTAS'!$A$1:$AS$57</definedName>
    <definedName name="_xlnm._FilterDatabase" localSheetId="20" hidden="1">'1,8 NSP CN'!$A$1:$AS$59</definedName>
    <definedName name="_xlnm._FilterDatabase" localSheetId="19" hidden="1">'1,8 NSP CONTROL'!$A$1:$AS$59</definedName>
    <definedName name="_xlnm._FilterDatabase" localSheetId="23" hidden="1">'AT AMBULATORIA TODO POR MES'!#REF!</definedName>
    <definedName name="_xlnm._FilterDatabase" localSheetId="0" hidden="1">'atributos CONSULTA'!$A$1:$A$56</definedName>
    <definedName name="_xlnm._FilterDatabase" localSheetId="27" hidden="1">'LISTAS DE ESPERA'!$A$1:$K$195</definedName>
    <definedName name="Descuento">[1]Hoja1!$A$1:$A$2</definedName>
    <definedName name="nomSubProceso">[2]!tdSubProceso[SubProceso]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41" l="1"/>
  <c r="F3" i="41"/>
  <c r="F4" i="41"/>
  <c r="F5" i="41"/>
  <c r="F6" i="41"/>
  <c r="F7" i="41"/>
  <c r="F8" i="41"/>
  <c r="F9" i="41"/>
  <c r="F10" i="41"/>
  <c r="F11" i="41"/>
  <c r="F12" i="41"/>
  <c r="F13" i="41"/>
  <c r="C14" i="41"/>
  <c r="F14" i="41" s="1"/>
  <c r="D14" i="41"/>
  <c r="S5" i="47"/>
  <c r="P5" i="47"/>
  <c r="Q5" i="47"/>
  <c r="R5" i="47"/>
  <c r="R19" i="47" s="1"/>
  <c r="R21" i="47"/>
  <c r="R20" i="47"/>
  <c r="J117" i="13"/>
  <c r="F14" i="23"/>
  <c r="K7" i="23"/>
  <c r="Q56" i="16"/>
  <c r="Q55" i="16"/>
  <c r="Q54" i="16"/>
  <c r="Q53" i="16"/>
  <c r="Q52" i="16"/>
  <c r="Q51" i="16"/>
  <c r="Q50" i="16"/>
  <c r="Q49" i="16"/>
  <c r="Q48" i="16"/>
  <c r="Q47" i="16"/>
  <c r="Q46" i="16"/>
  <c r="Q45" i="16"/>
  <c r="Q44" i="16"/>
  <c r="Q43" i="16"/>
  <c r="Q42" i="16"/>
  <c r="Q41" i="16"/>
  <c r="Q40" i="16"/>
  <c r="Q39" i="16"/>
  <c r="Q38" i="16"/>
  <c r="Q37" i="16"/>
  <c r="Q36" i="16"/>
  <c r="Q35" i="16"/>
  <c r="Q34" i="16"/>
  <c r="Q33" i="16"/>
  <c r="Q32" i="16"/>
  <c r="Q31" i="16"/>
  <c r="Q30" i="16"/>
  <c r="Q29" i="16"/>
  <c r="Q28" i="16"/>
  <c r="Q27" i="16"/>
  <c r="Q26" i="16"/>
  <c r="Q25" i="16"/>
  <c r="Q24" i="16"/>
  <c r="Q23" i="16"/>
  <c r="Q22" i="16"/>
  <c r="Q21" i="16"/>
  <c r="Q20" i="16"/>
  <c r="Q19" i="16"/>
  <c r="Q18" i="16"/>
  <c r="Q17" i="16"/>
  <c r="Q16" i="16"/>
  <c r="Q15" i="16"/>
  <c r="Q14" i="16"/>
  <c r="Q13" i="16"/>
  <c r="Q12" i="16"/>
  <c r="Q11" i="16"/>
  <c r="Q10" i="16"/>
  <c r="Q9" i="16"/>
  <c r="Q8" i="16"/>
  <c r="Q7" i="16"/>
  <c r="Q6" i="16"/>
  <c r="Q5" i="16"/>
  <c r="Q4" i="16"/>
  <c r="Q3" i="16"/>
  <c r="Q2" i="16"/>
  <c r="P31" i="13"/>
  <c r="P32" i="13"/>
  <c r="P33" i="13"/>
  <c r="P34" i="13"/>
  <c r="P35" i="13"/>
  <c r="P36" i="13"/>
  <c r="P37" i="13"/>
  <c r="P38" i="13"/>
  <c r="P39" i="13"/>
  <c r="P40" i="13"/>
  <c r="P41" i="13"/>
  <c r="P42" i="13"/>
  <c r="P43" i="13"/>
  <c r="P44" i="13"/>
  <c r="P45" i="13"/>
  <c r="P46" i="13"/>
  <c r="P47" i="13"/>
  <c r="P48" i="13"/>
  <c r="P49" i="13"/>
  <c r="P50" i="13"/>
  <c r="P51" i="13"/>
  <c r="P52" i="13"/>
  <c r="P53" i="13"/>
  <c r="P54" i="13"/>
  <c r="P55" i="13"/>
  <c r="P56" i="13"/>
  <c r="P57" i="13"/>
  <c r="P58" i="13"/>
  <c r="P59" i="13"/>
  <c r="P60" i="13"/>
  <c r="P61" i="13"/>
  <c r="P62" i="13"/>
  <c r="P63" i="13"/>
  <c r="P64" i="13"/>
  <c r="P65" i="13"/>
  <c r="P66" i="13"/>
  <c r="P5" i="13"/>
  <c r="P6" i="13"/>
  <c r="P7" i="13"/>
  <c r="P8" i="13"/>
  <c r="P9" i="13"/>
  <c r="P10" i="13"/>
  <c r="P11" i="13"/>
  <c r="P12" i="13"/>
  <c r="P13" i="13"/>
  <c r="P14" i="13"/>
  <c r="P15" i="13"/>
  <c r="P16" i="13"/>
  <c r="P17" i="13"/>
  <c r="P18" i="13"/>
  <c r="P19" i="13"/>
  <c r="P20" i="13"/>
  <c r="P21" i="13"/>
  <c r="P22" i="13"/>
  <c r="P23" i="13"/>
  <c r="P24" i="13"/>
  <c r="P25" i="13"/>
  <c r="P26" i="13"/>
  <c r="P27" i="13"/>
  <c r="P28" i="13"/>
  <c r="P29" i="13"/>
  <c r="P30" i="13"/>
  <c r="P3" i="13"/>
  <c r="P4" i="13"/>
  <c r="P2" i="13"/>
  <c r="E3" i="42" l="1"/>
  <c r="E4" i="42"/>
  <c r="AN4" i="47" s="1"/>
  <c r="E5" i="42"/>
  <c r="AN5" i="47" s="1"/>
  <c r="E6" i="42"/>
  <c r="E7" i="42"/>
  <c r="E8" i="42"/>
  <c r="E9" i="42"/>
  <c r="E10" i="42"/>
  <c r="E11" i="42"/>
  <c r="E12" i="42"/>
  <c r="E13" i="42"/>
  <c r="E14" i="42"/>
  <c r="E2" i="42"/>
  <c r="AN6" i="47"/>
  <c r="AN7" i="47"/>
  <c r="AN8" i="47"/>
  <c r="AN9" i="47"/>
  <c r="AN10" i="47"/>
  <c r="AN11" i="47"/>
  <c r="AN12" i="47"/>
  <c r="AN13" i="47"/>
  <c r="AN14" i="47"/>
  <c r="AM5" i="47"/>
  <c r="AM6" i="47"/>
  <c r="AM7" i="47"/>
  <c r="AM8" i="47"/>
  <c r="AM9" i="47"/>
  <c r="AM10" i="47"/>
  <c r="AM11" i="47"/>
  <c r="AM12" i="47"/>
  <c r="AM13" i="47"/>
  <c r="AM14" i="47"/>
  <c r="AL5" i="47"/>
  <c r="AL6" i="47"/>
  <c r="AL7" i="47"/>
  <c r="AL8" i="47"/>
  <c r="AL9" i="47"/>
  <c r="AL10" i="47"/>
  <c r="AL11" i="47"/>
  <c r="AL12" i="47"/>
  <c r="AL13" i="47"/>
  <c r="AL14" i="47"/>
  <c r="AM4" i="47"/>
  <c r="AL4" i="47"/>
  <c r="AE14" i="47"/>
  <c r="AF14" i="47"/>
  <c r="AD14" i="47"/>
  <c r="F14" i="33"/>
  <c r="G14" i="33"/>
  <c r="E14" i="33"/>
  <c r="AE13" i="47" l="1"/>
  <c r="AF13" i="47"/>
  <c r="AE12" i="47"/>
  <c r="AF12" i="47"/>
  <c r="AE11" i="47"/>
  <c r="AF11" i="47"/>
  <c r="AE10" i="47"/>
  <c r="AF10" i="47"/>
  <c r="AE9" i="47"/>
  <c r="AF9" i="47"/>
  <c r="AE8" i="47"/>
  <c r="AF8" i="47"/>
  <c r="G3" i="33"/>
  <c r="G4" i="33"/>
  <c r="G5" i="33"/>
  <c r="G6" i="33"/>
  <c r="G7" i="33"/>
  <c r="AF7" i="47" s="1"/>
  <c r="G8" i="33"/>
  <c r="G9" i="33"/>
  <c r="G10" i="33"/>
  <c r="G11" i="33"/>
  <c r="G12" i="33"/>
  <c r="G13" i="33"/>
  <c r="G2" i="33"/>
  <c r="AE7" i="47"/>
  <c r="AE6" i="47"/>
  <c r="AE5" i="47"/>
  <c r="AE4" i="47"/>
  <c r="AE3" i="47"/>
  <c r="AE2" i="47"/>
  <c r="AF2" i="47"/>
  <c r="AD3" i="47"/>
  <c r="AD4" i="47"/>
  <c r="AD5" i="47"/>
  <c r="AD6" i="47"/>
  <c r="AD7" i="47"/>
  <c r="AD8" i="47"/>
  <c r="AD9" i="47"/>
  <c r="AD10" i="47"/>
  <c r="AD11" i="47"/>
  <c r="AD12" i="47"/>
  <c r="AD13" i="47"/>
  <c r="AD2" i="47"/>
  <c r="Z14" i="47"/>
  <c r="AA14" i="47"/>
  <c r="AB14" i="47"/>
  <c r="Y14" i="47"/>
  <c r="Z7" i="47"/>
  <c r="AA7" i="47"/>
  <c r="AB7" i="47"/>
  <c r="Z6" i="47"/>
  <c r="AA6" i="47"/>
  <c r="AB6" i="47"/>
  <c r="Z5" i="47"/>
  <c r="AA5" i="47"/>
  <c r="AB5" i="47"/>
  <c r="Z4" i="47"/>
  <c r="AA4" i="47"/>
  <c r="AB4" i="47"/>
  <c r="Y7" i="47"/>
  <c r="Y6" i="47"/>
  <c r="Y5" i="47"/>
  <c r="Y4" i="47"/>
  <c r="Q14" i="47"/>
  <c r="R14" i="47"/>
  <c r="S14" i="47"/>
  <c r="T14" i="47"/>
  <c r="U14" i="47"/>
  <c r="V14" i="47"/>
  <c r="W14" i="47"/>
  <c r="P14" i="47"/>
  <c r="W7" i="47"/>
  <c r="V7" i="47"/>
  <c r="U7" i="47"/>
  <c r="T7" i="47"/>
  <c r="U6" i="47"/>
  <c r="V6" i="47"/>
  <c r="W6" i="47"/>
  <c r="T6" i="47"/>
  <c r="U5" i="47"/>
  <c r="V5" i="47"/>
  <c r="W5" i="47"/>
  <c r="T5" i="47"/>
  <c r="S7" i="47"/>
  <c r="R7" i="47"/>
  <c r="Q7" i="47"/>
  <c r="P7" i="47"/>
  <c r="Q6" i="47"/>
  <c r="R6" i="47"/>
  <c r="S6" i="47"/>
  <c r="P6" i="47"/>
  <c r="N7" i="47"/>
  <c r="N14" i="47" s="1"/>
  <c r="M7" i="47"/>
  <c r="M14" i="47" s="1"/>
  <c r="L7" i="47"/>
  <c r="L14" i="47" s="1"/>
  <c r="K7" i="47"/>
  <c r="K14" i="47" s="1"/>
  <c r="L6" i="47"/>
  <c r="M6" i="47"/>
  <c r="N6" i="47"/>
  <c r="K6" i="47"/>
  <c r="L5" i="47"/>
  <c r="M5" i="47"/>
  <c r="N5" i="47"/>
  <c r="K5" i="47"/>
  <c r="I6" i="47"/>
  <c r="I7" i="47"/>
  <c r="I14" i="47"/>
  <c r="H6" i="47"/>
  <c r="H7" i="47"/>
  <c r="H14" i="47"/>
  <c r="G6" i="47"/>
  <c r="G7" i="47"/>
  <c r="G14" i="47"/>
  <c r="H8" i="8"/>
  <c r="H9" i="8"/>
  <c r="H10" i="8"/>
  <c r="H11" i="8"/>
  <c r="H12" i="8"/>
  <c r="H13" i="8"/>
  <c r="E8" i="47"/>
  <c r="E9" i="47"/>
  <c r="E10" i="47"/>
  <c r="E11" i="47"/>
  <c r="E12" i="47"/>
  <c r="E13" i="47"/>
  <c r="D8" i="47"/>
  <c r="D9" i="47"/>
  <c r="D10" i="47"/>
  <c r="D11" i="47"/>
  <c r="D12" i="47"/>
  <c r="D13" i="47"/>
  <c r="C8" i="47"/>
  <c r="C9" i="47"/>
  <c r="C10" i="47"/>
  <c r="C11" i="47"/>
  <c r="C12" i="47"/>
  <c r="C13" i="47"/>
  <c r="I155" i="13"/>
  <c r="J86" i="13"/>
  <c r="J79" i="13"/>
  <c r="O4" i="13"/>
  <c r="H6" i="28"/>
  <c r="G14" i="28"/>
  <c r="F14" i="28"/>
  <c r="E14" i="28"/>
  <c r="AF6" i="47" l="1"/>
  <c r="AF5" i="47"/>
  <c r="AF4" i="47"/>
  <c r="AF3" i="47"/>
  <c r="G7" i="5"/>
  <c r="F7" i="5"/>
  <c r="F6" i="5"/>
  <c r="G6" i="5"/>
  <c r="F7" i="25"/>
  <c r="E7" i="25"/>
  <c r="F7" i="20"/>
  <c r="E7" i="20"/>
  <c r="F7" i="18"/>
  <c r="E7" i="18"/>
  <c r="F7" i="19"/>
  <c r="F7" i="24"/>
  <c r="E7" i="24"/>
  <c r="F7" i="8"/>
  <c r="D7" i="47" s="1"/>
  <c r="E7" i="8"/>
  <c r="I154" i="13"/>
  <c r="J78" i="13"/>
  <c r="O30" i="13"/>
  <c r="F6" i="25"/>
  <c r="E6" i="25"/>
  <c r="K6" i="23"/>
  <c r="F6" i="20"/>
  <c r="E6" i="20"/>
  <c r="J6" i="18"/>
  <c r="E6" i="18"/>
  <c r="F6" i="18"/>
  <c r="J5" i="18"/>
  <c r="F5" i="18"/>
  <c r="E5" i="18"/>
  <c r="F6" i="19"/>
  <c r="F6" i="24"/>
  <c r="E6" i="24" s="1"/>
  <c r="N56" i="43"/>
  <c r="N55" i="43"/>
  <c r="N54" i="43"/>
  <c r="N53" i="43"/>
  <c r="N52" i="43"/>
  <c r="N51" i="43"/>
  <c r="N50" i="43"/>
  <c r="N49" i="43"/>
  <c r="N48" i="43"/>
  <c r="N47" i="43"/>
  <c r="N46" i="43"/>
  <c r="N45" i="43"/>
  <c r="N44" i="43"/>
  <c r="N43" i="43"/>
  <c r="N42" i="43"/>
  <c r="N41" i="43"/>
  <c r="N40" i="43"/>
  <c r="N39" i="43"/>
  <c r="N38" i="43"/>
  <c r="N37" i="43"/>
  <c r="N36" i="43"/>
  <c r="N35" i="43"/>
  <c r="N34" i="43"/>
  <c r="N33" i="43"/>
  <c r="N32" i="43"/>
  <c r="N31" i="43"/>
  <c r="N30" i="43"/>
  <c r="N29" i="43"/>
  <c r="N28" i="43"/>
  <c r="N27" i="43"/>
  <c r="N26" i="43"/>
  <c r="N25" i="43"/>
  <c r="N24" i="43"/>
  <c r="N23" i="43"/>
  <c r="N22" i="43"/>
  <c r="N21" i="43"/>
  <c r="N20" i="43"/>
  <c r="N19" i="43"/>
  <c r="N18" i="43"/>
  <c r="N17" i="43"/>
  <c r="N16" i="43"/>
  <c r="N15" i="43"/>
  <c r="N14" i="43"/>
  <c r="N13" i="43"/>
  <c r="N12" i="43"/>
  <c r="N11" i="43"/>
  <c r="N10" i="43"/>
  <c r="N9" i="43"/>
  <c r="N8" i="43"/>
  <c r="N7" i="43"/>
  <c r="N6" i="43"/>
  <c r="N5" i="43"/>
  <c r="N4" i="43"/>
  <c r="N3" i="43"/>
  <c r="N2" i="43"/>
  <c r="N56" i="17"/>
  <c r="N55" i="17"/>
  <c r="N54" i="17"/>
  <c r="N53" i="17"/>
  <c r="N52" i="17"/>
  <c r="N51" i="17"/>
  <c r="N50" i="17"/>
  <c r="N49" i="17"/>
  <c r="N48" i="17"/>
  <c r="N47" i="17"/>
  <c r="N46" i="17"/>
  <c r="N45" i="17"/>
  <c r="N44" i="17"/>
  <c r="N43" i="17"/>
  <c r="N42" i="17"/>
  <c r="N41" i="17"/>
  <c r="N40" i="17"/>
  <c r="N39" i="17"/>
  <c r="N38" i="17"/>
  <c r="N37" i="17"/>
  <c r="N36" i="17"/>
  <c r="N35" i="17"/>
  <c r="N34" i="17"/>
  <c r="N33" i="17"/>
  <c r="N32" i="17"/>
  <c r="N31" i="17"/>
  <c r="N30" i="17"/>
  <c r="N29" i="17"/>
  <c r="N28" i="17"/>
  <c r="N27" i="17"/>
  <c r="N26" i="17"/>
  <c r="N25" i="17"/>
  <c r="N24" i="17"/>
  <c r="N23" i="17"/>
  <c r="N22" i="17"/>
  <c r="N21" i="17"/>
  <c r="N20" i="17"/>
  <c r="N19" i="17"/>
  <c r="N18" i="17"/>
  <c r="N17" i="17"/>
  <c r="N16" i="17"/>
  <c r="N15" i="17"/>
  <c r="N14" i="17"/>
  <c r="N13" i="17"/>
  <c r="N12" i="17"/>
  <c r="N11" i="17"/>
  <c r="N10" i="17"/>
  <c r="N9" i="17"/>
  <c r="N8" i="17"/>
  <c r="N7" i="17"/>
  <c r="N6" i="17"/>
  <c r="N5" i="17"/>
  <c r="N4" i="17"/>
  <c r="N3" i="17"/>
  <c r="N2" i="17"/>
  <c r="N56" i="16"/>
  <c r="N55" i="16"/>
  <c r="N54" i="16"/>
  <c r="N53" i="16"/>
  <c r="N52" i="16"/>
  <c r="N51" i="16"/>
  <c r="N50" i="16"/>
  <c r="N49" i="16"/>
  <c r="N48" i="16"/>
  <c r="N47" i="16"/>
  <c r="N46" i="16"/>
  <c r="N45" i="16"/>
  <c r="N44" i="16"/>
  <c r="N43" i="16"/>
  <c r="N42" i="16"/>
  <c r="N41" i="16"/>
  <c r="N40" i="16"/>
  <c r="N39" i="16"/>
  <c r="N38" i="16"/>
  <c r="N37" i="16"/>
  <c r="N36" i="16"/>
  <c r="N35" i="16"/>
  <c r="N34" i="16"/>
  <c r="N33" i="16"/>
  <c r="N32" i="16"/>
  <c r="N31" i="16"/>
  <c r="N30" i="16"/>
  <c r="N29" i="16"/>
  <c r="N28" i="16"/>
  <c r="N27" i="16"/>
  <c r="N26" i="16"/>
  <c r="N25" i="16"/>
  <c r="N24" i="16"/>
  <c r="N23" i="16"/>
  <c r="N22" i="16"/>
  <c r="N21" i="16"/>
  <c r="N20" i="16"/>
  <c r="N19" i="16"/>
  <c r="N18" i="16"/>
  <c r="N17" i="16"/>
  <c r="N16" i="16"/>
  <c r="N15" i="16"/>
  <c r="N14" i="16"/>
  <c r="N13" i="16"/>
  <c r="N12" i="16"/>
  <c r="N11" i="16"/>
  <c r="N10" i="16"/>
  <c r="N9" i="16"/>
  <c r="N8" i="16"/>
  <c r="N7" i="16"/>
  <c r="N6" i="16"/>
  <c r="N5" i="16"/>
  <c r="N4" i="16"/>
  <c r="N3" i="16"/>
  <c r="N2" i="16"/>
  <c r="O56" i="3"/>
  <c r="N56" i="3"/>
  <c r="O56" i="17" s="1"/>
  <c r="O55" i="3"/>
  <c r="N55" i="3"/>
  <c r="O55" i="17" s="1"/>
  <c r="O54" i="3"/>
  <c r="N54" i="3"/>
  <c r="O54" i="17" s="1"/>
  <c r="O53" i="3"/>
  <c r="N53" i="3"/>
  <c r="O53" i="17" s="1"/>
  <c r="O52" i="3"/>
  <c r="N52" i="3"/>
  <c r="O52" i="17" s="1"/>
  <c r="O51" i="3"/>
  <c r="N51" i="3"/>
  <c r="O51" i="17" s="1"/>
  <c r="O50" i="3"/>
  <c r="N50" i="3"/>
  <c r="O50" i="17" s="1"/>
  <c r="O49" i="3"/>
  <c r="N49" i="3"/>
  <c r="O49" i="17" s="1"/>
  <c r="O48" i="3"/>
  <c r="N48" i="3"/>
  <c r="O48" i="17" s="1"/>
  <c r="O47" i="3"/>
  <c r="N47" i="3"/>
  <c r="O47" i="17" s="1"/>
  <c r="O46" i="3"/>
  <c r="N46" i="3"/>
  <c r="O46" i="17" s="1"/>
  <c r="O45" i="3"/>
  <c r="N45" i="3"/>
  <c r="O45" i="17" s="1"/>
  <c r="O44" i="3"/>
  <c r="N44" i="3"/>
  <c r="O44" i="17" s="1"/>
  <c r="O43" i="3"/>
  <c r="N43" i="3"/>
  <c r="O43" i="17" s="1"/>
  <c r="O42" i="3"/>
  <c r="N42" i="3"/>
  <c r="O41" i="3"/>
  <c r="N41" i="3"/>
  <c r="O41" i="17" s="1"/>
  <c r="O40" i="3"/>
  <c r="N40" i="3"/>
  <c r="O40" i="17" s="1"/>
  <c r="O39" i="3"/>
  <c r="N39" i="3"/>
  <c r="O39" i="17" s="1"/>
  <c r="O38" i="3"/>
  <c r="N38" i="3"/>
  <c r="O38" i="43" s="1"/>
  <c r="O37" i="3"/>
  <c r="N37" i="3"/>
  <c r="O37" i="17" s="1"/>
  <c r="O36" i="3"/>
  <c r="N36" i="3"/>
  <c r="O36" i="17" s="1"/>
  <c r="O35" i="3"/>
  <c r="N35" i="3"/>
  <c r="O35" i="17" s="1"/>
  <c r="O34" i="3"/>
  <c r="N34" i="3"/>
  <c r="O34" i="17" s="1"/>
  <c r="O33" i="3"/>
  <c r="N33" i="3"/>
  <c r="O33" i="17" s="1"/>
  <c r="O32" i="3"/>
  <c r="N32" i="3"/>
  <c r="O32" i="17" s="1"/>
  <c r="O31" i="3"/>
  <c r="N31" i="3"/>
  <c r="O31" i="17" s="1"/>
  <c r="O30" i="3"/>
  <c r="N30" i="3"/>
  <c r="O29" i="3"/>
  <c r="N29" i="3"/>
  <c r="O29" i="17" s="1"/>
  <c r="O28" i="3"/>
  <c r="N28" i="3"/>
  <c r="O28" i="17" s="1"/>
  <c r="O27" i="3"/>
  <c r="N27" i="3"/>
  <c r="O27" i="17" s="1"/>
  <c r="O26" i="3"/>
  <c r="N26" i="3"/>
  <c r="O26" i="17" s="1"/>
  <c r="O25" i="3"/>
  <c r="N25" i="3"/>
  <c r="O24" i="3"/>
  <c r="N24" i="3"/>
  <c r="O24" i="17" s="1"/>
  <c r="O23" i="3"/>
  <c r="N23" i="3"/>
  <c r="O23" i="17" s="1"/>
  <c r="O22" i="3"/>
  <c r="N22" i="3"/>
  <c r="O22" i="17" s="1"/>
  <c r="O21" i="3"/>
  <c r="N21" i="3"/>
  <c r="O21" i="17" s="1"/>
  <c r="O20" i="3"/>
  <c r="N20" i="3"/>
  <c r="O19" i="3"/>
  <c r="N19" i="3"/>
  <c r="O19" i="17" s="1"/>
  <c r="O18" i="3"/>
  <c r="N18" i="3"/>
  <c r="O18" i="17" s="1"/>
  <c r="O17" i="3"/>
  <c r="N17" i="3"/>
  <c r="O17" i="17" s="1"/>
  <c r="O16" i="3"/>
  <c r="N16" i="3"/>
  <c r="O16" i="17" s="1"/>
  <c r="O15" i="3"/>
  <c r="N15" i="3"/>
  <c r="O15" i="17" s="1"/>
  <c r="O14" i="3"/>
  <c r="N14" i="3"/>
  <c r="O14" i="17" s="1"/>
  <c r="O13" i="3"/>
  <c r="N13" i="3"/>
  <c r="O13" i="17" s="1"/>
  <c r="O12" i="3"/>
  <c r="N12" i="3"/>
  <c r="O12" i="17" s="1"/>
  <c r="O11" i="3"/>
  <c r="N11" i="3"/>
  <c r="O10" i="3"/>
  <c r="N10" i="3"/>
  <c r="O10" i="17" s="1"/>
  <c r="O9" i="3"/>
  <c r="N9" i="3"/>
  <c r="O9" i="17" s="1"/>
  <c r="O8" i="3"/>
  <c r="N8" i="3"/>
  <c r="O8" i="17" s="1"/>
  <c r="O7" i="3"/>
  <c r="N7" i="3"/>
  <c r="O7" i="17" s="1"/>
  <c r="O6" i="3"/>
  <c r="N6" i="3"/>
  <c r="O6" i="17" s="1"/>
  <c r="O5" i="3"/>
  <c r="N5" i="3"/>
  <c r="O4" i="3"/>
  <c r="N4" i="3"/>
  <c r="O4" i="17" s="1"/>
  <c r="O3" i="3"/>
  <c r="N3" i="3"/>
  <c r="O3" i="17" s="1"/>
  <c r="O2" i="3"/>
  <c r="N2" i="3"/>
  <c r="O2" i="17" s="1"/>
  <c r="F6" i="8"/>
  <c r="D6" i="47" s="1"/>
  <c r="E6" i="8"/>
  <c r="F14" i="45"/>
  <c r="E14" i="45"/>
  <c r="F14" i="46"/>
  <c r="E14" i="46"/>
  <c r="J77" i="13"/>
  <c r="I134" i="13"/>
  <c r="I135" i="13"/>
  <c r="I136" i="13"/>
  <c r="I137" i="13"/>
  <c r="I117" i="13"/>
  <c r="I118" i="13"/>
  <c r="I119" i="13"/>
  <c r="I120" i="13"/>
  <c r="O29" i="13"/>
  <c r="O3" i="13"/>
  <c r="O2" i="13"/>
  <c r="K3" i="23"/>
  <c r="K4" i="23"/>
  <c r="K5" i="23"/>
  <c r="K2" i="23"/>
  <c r="H7" i="8" l="1"/>
  <c r="E7" i="47" s="1"/>
  <c r="C7" i="47"/>
  <c r="H6" i="8"/>
  <c r="E6" i="47" s="1"/>
  <c r="C6" i="47"/>
  <c r="O20" i="43"/>
  <c r="O42" i="43"/>
  <c r="O29" i="43"/>
  <c r="O27" i="43"/>
  <c r="O5" i="17"/>
  <c r="O39" i="43"/>
  <c r="O44" i="43"/>
  <c r="O19" i="43"/>
  <c r="O11" i="17"/>
  <c r="O25" i="17"/>
  <c r="O20" i="17"/>
  <c r="O50" i="43"/>
  <c r="O9" i="43"/>
  <c r="O3" i="43"/>
  <c r="O23" i="43"/>
  <c r="O4" i="43"/>
  <c r="O43" i="43"/>
  <c r="O25" i="43"/>
  <c r="O45" i="43"/>
  <c r="O55" i="43"/>
  <c r="O18" i="43"/>
  <c r="O10" i="43"/>
  <c r="O30" i="43"/>
  <c r="O24" i="43"/>
  <c r="O5" i="43"/>
  <c r="O46" i="43"/>
  <c r="O26" i="43"/>
  <c r="O48" i="43"/>
  <c r="O16" i="43"/>
  <c r="O56" i="43"/>
  <c r="O7" i="43"/>
  <c r="O47" i="43"/>
  <c r="O8" i="43"/>
  <c r="O21" i="43"/>
  <c r="O41" i="43"/>
  <c r="O2" i="43"/>
  <c r="O12" i="43"/>
  <c r="O22" i="43"/>
  <c r="O32" i="43"/>
  <c r="O52" i="43"/>
  <c r="O6" i="43"/>
  <c r="O36" i="43"/>
  <c r="O17" i="43"/>
  <c r="O37" i="43"/>
  <c r="O28" i="43"/>
  <c r="O38" i="17"/>
  <c r="O11" i="43"/>
  <c r="O31" i="43"/>
  <c r="O51" i="43"/>
  <c r="O30" i="17"/>
  <c r="O40" i="43"/>
  <c r="O33" i="43"/>
  <c r="O54" i="43"/>
  <c r="O53" i="43"/>
  <c r="O14" i="43"/>
  <c r="O34" i="43"/>
  <c r="O15" i="43"/>
  <c r="O35" i="43"/>
  <c r="O42" i="17"/>
  <c r="O49" i="43"/>
  <c r="O13" i="43"/>
  <c r="H14" i="46"/>
  <c r="H13" i="46"/>
  <c r="H12" i="46"/>
  <c r="H11" i="46"/>
  <c r="H10" i="46"/>
  <c r="H9" i="46"/>
  <c r="H8" i="46"/>
  <c r="H7" i="46"/>
  <c r="H6" i="46"/>
  <c r="H5" i="46"/>
  <c r="H4" i="46"/>
  <c r="H3" i="46"/>
  <c r="H2" i="46"/>
  <c r="H14" i="45"/>
  <c r="H13" i="45"/>
  <c r="H12" i="45"/>
  <c r="H11" i="45"/>
  <c r="H10" i="45"/>
  <c r="H9" i="45"/>
  <c r="H8" i="45"/>
  <c r="H7" i="45"/>
  <c r="H6" i="45"/>
  <c r="H5" i="45"/>
  <c r="H4" i="45"/>
  <c r="H3" i="45"/>
  <c r="H2" i="45"/>
  <c r="I133" i="13" l="1"/>
  <c r="I94" i="13"/>
  <c r="I95" i="13"/>
  <c r="J76" i="13"/>
  <c r="F5" i="25"/>
  <c r="E5" i="25"/>
  <c r="F5" i="20"/>
  <c r="E5" i="20"/>
  <c r="F5" i="19"/>
  <c r="F5" i="24"/>
  <c r="E5" i="24" s="1"/>
  <c r="K56" i="43"/>
  <c r="K55" i="43"/>
  <c r="K54" i="43"/>
  <c r="K53" i="43"/>
  <c r="K52" i="43"/>
  <c r="K51" i="43"/>
  <c r="K50" i="43"/>
  <c r="K49" i="43"/>
  <c r="K48" i="43"/>
  <c r="K47" i="43"/>
  <c r="K46" i="43"/>
  <c r="K45" i="43"/>
  <c r="K44" i="43"/>
  <c r="K43" i="43"/>
  <c r="K42" i="43"/>
  <c r="K41" i="43"/>
  <c r="K40" i="43"/>
  <c r="K39" i="43"/>
  <c r="K38" i="43"/>
  <c r="K37" i="43"/>
  <c r="K36" i="43"/>
  <c r="K35" i="43"/>
  <c r="K34" i="43"/>
  <c r="K33" i="43"/>
  <c r="K32" i="43"/>
  <c r="K31" i="43"/>
  <c r="K30" i="43"/>
  <c r="K29" i="43"/>
  <c r="K28" i="43"/>
  <c r="K27" i="43"/>
  <c r="K26" i="43"/>
  <c r="K25" i="43"/>
  <c r="K24" i="43"/>
  <c r="K23" i="43"/>
  <c r="K22" i="43"/>
  <c r="K21" i="43"/>
  <c r="K20" i="43"/>
  <c r="K19" i="43"/>
  <c r="K18" i="43"/>
  <c r="K17" i="43"/>
  <c r="K16" i="43"/>
  <c r="K15" i="43"/>
  <c r="K14" i="43"/>
  <c r="K13" i="43"/>
  <c r="K12" i="43"/>
  <c r="K11" i="43"/>
  <c r="K10" i="43"/>
  <c r="K9" i="43"/>
  <c r="K8" i="43"/>
  <c r="K7" i="43"/>
  <c r="K6" i="43"/>
  <c r="K5" i="43"/>
  <c r="K4" i="43"/>
  <c r="K3" i="43"/>
  <c r="K2" i="43"/>
  <c r="K56" i="17"/>
  <c r="K55" i="17"/>
  <c r="K54" i="17"/>
  <c r="K53" i="17"/>
  <c r="K52" i="17"/>
  <c r="K51" i="17"/>
  <c r="K50" i="17"/>
  <c r="K49" i="17"/>
  <c r="K48" i="17"/>
  <c r="K47" i="17"/>
  <c r="K46" i="17"/>
  <c r="K45" i="17"/>
  <c r="K44" i="17"/>
  <c r="K43" i="17"/>
  <c r="K42" i="17"/>
  <c r="K41" i="17"/>
  <c r="K40" i="17"/>
  <c r="K39" i="17"/>
  <c r="K38" i="17"/>
  <c r="K37" i="17"/>
  <c r="K36" i="17"/>
  <c r="K35" i="17"/>
  <c r="K34" i="17"/>
  <c r="K33" i="17"/>
  <c r="K32" i="17"/>
  <c r="K31" i="17"/>
  <c r="K30" i="17"/>
  <c r="K29" i="17"/>
  <c r="K28" i="17"/>
  <c r="K27" i="17"/>
  <c r="K26" i="17"/>
  <c r="K25" i="17"/>
  <c r="K24" i="17"/>
  <c r="K23" i="17"/>
  <c r="K22" i="17"/>
  <c r="K21" i="17"/>
  <c r="K20" i="17"/>
  <c r="K19" i="17"/>
  <c r="K18" i="17"/>
  <c r="K17" i="17"/>
  <c r="K16" i="17"/>
  <c r="K15" i="17"/>
  <c r="K14" i="17"/>
  <c r="K13" i="17"/>
  <c r="K12" i="17"/>
  <c r="K11" i="17"/>
  <c r="K10" i="17"/>
  <c r="K9" i="17"/>
  <c r="K8" i="17"/>
  <c r="K7" i="17"/>
  <c r="K6" i="17"/>
  <c r="K5" i="17"/>
  <c r="K4" i="17"/>
  <c r="K3" i="17"/>
  <c r="K2" i="17"/>
  <c r="L3" i="3"/>
  <c r="L3" i="16" s="1"/>
  <c r="L4" i="3"/>
  <c r="L4" i="16" s="1"/>
  <c r="L5" i="3"/>
  <c r="L5" i="16" s="1"/>
  <c r="L6" i="3"/>
  <c r="L6" i="16" s="1"/>
  <c r="L7" i="3"/>
  <c r="L7" i="16" s="1"/>
  <c r="L8" i="3"/>
  <c r="L8" i="16" s="1"/>
  <c r="L9" i="3"/>
  <c r="L9" i="16" s="1"/>
  <c r="L10" i="3"/>
  <c r="L10" i="16" s="1"/>
  <c r="L11" i="3"/>
  <c r="L11" i="16" s="1"/>
  <c r="L12" i="3"/>
  <c r="L13" i="3"/>
  <c r="L13" i="16" s="1"/>
  <c r="L14" i="3"/>
  <c r="L14" i="16" s="1"/>
  <c r="L15" i="3"/>
  <c r="L15" i="16" s="1"/>
  <c r="L16" i="3"/>
  <c r="L16" i="16" s="1"/>
  <c r="L17" i="3"/>
  <c r="L17" i="16" s="1"/>
  <c r="L18" i="3"/>
  <c r="L18" i="16" s="1"/>
  <c r="L19" i="3"/>
  <c r="L19" i="16" s="1"/>
  <c r="L20" i="3"/>
  <c r="L20" i="16" s="1"/>
  <c r="L21" i="3"/>
  <c r="L21" i="16" s="1"/>
  <c r="L22" i="3"/>
  <c r="L22" i="16" s="1"/>
  <c r="L23" i="3"/>
  <c r="L23" i="16" s="1"/>
  <c r="L24" i="3"/>
  <c r="L24" i="16" s="1"/>
  <c r="L25" i="3"/>
  <c r="L25" i="16" s="1"/>
  <c r="L26" i="3"/>
  <c r="L26" i="16" s="1"/>
  <c r="L27" i="3"/>
  <c r="L28" i="3"/>
  <c r="L28" i="16" s="1"/>
  <c r="L29" i="3"/>
  <c r="L30" i="3"/>
  <c r="L30" i="16" s="1"/>
  <c r="L31" i="3"/>
  <c r="L31" i="16" s="1"/>
  <c r="L32" i="3"/>
  <c r="L32" i="16" s="1"/>
  <c r="L33" i="3"/>
  <c r="L33" i="16" s="1"/>
  <c r="L34" i="3"/>
  <c r="L34" i="16" s="1"/>
  <c r="L35" i="3"/>
  <c r="L35" i="16" s="1"/>
  <c r="L36" i="3"/>
  <c r="L36" i="16" s="1"/>
  <c r="L37" i="3"/>
  <c r="L37" i="16" s="1"/>
  <c r="L38" i="3"/>
  <c r="L38" i="16" s="1"/>
  <c r="L39" i="3"/>
  <c r="L39" i="16" s="1"/>
  <c r="L40" i="3"/>
  <c r="L40" i="16" s="1"/>
  <c r="L41" i="3"/>
  <c r="L41" i="16" s="1"/>
  <c r="L42" i="3"/>
  <c r="L42" i="16" s="1"/>
  <c r="L43" i="3"/>
  <c r="L43" i="16" s="1"/>
  <c r="L44" i="3"/>
  <c r="L44" i="16" s="1"/>
  <c r="L45" i="3"/>
  <c r="L45" i="16" s="1"/>
  <c r="L46" i="3"/>
  <c r="L46" i="16" s="1"/>
  <c r="L47" i="3"/>
  <c r="L48" i="3"/>
  <c r="L48" i="16" s="1"/>
  <c r="L49" i="3"/>
  <c r="L50" i="3"/>
  <c r="L50" i="16" s="1"/>
  <c r="L51" i="3"/>
  <c r="L52" i="3"/>
  <c r="L52" i="16" s="1"/>
  <c r="L53" i="3"/>
  <c r="L53" i="16" s="1"/>
  <c r="L54" i="3"/>
  <c r="L54" i="16" s="1"/>
  <c r="L55" i="3"/>
  <c r="L55" i="16" s="1"/>
  <c r="L56" i="3"/>
  <c r="L56" i="16" s="1"/>
  <c r="L2" i="3"/>
  <c r="L2" i="16" s="1"/>
  <c r="K56" i="3"/>
  <c r="L56" i="17" s="1"/>
  <c r="K55" i="3"/>
  <c r="L55" i="17" s="1"/>
  <c r="K54" i="3"/>
  <c r="L54" i="17" s="1"/>
  <c r="K53" i="3"/>
  <c r="L53" i="17" s="1"/>
  <c r="K52" i="3"/>
  <c r="L52" i="17" s="1"/>
  <c r="K51" i="3"/>
  <c r="L51" i="17" s="1"/>
  <c r="K50" i="3"/>
  <c r="L50" i="17" s="1"/>
  <c r="K49" i="3"/>
  <c r="L49" i="17" s="1"/>
  <c r="K48" i="3"/>
  <c r="K47" i="3"/>
  <c r="L47" i="17" s="1"/>
  <c r="K46" i="3"/>
  <c r="L46" i="17" s="1"/>
  <c r="K45" i="3"/>
  <c r="K44" i="3"/>
  <c r="K43" i="3"/>
  <c r="K42" i="3"/>
  <c r="L42" i="17" s="1"/>
  <c r="K41" i="3"/>
  <c r="K40" i="3"/>
  <c r="L40" i="17" s="1"/>
  <c r="K39" i="3"/>
  <c r="L39" i="17" s="1"/>
  <c r="K38" i="3"/>
  <c r="L38" i="17" s="1"/>
  <c r="K37" i="3"/>
  <c r="L37" i="17" s="1"/>
  <c r="K36" i="3"/>
  <c r="L36" i="17" s="1"/>
  <c r="K35" i="3"/>
  <c r="L35" i="17" s="1"/>
  <c r="K34" i="3"/>
  <c r="L34" i="17" s="1"/>
  <c r="K33" i="3"/>
  <c r="L33" i="17" s="1"/>
  <c r="K32" i="3"/>
  <c r="L32" i="17" s="1"/>
  <c r="K31" i="3"/>
  <c r="L31" i="17" s="1"/>
  <c r="K30" i="3"/>
  <c r="L30" i="17" s="1"/>
  <c r="K29" i="3"/>
  <c r="L29" i="17" s="1"/>
  <c r="K28" i="3"/>
  <c r="K27" i="3"/>
  <c r="L27" i="17" s="1"/>
  <c r="K26" i="3"/>
  <c r="L26" i="17" s="1"/>
  <c r="K25" i="3"/>
  <c r="K24" i="3"/>
  <c r="L24" i="17" s="1"/>
  <c r="K23" i="3"/>
  <c r="L23" i="17" s="1"/>
  <c r="K22" i="3"/>
  <c r="K21" i="3"/>
  <c r="K20" i="3"/>
  <c r="L20" i="17" s="1"/>
  <c r="K19" i="3"/>
  <c r="L19" i="17" s="1"/>
  <c r="K18" i="3"/>
  <c r="L18" i="17" s="1"/>
  <c r="K17" i="3"/>
  <c r="L17" i="17" s="1"/>
  <c r="K16" i="3"/>
  <c r="L16" i="17" s="1"/>
  <c r="K15" i="3"/>
  <c r="L15" i="17" s="1"/>
  <c r="K14" i="3"/>
  <c r="L14" i="17" s="1"/>
  <c r="K13" i="3"/>
  <c r="L13" i="17" s="1"/>
  <c r="K12" i="3"/>
  <c r="L12" i="17" s="1"/>
  <c r="K11" i="3"/>
  <c r="L11" i="17" s="1"/>
  <c r="K10" i="3"/>
  <c r="L10" i="17" s="1"/>
  <c r="K9" i="3"/>
  <c r="L9" i="17" s="1"/>
  <c r="K8" i="3"/>
  <c r="K7" i="3"/>
  <c r="L7" i="17" s="1"/>
  <c r="K6" i="3"/>
  <c r="L6" i="17" s="1"/>
  <c r="K5" i="3"/>
  <c r="K4" i="3"/>
  <c r="K3" i="3"/>
  <c r="L3" i="17" s="1"/>
  <c r="K2" i="3"/>
  <c r="K56" i="16"/>
  <c r="K55" i="16"/>
  <c r="K54" i="16"/>
  <c r="K53" i="16"/>
  <c r="K52" i="16"/>
  <c r="K51" i="16"/>
  <c r="K50" i="16"/>
  <c r="K49" i="16"/>
  <c r="K48" i="16"/>
  <c r="K47" i="16"/>
  <c r="K46" i="16"/>
  <c r="K45" i="16"/>
  <c r="K44" i="16"/>
  <c r="K43" i="16"/>
  <c r="K42" i="16"/>
  <c r="K41" i="16"/>
  <c r="K40" i="16"/>
  <c r="K39" i="16"/>
  <c r="K38" i="16"/>
  <c r="K37" i="16"/>
  <c r="K36" i="16"/>
  <c r="K35" i="16"/>
  <c r="K34" i="16"/>
  <c r="K33" i="16"/>
  <c r="K32" i="16"/>
  <c r="K31" i="16"/>
  <c r="K30" i="16"/>
  <c r="K29" i="16"/>
  <c r="K28" i="16"/>
  <c r="K27" i="16"/>
  <c r="K26" i="16"/>
  <c r="K25" i="16"/>
  <c r="K24" i="16"/>
  <c r="K23" i="16"/>
  <c r="K22" i="16"/>
  <c r="K21" i="16"/>
  <c r="K20" i="16"/>
  <c r="K19" i="16"/>
  <c r="K18" i="16"/>
  <c r="K17" i="16"/>
  <c r="K16" i="16"/>
  <c r="K15" i="16"/>
  <c r="K14" i="16"/>
  <c r="K13" i="16"/>
  <c r="K12" i="16"/>
  <c r="K11" i="16"/>
  <c r="K10" i="16"/>
  <c r="K9" i="16"/>
  <c r="K8" i="16"/>
  <c r="K7" i="16"/>
  <c r="K6" i="16"/>
  <c r="K5" i="16"/>
  <c r="K4" i="16"/>
  <c r="K3" i="16"/>
  <c r="K2" i="16"/>
  <c r="H2" i="16"/>
  <c r="F5" i="8"/>
  <c r="D5" i="47" s="1"/>
  <c r="E5" i="8"/>
  <c r="G5" i="5"/>
  <c r="F5" i="5"/>
  <c r="O28" i="13"/>
  <c r="I14" i="19"/>
  <c r="I92" i="13"/>
  <c r="I151" i="13"/>
  <c r="I152" i="13"/>
  <c r="I153" i="13"/>
  <c r="I150" i="13"/>
  <c r="F3" i="28"/>
  <c r="H3" i="47" s="1"/>
  <c r="F4" i="28"/>
  <c r="H4" i="47" s="1"/>
  <c r="F5" i="28"/>
  <c r="H5" i="47" s="1"/>
  <c r="F8" i="28"/>
  <c r="H8" i="47" s="1"/>
  <c r="F9" i="28"/>
  <c r="H9" i="47" s="1"/>
  <c r="F10" i="28"/>
  <c r="H10" i="47" s="1"/>
  <c r="F11" i="28"/>
  <c r="H11" i="47" s="1"/>
  <c r="F12" i="28"/>
  <c r="H12" i="47" s="1"/>
  <c r="F13" i="28"/>
  <c r="H13" i="47" s="1"/>
  <c r="E3" i="28"/>
  <c r="G3" i="47" s="1"/>
  <c r="E4" i="28"/>
  <c r="G4" i="47" s="1"/>
  <c r="E5" i="28"/>
  <c r="G5" i="47" s="1"/>
  <c r="E8" i="28"/>
  <c r="G8" i="47" s="1"/>
  <c r="E9" i="28"/>
  <c r="G9" i="47" s="1"/>
  <c r="E10" i="28"/>
  <c r="G10" i="47" s="1"/>
  <c r="E11" i="28"/>
  <c r="G11" i="47" s="1"/>
  <c r="E12" i="28"/>
  <c r="G12" i="47" s="1"/>
  <c r="E13" i="28"/>
  <c r="G13" i="47" s="1"/>
  <c r="E2" i="28"/>
  <c r="G2" i="47" s="1"/>
  <c r="F2" i="28"/>
  <c r="H2" i="47" s="1"/>
  <c r="H5" i="8" l="1"/>
  <c r="E5" i="47" s="1"/>
  <c r="C5" i="47"/>
  <c r="M40" i="17"/>
  <c r="M18" i="17"/>
  <c r="M38" i="17"/>
  <c r="H5" i="18"/>
  <c r="M56" i="17"/>
  <c r="L16" i="43"/>
  <c r="M16" i="43" s="1"/>
  <c r="M54" i="17"/>
  <c r="M53" i="17"/>
  <c r="M12" i="17"/>
  <c r="M15" i="17"/>
  <c r="M36" i="17"/>
  <c r="M19" i="17"/>
  <c r="L36" i="43"/>
  <c r="M36" i="43" s="1"/>
  <c r="M13" i="17"/>
  <c r="M35" i="17"/>
  <c r="L39" i="43"/>
  <c r="M39" i="43" s="1"/>
  <c r="M52" i="17"/>
  <c r="L19" i="43"/>
  <c r="M19" i="43" s="1"/>
  <c r="M31" i="17"/>
  <c r="M34" i="17"/>
  <c r="M55" i="17"/>
  <c r="L20" i="43"/>
  <c r="M20" i="43" s="1"/>
  <c r="L56" i="43"/>
  <c r="M56" i="43" s="1"/>
  <c r="L51" i="43"/>
  <c r="M51" i="43" s="1"/>
  <c r="L45" i="43"/>
  <c r="M45" i="43" s="1"/>
  <c r="M14" i="17"/>
  <c r="M16" i="17"/>
  <c r="L40" i="43"/>
  <c r="M40" i="43" s="1"/>
  <c r="L49" i="43"/>
  <c r="M49" i="43" s="1"/>
  <c r="L29" i="43"/>
  <c r="M29" i="43" s="1"/>
  <c r="M11" i="17"/>
  <c r="M32" i="17"/>
  <c r="L4" i="43"/>
  <c r="M4" i="43" s="1"/>
  <c r="L44" i="43"/>
  <c r="M44" i="43" s="1"/>
  <c r="L5" i="43"/>
  <c r="M5" i="43" s="1"/>
  <c r="L50" i="43"/>
  <c r="M50" i="43" s="1"/>
  <c r="M51" i="17"/>
  <c r="M33" i="17"/>
  <c r="L25" i="43"/>
  <c r="M25" i="43" s="1"/>
  <c r="L8" i="43"/>
  <c r="M8" i="43" s="1"/>
  <c r="L49" i="16"/>
  <c r="M47" i="17"/>
  <c r="M37" i="17"/>
  <c r="L28" i="43"/>
  <c r="M28" i="43" s="1"/>
  <c r="L27" i="43"/>
  <c r="M27" i="43" s="1"/>
  <c r="L26" i="43"/>
  <c r="M26" i="43" s="1"/>
  <c r="L29" i="16"/>
  <c r="M7" i="17"/>
  <c r="M27" i="17"/>
  <c r="L47" i="43"/>
  <c r="M47" i="43" s="1"/>
  <c r="L27" i="16"/>
  <c r="M20" i="17"/>
  <c r="L21" i="43"/>
  <c r="M21" i="43" s="1"/>
  <c r="L2" i="43"/>
  <c r="M2" i="43" s="1"/>
  <c r="L22" i="43"/>
  <c r="M22" i="43" s="1"/>
  <c r="M42" i="17"/>
  <c r="L51" i="16"/>
  <c r="M39" i="17"/>
  <c r="L48" i="43"/>
  <c r="M48" i="43" s="1"/>
  <c r="L47" i="16"/>
  <c r="M17" i="17"/>
  <c r="L41" i="43"/>
  <c r="M41" i="43" s="1"/>
  <c r="M3" i="17"/>
  <c r="M23" i="17"/>
  <c r="L43" i="43"/>
  <c r="M43" i="43" s="1"/>
  <c r="L12" i="43"/>
  <c r="M12" i="43" s="1"/>
  <c r="M24" i="17"/>
  <c r="M6" i="17"/>
  <c r="M26" i="17"/>
  <c r="M46" i="17"/>
  <c r="M9" i="17"/>
  <c r="M29" i="17"/>
  <c r="M49" i="17"/>
  <c r="M10" i="17"/>
  <c r="M30" i="17"/>
  <c r="M50" i="17"/>
  <c r="L2" i="17"/>
  <c r="M2" i="17" s="1"/>
  <c r="L23" i="43"/>
  <c r="M23" i="43" s="1"/>
  <c r="L44" i="17"/>
  <c r="M44" i="17" s="1"/>
  <c r="L5" i="17"/>
  <c r="M5" i="17" s="1"/>
  <c r="L25" i="17"/>
  <c r="M25" i="17" s="1"/>
  <c r="L45" i="17"/>
  <c r="M45" i="17" s="1"/>
  <c r="L6" i="43"/>
  <c r="M6" i="43" s="1"/>
  <c r="L46" i="43"/>
  <c r="M46" i="43" s="1"/>
  <c r="L42" i="43"/>
  <c r="M42" i="43" s="1"/>
  <c r="L43" i="17"/>
  <c r="M43" i="17" s="1"/>
  <c r="L3" i="43"/>
  <c r="M3" i="43" s="1"/>
  <c r="L4" i="17"/>
  <c r="M4" i="17" s="1"/>
  <c r="L9" i="43"/>
  <c r="M9" i="43" s="1"/>
  <c r="H4" i="28"/>
  <c r="I4" i="47" s="1"/>
  <c r="L10" i="43"/>
  <c r="M10" i="43" s="1"/>
  <c r="L30" i="43"/>
  <c r="M30" i="43" s="1"/>
  <c r="L22" i="17"/>
  <c r="M22" i="17" s="1"/>
  <c r="L28" i="17"/>
  <c r="M28" i="17" s="1"/>
  <c r="L11" i="43"/>
  <c r="M11" i="43" s="1"/>
  <c r="L31" i="43"/>
  <c r="M31" i="43" s="1"/>
  <c r="L7" i="43"/>
  <c r="M7" i="43" s="1"/>
  <c r="L48" i="17"/>
  <c r="M48" i="17" s="1"/>
  <c r="H13" i="28"/>
  <c r="I13" i="47" s="1"/>
  <c r="L12" i="16"/>
  <c r="L32" i="43"/>
  <c r="M32" i="43" s="1"/>
  <c r="L52" i="43"/>
  <c r="M52" i="43" s="1"/>
  <c r="L21" i="17"/>
  <c r="M21" i="17" s="1"/>
  <c r="L8" i="17"/>
  <c r="M8" i="17" s="1"/>
  <c r="H5" i="28"/>
  <c r="I5" i="47" s="1"/>
  <c r="L13" i="43"/>
  <c r="M13" i="43" s="1"/>
  <c r="L33" i="43"/>
  <c r="M33" i="43" s="1"/>
  <c r="L53" i="43"/>
  <c r="M53" i="43" s="1"/>
  <c r="L14" i="43"/>
  <c r="M14" i="43" s="1"/>
  <c r="L34" i="43"/>
  <c r="M34" i="43" s="1"/>
  <c r="L54" i="43"/>
  <c r="M54" i="43" s="1"/>
  <c r="L15" i="43"/>
  <c r="M15" i="43" s="1"/>
  <c r="L35" i="43"/>
  <c r="M35" i="43" s="1"/>
  <c r="L55" i="43"/>
  <c r="M55" i="43" s="1"/>
  <c r="L41" i="17"/>
  <c r="M41" i="17" s="1"/>
  <c r="L24" i="43"/>
  <c r="M24" i="43" s="1"/>
  <c r="L17" i="43"/>
  <c r="M17" i="43" s="1"/>
  <c r="L37" i="43"/>
  <c r="M37" i="43" s="1"/>
  <c r="L18" i="43"/>
  <c r="M18" i="43" s="1"/>
  <c r="L38" i="43"/>
  <c r="M38" i="43" s="1"/>
  <c r="H3" i="28"/>
  <c r="I3" i="47" s="1"/>
  <c r="H12" i="28"/>
  <c r="I12" i="47" s="1"/>
  <c r="H2" i="28"/>
  <c r="I2" i="47" s="1"/>
  <c r="H14" i="28"/>
  <c r="H10" i="28"/>
  <c r="I10" i="47" s="1"/>
  <c r="H9" i="28"/>
  <c r="I9" i="47" s="1"/>
  <c r="H8" i="28"/>
  <c r="I8" i="47" s="1"/>
  <c r="H7" i="28"/>
  <c r="H11" i="28"/>
  <c r="I11" i="47" s="1"/>
  <c r="F4" i="25"/>
  <c r="E4" i="25"/>
  <c r="F4" i="20"/>
  <c r="E4" i="20"/>
  <c r="F4" i="18"/>
  <c r="E4" i="18"/>
  <c r="F4" i="19"/>
  <c r="F4" i="24"/>
  <c r="E4" i="24" s="1"/>
  <c r="E56" i="43"/>
  <c r="E55" i="43"/>
  <c r="E54" i="43"/>
  <c r="E53" i="43"/>
  <c r="E52" i="43"/>
  <c r="E51" i="43"/>
  <c r="E50" i="43"/>
  <c r="E49" i="43"/>
  <c r="E48" i="43"/>
  <c r="E47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E19" i="43"/>
  <c r="E18" i="43"/>
  <c r="E17" i="43"/>
  <c r="E16" i="43"/>
  <c r="E15" i="43"/>
  <c r="E14" i="43"/>
  <c r="E13" i="43"/>
  <c r="E12" i="43"/>
  <c r="E11" i="43"/>
  <c r="E10" i="43"/>
  <c r="E9" i="43"/>
  <c r="E8" i="43"/>
  <c r="E7" i="43"/>
  <c r="E6" i="43"/>
  <c r="E5" i="43"/>
  <c r="E4" i="43"/>
  <c r="E3" i="43"/>
  <c r="E2" i="43"/>
  <c r="H56" i="43"/>
  <c r="H55" i="43"/>
  <c r="H54" i="43"/>
  <c r="H53" i="43"/>
  <c r="H52" i="43"/>
  <c r="H51" i="43"/>
  <c r="H50" i="43"/>
  <c r="H49" i="43"/>
  <c r="H48" i="43"/>
  <c r="H47" i="43"/>
  <c r="H46" i="43"/>
  <c r="H45" i="43"/>
  <c r="H44" i="43"/>
  <c r="H43" i="43"/>
  <c r="H42" i="43"/>
  <c r="H41" i="43"/>
  <c r="H40" i="43"/>
  <c r="H39" i="43"/>
  <c r="H38" i="43"/>
  <c r="H37" i="43"/>
  <c r="H36" i="43"/>
  <c r="H35" i="43"/>
  <c r="H34" i="43"/>
  <c r="H33" i="43"/>
  <c r="H32" i="43"/>
  <c r="H31" i="43"/>
  <c r="H30" i="43"/>
  <c r="H29" i="43"/>
  <c r="H28" i="43"/>
  <c r="H27" i="43"/>
  <c r="H26" i="43"/>
  <c r="H25" i="43"/>
  <c r="H24" i="43"/>
  <c r="H23" i="43"/>
  <c r="H22" i="43"/>
  <c r="H21" i="43"/>
  <c r="H20" i="43"/>
  <c r="H19" i="43"/>
  <c r="H18" i="43"/>
  <c r="H17" i="43"/>
  <c r="H16" i="43"/>
  <c r="H15" i="43"/>
  <c r="H14" i="43"/>
  <c r="H13" i="43"/>
  <c r="H12" i="43"/>
  <c r="H11" i="43"/>
  <c r="H10" i="43"/>
  <c r="H9" i="43"/>
  <c r="H8" i="43"/>
  <c r="H7" i="43"/>
  <c r="H6" i="43"/>
  <c r="H5" i="43"/>
  <c r="H4" i="43"/>
  <c r="H3" i="43"/>
  <c r="H2" i="43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H4" i="17"/>
  <c r="H3" i="17"/>
  <c r="H2" i="17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H4" i="16"/>
  <c r="H3" i="16"/>
  <c r="I56" i="3"/>
  <c r="H56" i="3"/>
  <c r="I56" i="17" s="1"/>
  <c r="I55" i="3"/>
  <c r="H55" i="3"/>
  <c r="I55" i="17" s="1"/>
  <c r="I54" i="3"/>
  <c r="H54" i="3"/>
  <c r="I54" i="17" s="1"/>
  <c r="I53" i="3"/>
  <c r="H53" i="3"/>
  <c r="I53" i="17" s="1"/>
  <c r="I52" i="3"/>
  <c r="H52" i="3"/>
  <c r="I52" i="17" s="1"/>
  <c r="I51" i="3"/>
  <c r="H51" i="3"/>
  <c r="I51" i="17" s="1"/>
  <c r="I50" i="3"/>
  <c r="H50" i="3"/>
  <c r="I50" i="17" s="1"/>
  <c r="I49" i="3"/>
  <c r="H49" i="3"/>
  <c r="I49" i="17" s="1"/>
  <c r="I48" i="3"/>
  <c r="H48" i="3"/>
  <c r="I47" i="3"/>
  <c r="H47" i="3"/>
  <c r="I47" i="17" s="1"/>
  <c r="I46" i="3"/>
  <c r="H46" i="3"/>
  <c r="I46" i="17" s="1"/>
  <c r="I45" i="3"/>
  <c r="H45" i="3"/>
  <c r="I45" i="17" s="1"/>
  <c r="I44" i="3"/>
  <c r="H44" i="3"/>
  <c r="I44" i="17" s="1"/>
  <c r="I43" i="3"/>
  <c r="H43" i="3"/>
  <c r="I43" i="17" s="1"/>
  <c r="I42" i="3"/>
  <c r="H42" i="3"/>
  <c r="I42" i="17" s="1"/>
  <c r="I41" i="3"/>
  <c r="H41" i="3"/>
  <c r="I41" i="17" s="1"/>
  <c r="I40" i="3"/>
  <c r="H40" i="3"/>
  <c r="I40" i="17" s="1"/>
  <c r="I39" i="3"/>
  <c r="H39" i="3"/>
  <c r="I39" i="17" s="1"/>
  <c r="I38" i="3"/>
  <c r="H38" i="3"/>
  <c r="I38" i="17" s="1"/>
  <c r="I37" i="3"/>
  <c r="H37" i="3"/>
  <c r="I37" i="17" s="1"/>
  <c r="I36" i="3"/>
  <c r="H36" i="3"/>
  <c r="I36" i="17" s="1"/>
  <c r="I35" i="3"/>
  <c r="H35" i="3"/>
  <c r="I35" i="17" s="1"/>
  <c r="I34" i="3"/>
  <c r="H34" i="3"/>
  <c r="I34" i="17" s="1"/>
  <c r="I33" i="3"/>
  <c r="H33" i="3"/>
  <c r="I33" i="17" s="1"/>
  <c r="I32" i="3"/>
  <c r="H32" i="3"/>
  <c r="I32" i="17" s="1"/>
  <c r="I31" i="3"/>
  <c r="H31" i="3"/>
  <c r="I31" i="17" s="1"/>
  <c r="I30" i="3"/>
  <c r="H30" i="3"/>
  <c r="I30" i="17" s="1"/>
  <c r="I29" i="3"/>
  <c r="H29" i="3"/>
  <c r="I29" i="17" s="1"/>
  <c r="I28" i="3"/>
  <c r="H28" i="3"/>
  <c r="I27" i="3"/>
  <c r="H27" i="3"/>
  <c r="I27" i="17" s="1"/>
  <c r="I26" i="3"/>
  <c r="H26" i="3"/>
  <c r="I26" i="17" s="1"/>
  <c r="I25" i="3"/>
  <c r="H25" i="3"/>
  <c r="I25" i="17" s="1"/>
  <c r="I24" i="3"/>
  <c r="H24" i="3"/>
  <c r="I24" i="17" s="1"/>
  <c r="I23" i="3"/>
  <c r="H23" i="3"/>
  <c r="I23" i="17" s="1"/>
  <c r="I22" i="3"/>
  <c r="H22" i="3"/>
  <c r="I22" i="17" s="1"/>
  <c r="I21" i="3"/>
  <c r="H21" i="3"/>
  <c r="I21" i="17" s="1"/>
  <c r="I20" i="3"/>
  <c r="H20" i="3"/>
  <c r="I20" i="17" s="1"/>
  <c r="I19" i="3"/>
  <c r="H19" i="3"/>
  <c r="I19" i="17" s="1"/>
  <c r="I18" i="3"/>
  <c r="H18" i="3"/>
  <c r="I18" i="17" s="1"/>
  <c r="I17" i="3"/>
  <c r="H17" i="3"/>
  <c r="I17" i="17" s="1"/>
  <c r="I16" i="3"/>
  <c r="H16" i="3"/>
  <c r="I16" i="17" s="1"/>
  <c r="I15" i="3"/>
  <c r="H15" i="3"/>
  <c r="I15" i="17" s="1"/>
  <c r="I14" i="3"/>
  <c r="H14" i="3"/>
  <c r="I14" i="17" s="1"/>
  <c r="I13" i="3"/>
  <c r="H13" i="3"/>
  <c r="I13" i="17" s="1"/>
  <c r="I12" i="3"/>
  <c r="H12" i="3"/>
  <c r="I12" i="17" s="1"/>
  <c r="I11" i="3"/>
  <c r="H11" i="3"/>
  <c r="I11" i="17" s="1"/>
  <c r="I10" i="3"/>
  <c r="H10" i="3"/>
  <c r="I10" i="17" s="1"/>
  <c r="I9" i="3"/>
  <c r="H9" i="3"/>
  <c r="I9" i="17" s="1"/>
  <c r="I8" i="3"/>
  <c r="H8" i="3"/>
  <c r="I7" i="3"/>
  <c r="H7" i="3"/>
  <c r="I7" i="17" s="1"/>
  <c r="I6" i="3"/>
  <c r="H6" i="3"/>
  <c r="I6" i="17" s="1"/>
  <c r="I5" i="3"/>
  <c r="H5" i="3"/>
  <c r="I5" i="17" s="1"/>
  <c r="I4" i="3"/>
  <c r="H4" i="3"/>
  <c r="I4" i="17" s="1"/>
  <c r="I3" i="3"/>
  <c r="H3" i="3"/>
  <c r="I3" i="17" s="1"/>
  <c r="I2" i="3"/>
  <c r="H2" i="3"/>
  <c r="I2" i="17" s="1"/>
  <c r="F4" i="8"/>
  <c r="D4" i="47" s="1"/>
  <c r="E4" i="8"/>
  <c r="G4" i="5"/>
  <c r="F4" i="5"/>
  <c r="N228" i="32"/>
  <c r="M228" i="32"/>
  <c r="L228" i="32"/>
  <c r="K228" i="32"/>
  <c r="J228" i="32"/>
  <c r="I228" i="32"/>
  <c r="H228" i="32"/>
  <c r="G228" i="32"/>
  <c r="F228" i="32"/>
  <c r="E228" i="32"/>
  <c r="N227" i="32"/>
  <c r="M227" i="32"/>
  <c r="L227" i="32"/>
  <c r="K227" i="32"/>
  <c r="J227" i="32"/>
  <c r="I227" i="32"/>
  <c r="H227" i="32"/>
  <c r="G227" i="32"/>
  <c r="F227" i="32"/>
  <c r="E227" i="32"/>
  <c r="N226" i="32"/>
  <c r="M226" i="32"/>
  <c r="L226" i="32"/>
  <c r="K226" i="32"/>
  <c r="J226" i="32"/>
  <c r="I226" i="32"/>
  <c r="H226" i="32"/>
  <c r="G226" i="32"/>
  <c r="F226" i="32"/>
  <c r="E226" i="32"/>
  <c r="N225" i="32"/>
  <c r="M225" i="32"/>
  <c r="L225" i="32"/>
  <c r="K225" i="32"/>
  <c r="J225" i="32"/>
  <c r="I225" i="32"/>
  <c r="H225" i="32"/>
  <c r="G225" i="32"/>
  <c r="F225" i="32"/>
  <c r="E225" i="32"/>
  <c r="N224" i="32"/>
  <c r="M224" i="32"/>
  <c r="L224" i="32"/>
  <c r="K224" i="32"/>
  <c r="J224" i="32"/>
  <c r="I224" i="32"/>
  <c r="H224" i="32"/>
  <c r="G224" i="32"/>
  <c r="F224" i="32"/>
  <c r="E224" i="32"/>
  <c r="N223" i="32"/>
  <c r="M223" i="32"/>
  <c r="L223" i="32"/>
  <c r="K223" i="32"/>
  <c r="J223" i="32"/>
  <c r="I223" i="32"/>
  <c r="H223" i="32"/>
  <c r="G223" i="32"/>
  <c r="F223" i="32"/>
  <c r="E223" i="32"/>
  <c r="N222" i="32"/>
  <c r="M222" i="32"/>
  <c r="L222" i="32"/>
  <c r="K222" i="32"/>
  <c r="J222" i="32"/>
  <c r="I222" i="32"/>
  <c r="H222" i="32"/>
  <c r="G222" i="32"/>
  <c r="F222" i="32"/>
  <c r="E222" i="32"/>
  <c r="N221" i="32"/>
  <c r="M221" i="32"/>
  <c r="L221" i="32"/>
  <c r="K221" i="32"/>
  <c r="J221" i="32"/>
  <c r="I221" i="32"/>
  <c r="H221" i="32"/>
  <c r="G221" i="32"/>
  <c r="F221" i="32"/>
  <c r="E221" i="32"/>
  <c r="N220" i="32"/>
  <c r="M220" i="32"/>
  <c r="L220" i="32"/>
  <c r="K220" i="32"/>
  <c r="J220" i="32"/>
  <c r="I220" i="32"/>
  <c r="H220" i="32"/>
  <c r="G220" i="32"/>
  <c r="F220" i="32"/>
  <c r="E220" i="32"/>
  <c r="N219" i="32"/>
  <c r="M219" i="32"/>
  <c r="L219" i="32"/>
  <c r="K219" i="32"/>
  <c r="J219" i="32"/>
  <c r="I219" i="32"/>
  <c r="H219" i="32"/>
  <c r="G219" i="32"/>
  <c r="F219" i="32"/>
  <c r="E219" i="32"/>
  <c r="N218" i="32"/>
  <c r="M218" i="32"/>
  <c r="L218" i="32"/>
  <c r="K218" i="32"/>
  <c r="J218" i="32"/>
  <c r="I218" i="32"/>
  <c r="H218" i="32"/>
  <c r="G218" i="32"/>
  <c r="F218" i="32"/>
  <c r="E218" i="32"/>
  <c r="N217" i="32"/>
  <c r="M217" i="32"/>
  <c r="L217" i="32"/>
  <c r="K217" i="32"/>
  <c r="J217" i="32"/>
  <c r="I217" i="32"/>
  <c r="H217" i="32"/>
  <c r="G217" i="32"/>
  <c r="F217" i="32"/>
  <c r="E217" i="32"/>
  <c r="N216" i="32"/>
  <c r="M216" i="32"/>
  <c r="L216" i="32"/>
  <c r="K216" i="32"/>
  <c r="J216" i="32"/>
  <c r="I216" i="32"/>
  <c r="H216" i="32"/>
  <c r="G216" i="32"/>
  <c r="F216" i="32"/>
  <c r="E216" i="32"/>
  <c r="N215" i="32"/>
  <c r="M215" i="32"/>
  <c r="L215" i="32"/>
  <c r="K215" i="32"/>
  <c r="J215" i="32"/>
  <c r="I215" i="32"/>
  <c r="H215" i="32"/>
  <c r="G215" i="32"/>
  <c r="F215" i="32"/>
  <c r="E215" i="32"/>
  <c r="N214" i="32"/>
  <c r="M214" i="32"/>
  <c r="L214" i="32"/>
  <c r="K214" i="32"/>
  <c r="J214" i="32"/>
  <c r="I214" i="32"/>
  <c r="H214" i="32"/>
  <c r="G214" i="32"/>
  <c r="F214" i="32"/>
  <c r="E214" i="32"/>
  <c r="N213" i="32"/>
  <c r="M213" i="32"/>
  <c r="L213" i="32"/>
  <c r="K213" i="32"/>
  <c r="J213" i="32"/>
  <c r="I213" i="32"/>
  <c r="H213" i="32"/>
  <c r="G213" i="32"/>
  <c r="F213" i="32"/>
  <c r="E213" i="32"/>
  <c r="N212" i="32"/>
  <c r="M212" i="32"/>
  <c r="L212" i="32"/>
  <c r="K212" i="32"/>
  <c r="J212" i="32"/>
  <c r="I212" i="32"/>
  <c r="H212" i="32"/>
  <c r="G212" i="32"/>
  <c r="F212" i="32"/>
  <c r="E212" i="32"/>
  <c r="N211" i="32"/>
  <c r="M211" i="32"/>
  <c r="L211" i="32"/>
  <c r="K211" i="32"/>
  <c r="J211" i="32"/>
  <c r="I211" i="32"/>
  <c r="H211" i="32"/>
  <c r="G211" i="32"/>
  <c r="F211" i="32"/>
  <c r="E211" i="32"/>
  <c r="N210" i="32"/>
  <c r="M210" i="32"/>
  <c r="L210" i="32"/>
  <c r="K210" i="32"/>
  <c r="J210" i="32"/>
  <c r="I210" i="32"/>
  <c r="H210" i="32"/>
  <c r="G210" i="32"/>
  <c r="F210" i="32"/>
  <c r="E210" i="32"/>
  <c r="N209" i="32"/>
  <c r="M209" i="32"/>
  <c r="L209" i="32"/>
  <c r="K209" i="32"/>
  <c r="J209" i="32"/>
  <c r="I209" i="32"/>
  <c r="H209" i="32"/>
  <c r="G209" i="32"/>
  <c r="F209" i="32"/>
  <c r="E209" i="32"/>
  <c r="N208" i="32"/>
  <c r="M208" i="32"/>
  <c r="L208" i="32"/>
  <c r="K208" i="32"/>
  <c r="J208" i="32"/>
  <c r="I208" i="32"/>
  <c r="H208" i="32"/>
  <c r="G208" i="32"/>
  <c r="F208" i="32"/>
  <c r="E208" i="32"/>
  <c r="N207" i="32"/>
  <c r="M207" i="32"/>
  <c r="L207" i="32"/>
  <c r="K207" i="32"/>
  <c r="J207" i="32"/>
  <c r="I207" i="32"/>
  <c r="H207" i="32"/>
  <c r="G207" i="32"/>
  <c r="F207" i="32"/>
  <c r="E207" i="32"/>
  <c r="N206" i="32"/>
  <c r="M206" i="32"/>
  <c r="L206" i="32"/>
  <c r="K206" i="32"/>
  <c r="J206" i="32"/>
  <c r="I206" i="32"/>
  <c r="H206" i="32"/>
  <c r="G206" i="32"/>
  <c r="F206" i="32"/>
  <c r="E206" i="32"/>
  <c r="N205" i="32"/>
  <c r="M205" i="32"/>
  <c r="L205" i="32"/>
  <c r="K205" i="32"/>
  <c r="J205" i="32"/>
  <c r="I205" i="32"/>
  <c r="H205" i="32"/>
  <c r="G205" i="32"/>
  <c r="F205" i="32"/>
  <c r="E205" i="32"/>
  <c r="N204" i="32"/>
  <c r="M204" i="32"/>
  <c r="L204" i="32"/>
  <c r="K204" i="32"/>
  <c r="J204" i="32"/>
  <c r="I204" i="32"/>
  <c r="H204" i="32"/>
  <c r="G204" i="32"/>
  <c r="F204" i="32"/>
  <c r="E204" i="32"/>
  <c r="N203" i="32"/>
  <c r="M203" i="32"/>
  <c r="L203" i="32"/>
  <c r="K203" i="32"/>
  <c r="J203" i="32"/>
  <c r="I203" i="32"/>
  <c r="H203" i="32"/>
  <c r="G203" i="32"/>
  <c r="F203" i="32"/>
  <c r="E203" i="32"/>
  <c r="N202" i="32"/>
  <c r="M202" i="32"/>
  <c r="L202" i="32"/>
  <c r="K202" i="32"/>
  <c r="J202" i="32"/>
  <c r="I202" i="32"/>
  <c r="H202" i="32"/>
  <c r="G202" i="32"/>
  <c r="F202" i="32"/>
  <c r="E202" i="32"/>
  <c r="N201" i="32"/>
  <c r="M201" i="32"/>
  <c r="L201" i="32"/>
  <c r="K201" i="32"/>
  <c r="J201" i="32"/>
  <c r="I201" i="32"/>
  <c r="H201" i="32"/>
  <c r="G201" i="32"/>
  <c r="F201" i="32"/>
  <c r="E201" i="32"/>
  <c r="N200" i="32"/>
  <c r="M200" i="32"/>
  <c r="L200" i="32"/>
  <c r="K200" i="32"/>
  <c r="J200" i="32"/>
  <c r="I200" i="32"/>
  <c r="H200" i="32"/>
  <c r="G200" i="32"/>
  <c r="F200" i="32"/>
  <c r="E200" i="32"/>
  <c r="N199" i="32"/>
  <c r="M199" i="32"/>
  <c r="L199" i="32"/>
  <c r="K199" i="32"/>
  <c r="J199" i="32"/>
  <c r="I199" i="32"/>
  <c r="H199" i="32"/>
  <c r="G199" i="32"/>
  <c r="F199" i="32"/>
  <c r="E199" i="32"/>
  <c r="N198" i="32"/>
  <c r="M198" i="32"/>
  <c r="L198" i="32"/>
  <c r="K198" i="32"/>
  <c r="J198" i="32"/>
  <c r="I198" i="32"/>
  <c r="H198" i="32"/>
  <c r="G198" i="32"/>
  <c r="F198" i="32"/>
  <c r="E198" i="32"/>
  <c r="N197" i="32"/>
  <c r="M197" i="32"/>
  <c r="L197" i="32"/>
  <c r="K197" i="32"/>
  <c r="J197" i="32"/>
  <c r="I197" i="32"/>
  <c r="H197" i="32"/>
  <c r="G197" i="32"/>
  <c r="F197" i="32"/>
  <c r="E197" i="32"/>
  <c r="N196" i="32"/>
  <c r="M196" i="32"/>
  <c r="L196" i="32"/>
  <c r="K196" i="32"/>
  <c r="J196" i="32"/>
  <c r="I196" i="32"/>
  <c r="H196" i="32"/>
  <c r="G196" i="32"/>
  <c r="F196" i="32"/>
  <c r="E196" i="32"/>
  <c r="N195" i="32"/>
  <c r="M195" i="32"/>
  <c r="L195" i="32"/>
  <c r="K195" i="32"/>
  <c r="J195" i="32"/>
  <c r="I195" i="32"/>
  <c r="H195" i="32"/>
  <c r="G195" i="32"/>
  <c r="F195" i="32"/>
  <c r="E195" i="32"/>
  <c r="N194" i="32"/>
  <c r="M194" i="32"/>
  <c r="L194" i="32"/>
  <c r="K194" i="32"/>
  <c r="J194" i="32"/>
  <c r="I194" i="32"/>
  <c r="H194" i="32"/>
  <c r="G194" i="32"/>
  <c r="F194" i="32"/>
  <c r="E194" i="32"/>
  <c r="N193" i="32"/>
  <c r="M193" i="32"/>
  <c r="L193" i="32"/>
  <c r="K193" i="32"/>
  <c r="J193" i="32"/>
  <c r="I193" i="32"/>
  <c r="H193" i="32"/>
  <c r="G193" i="32"/>
  <c r="F193" i="32"/>
  <c r="E193" i="32"/>
  <c r="N192" i="32"/>
  <c r="M192" i="32"/>
  <c r="L192" i="32"/>
  <c r="K192" i="32"/>
  <c r="J192" i="32"/>
  <c r="I192" i="32"/>
  <c r="H192" i="32"/>
  <c r="G192" i="32"/>
  <c r="F192" i="32"/>
  <c r="E192" i="32"/>
  <c r="N191" i="32"/>
  <c r="M191" i="32"/>
  <c r="L191" i="32"/>
  <c r="K191" i="32"/>
  <c r="J191" i="32"/>
  <c r="I191" i="32"/>
  <c r="H191" i="32"/>
  <c r="G191" i="32"/>
  <c r="F191" i="32"/>
  <c r="E191" i="32"/>
  <c r="N190" i="32"/>
  <c r="M190" i="32"/>
  <c r="L190" i="32"/>
  <c r="K190" i="32"/>
  <c r="J190" i="32"/>
  <c r="I190" i="32"/>
  <c r="H190" i="32"/>
  <c r="G190" i="32"/>
  <c r="F190" i="32"/>
  <c r="E190" i="32"/>
  <c r="N189" i="32"/>
  <c r="M189" i="32"/>
  <c r="L189" i="32"/>
  <c r="K189" i="32"/>
  <c r="J189" i="32"/>
  <c r="I189" i="32"/>
  <c r="H189" i="32"/>
  <c r="G189" i="32"/>
  <c r="F189" i="32"/>
  <c r="E189" i="32"/>
  <c r="N188" i="32"/>
  <c r="M188" i="32"/>
  <c r="L188" i="32"/>
  <c r="K188" i="32"/>
  <c r="J188" i="32"/>
  <c r="I188" i="32"/>
  <c r="H188" i="32"/>
  <c r="G188" i="32"/>
  <c r="F188" i="32"/>
  <c r="E188" i="32"/>
  <c r="N187" i="32"/>
  <c r="M187" i="32"/>
  <c r="L187" i="32"/>
  <c r="K187" i="32"/>
  <c r="J187" i="32"/>
  <c r="I187" i="32"/>
  <c r="H187" i="32"/>
  <c r="G187" i="32"/>
  <c r="F187" i="32"/>
  <c r="E187" i="32"/>
  <c r="N186" i="32"/>
  <c r="M186" i="32"/>
  <c r="L186" i="32"/>
  <c r="K186" i="32"/>
  <c r="J186" i="32"/>
  <c r="I186" i="32"/>
  <c r="H186" i="32"/>
  <c r="G186" i="32"/>
  <c r="F186" i="32"/>
  <c r="E186" i="32"/>
  <c r="N185" i="32"/>
  <c r="M185" i="32"/>
  <c r="L185" i="32"/>
  <c r="K185" i="32"/>
  <c r="J185" i="32"/>
  <c r="I185" i="32"/>
  <c r="H185" i="32"/>
  <c r="G185" i="32"/>
  <c r="F185" i="32"/>
  <c r="E185" i="32"/>
  <c r="N184" i="32"/>
  <c r="M184" i="32"/>
  <c r="L184" i="32"/>
  <c r="K184" i="32"/>
  <c r="J184" i="32"/>
  <c r="I184" i="32"/>
  <c r="H184" i="32"/>
  <c r="G184" i="32"/>
  <c r="F184" i="32"/>
  <c r="E184" i="32"/>
  <c r="N183" i="32"/>
  <c r="M183" i="32"/>
  <c r="L183" i="32"/>
  <c r="K183" i="32"/>
  <c r="J183" i="32"/>
  <c r="I183" i="32"/>
  <c r="H183" i="32"/>
  <c r="G183" i="32"/>
  <c r="F183" i="32"/>
  <c r="E183" i="32"/>
  <c r="N182" i="32"/>
  <c r="M182" i="32"/>
  <c r="L182" i="32"/>
  <c r="K182" i="32"/>
  <c r="J182" i="32"/>
  <c r="I182" i="32"/>
  <c r="H182" i="32"/>
  <c r="G182" i="32"/>
  <c r="F182" i="32"/>
  <c r="E182" i="32"/>
  <c r="N181" i="32"/>
  <c r="M181" i="32"/>
  <c r="L181" i="32"/>
  <c r="K181" i="32"/>
  <c r="J181" i="32"/>
  <c r="I181" i="32"/>
  <c r="H181" i="32"/>
  <c r="G181" i="32"/>
  <c r="F181" i="32"/>
  <c r="E181" i="32"/>
  <c r="N180" i="32"/>
  <c r="M180" i="32"/>
  <c r="L180" i="32"/>
  <c r="K180" i="32"/>
  <c r="J180" i="32"/>
  <c r="I180" i="32"/>
  <c r="H180" i="32"/>
  <c r="G180" i="32"/>
  <c r="F180" i="32"/>
  <c r="E180" i="32"/>
  <c r="N179" i="32"/>
  <c r="M179" i="32"/>
  <c r="L179" i="32"/>
  <c r="K179" i="32"/>
  <c r="J179" i="32"/>
  <c r="I179" i="32"/>
  <c r="H179" i="32"/>
  <c r="G179" i="32"/>
  <c r="F179" i="32"/>
  <c r="E179" i="32"/>
  <c r="N178" i="32"/>
  <c r="M178" i="32"/>
  <c r="L178" i="32"/>
  <c r="K178" i="32"/>
  <c r="J178" i="32"/>
  <c r="I178" i="32"/>
  <c r="H178" i="32"/>
  <c r="G178" i="32"/>
  <c r="F178" i="32"/>
  <c r="E178" i="32"/>
  <c r="N177" i="32"/>
  <c r="M177" i="32"/>
  <c r="L177" i="32"/>
  <c r="K177" i="32"/>
  <c r="J177" i="32"/>
  <c r="I177" i="32"/>
  <c r="H177" i="32"/>
  <c r="G177" i="32"/>
  <c r="F177" i="32"/>
  <c r="E177" i="32"/>
  <c r="N176" i="32"/>
  <c r="M176" i="32"/>
  <c r="L176" i="32"/>
  <c r="K176" i="32"/>
  <c r="J176" i="32"/>
  <c r="I176" i="32"/>
  <c r="H176" i="32"/>
  <c r="G176" i="32"/>
  <c r="F176" i="32"/>
  <c r="E176" i="32"/>
  <c r="N175" i="32"/>
  <c r="M175" i="32"/>
  <c r="L175" i="32"/>
  <c r="K175" i="32"/>
  <c r="J175" i="32"/>
  <c r="I175" i="32"/>
  <c r="H175" i="32"/>
  <c r="G175" i="32"/>
  <c r="F175" i="32"/>
  <c r="E175" i="32"/>
  <c r="N174" i="32"/>
  <c r="M174" i="32"/>
  <c r="L174" i="32"/>
  <c r="K174" i="32"/>
  <c r="J174" i="32"/>
  <c r="I174" i="32"/>
  <c r="H174" i="32"/>
  <c r="G174" i="32"/>
  <c r="F174" i="32"/>
  <c r="E174" i="32"/>
  <c r="N173" i="32"/>
  <c r="M173" i="32"/>
  <c r="L173" i="32"/>
  <c r="K173" i="32"/>
  <c r="J173" i="32"/>
  <c r="I173" i="32"/>
  <c r="H173" i="32"/>
  <c r="G173" i="32"/>
  <c r="F173" i="32"/>
  <c r="E173" i="32"/>
  <c r="H4" i="8" l="1"/>
  <c r="E4" i="47" s="1"/>
  <c r="C4" i="47"/>
  <c r="I8" i="43"/>
  <c r="I28" i="43"/>
  <c r="I52" i="43"/>
  <c r="I32" i="43"/>
  <c r="I48" i="43"/>
  <c r="I12" i="43"/>
  <c r="I11" i="43"/>
  <c r="I31" i="43"/>
  <c r="I3" i="43"/>
  <c r="I13" i="43"/>
  <c r="I23" i="43"/>
  <c r="I33" i="43"/>
  <c r="I43" i="43"/>
  <c r="I53" i="43"/>
  <c r="I10" i="43"/>
  <c r="I30" i="43"/>
  <c r="I51" i="43"/>
  <c r="I4" i="43"/>
  <c r="I24" i="43"/>
  <c r="I34" i="43"/>
  <c r="I54" i="43"/>
  <c r="I50" i="43"/>
  <c r="I14" i="43"/>
  <c r="I44" i="43"/>
  <c r="I27" i="43"/>
  <c r="I7" i="43"/>
  <c r="I17" i="43"/>
  <c r="I37" i="43"/>
  <c r="I18" i="43"/>
  <c r="I38" i="43"/>
  <c r="I29" i="43"/>
  <c r="I39" i="43"/>
  <c r="I49" i="43"/>
  <c r="I20" i="43"/>
  <c r="I40" i="43"/>
  <c r="I21" i="43"/>
  <c r="I41" i="43"/>
  <c r="I2" i="43"/>
  <c r="I22" i="43"/>
  <c r="I42" i="43"/>
  <c r="I5" i="43"/>
  <c r="I15" i="43"/>
  <c r="I25" i="43"/>
  <c r="I35" i="43"/>
  <c r="I45" i="43"/>
  <c r="I55" i="43"/>
  <c r="I6" i="43"/>
  <c r="I16" i="43"/>
  <c r="I26" i="43"/>
  <c r="I36" i="43"/>
  <c r="I46" i="43"/>
  <c r="I56" i="43"/>
  <c r="I47" i="43"/>
  <c r="I19" i="43"/>
  <c r="I9" i="43"/>
  <c r="I8" i="17"/>
  <c r="I28" i="17"/>
  <c r="I48" i="17"/>
  <c r="F14" i="44"/>
  <c r="E14" i="44"/>
  <c r="G14" i="44" s="1"/>
  <c r="G13" i="44"/>
  <c r="G12" i="44"/>
  <c r="G11" i="44"/>
  <c r="G10" i="44"/>
  <c r="G9" i="44"/>
  <c r="J8" i="44"/>
  <c r="I8" i="44"/>
  <c r="K8" i="44" s="1"/>
  <c r="G8" i="44"/>
  <c r="G7" i="44"/>
  <c r="G6" i="44"/>
  <c r="G5" i="44"/>
  <c r="G4" i="44"/>
  <c r="G3" i="44"/>
  <c r="G2" i="44"/>
  <c r="M6" i="25"/>
  <c r="F3" i="25" l="1"/>
  <c r="E3" i="25"/>
  <c r="F2" i="25"/>
  <c r="E2" i="25"/>
  <c r="F3" i="20"/>
  <c r="E3" i="20"/>
  <c r="F2" i="20"/>
  <c r="E2" i="20"/>
  <c r="H13" i="23"/>
  <c r="J13" i="23" s="1"/>
  <c r="F2" i="18"/>
  <c r="E2" i="18"/>
  <c r="F3" i="18"/>
  <c r="E3" i="18"/>
  <c r="F3" i="19"/>
  <c r="F2" i="19"/>
  <c r="F3" i="24"/>
  <c r="E3" i="24" s="1"/>
  <c r="F2" i="24"/>
  <c r="E2" i="24" s="1"/>
  <c r="B56" i="43"/>
  <c r="AL56" i="43" s="1"/>
  <c r="B55" i="43"/>
  <c r="AL55" i="43" s="1"/>
  <c r="B54" i="43"/>
  <c r="AL54" i="43" s="1"/>
  <c r="B53" i="43"/>
  <c r="AL53" i="43" s="1"/>
  <c r="B52" i="43"/>
  <c r="AL52" i="43" s="1"/>
  <c r="B51" i="43"/>
  <c r="AL51" i="43" s="1"/>
  <c r="B50" i="43"/>
  <c r="AL50" i="43" s="1"/>
  <c r="B49" i="43"/>
  <c r="AL49" i="43" s="1"/>
  <c r="B48" i="43"/>
  <c r="AL48" i="43" s="1"/>
  <c r="B47" i="43"/>
  <c r="AL47" i="43" s="1"/>
  <c r="B46" i="43"/>
  <c r="AL46" i="43" s="1"/>
  <c r="B45" i="43"/>
  <c r="AL45" i="43" s="1"/>
  <c r="B44" i="43"/>
  <c r="AL44" i="43" s="1"/>
  <c r="B43" i="43"/>
  <c r="AL43" i="43" s="1"/>
  <c r="B42" i="43"/>
  <c r="AL42" i="43" s="1"/>
  <c r="B41" i="43"/>
  <c r="AL41" i="43" s="1"/>
  <c r="B40" i="43"/>
  <c r="AL40" i="43" s="1"/>
  <c r="B39" i="43"/>
  <c r="AL39" i="43" s="1"/>
  <c r="B38" i="43"/>
  <c r="AL38" i="43" s="1"/>
  <c r="B37" i="43"/>
  <c r="AL37" i="43" s="1"/>
  <c r="B36" i="43"/>
  <c r="AL36" i="43" s="1"/>
  <c r="B35" i="43"/>
  <c r="AL35" i="43" s="1"/>
  <c r="B34" i="43"/>
  <c r="AL34" i="43" s="1"/>
  <c r="B33" i="43"/>
  <c r="AL33" i="43" s="1"/>
  <c r="B32" i="43"/>
  <c r="AL32" i="43" s="1"/>
  <c r="B31" i="43"/>
  <c r="AL31" i="43" s="1"/>
  <c r="B30" i="43"/>
  <c r="AL30" i="43" s="1"/>
  <c r="B29" i="43"/>
  <c r="AL29" i="43" s="1"/>
  <c r="B28" i="43"/>
  <c r="AL28" i="43" s="1"/>
  <c r="B27" i="43"/>
  <c r="AL27" i="43" s="1"/>
  <c r="B26" i="43"/>
  <c r="AL26" i="43" s="1"/>
  <c r="B25" i="43"/>
  <c r="AL25" i="43" s="1"/>
  <c r="B24" i="43"/>
  <c r="AL24" i="43" s="1"/>
  <c r="B23" i="43"/>
  <c r="AL23" i="43" s="1"/>
  <c r="B22" i="43"/>
  <c r="AL22" i="43" s="1"/>
  <c r="B21" i="43"/>
  <c r="AL21" i="43" s="1"/>
  <c r="B20" i="43"/>
  <c r="AL20" i="43" s="1"/>
  <c r="B19" i="43"/>
  <c r="AL19" i="43" s="1"/>
  <c r="B18" i="43"/>
  <c r="AL18" i="43" s="1"/>
  <c r="B17" i="43"/>
  <c r="AL17" i="43" s="1"/>
  <c r="B16" i="43"/>
  <c r="AL16" i="43" s="1"/>
  <c r="B15" i="43"/>
  <c r="AL15" i="43" s="1"/>
  <c r="B14" i="43"/>
  <c r="AL14" i="43" s="1"/>
  <c r="B13" i="43"/>
  <c r="AL13" i="43" s="1"/>
  <c r="B12" i="43"/>
  <c r="AL12" i="43" s="1"/>
  <c r="B11" i="43"/>
  <c r="AL11" i="43" s="1"/>
  <c r="B10" i="43"/>
  <c r="AL10" i="43" s="1"/>
  <c r="B9" i="43"/>
  <c r="AL9" i="43" s="1"/>
  <c r="B8" i="43"/>
  <c r="AL8" i="43" s="1"/>
  <c r="B7" i="43"/>
  <c r="AL7" i="43" s="1"/>
  <c r="B6" i="43"/>
  <c r="AL6" i="43" s="1"/>
  <c r="B5" i="43"/>
  <c r="AL5" i="43" s="1"/>
  <c r="B4" i="43"/>
  <c r="AL4" i="43" s="1"/>
  <c r="B3" i="43"/>
  <c r="AL3" i="43" s="1"/>
  <c r="B2" i="43"/>
  <c r="AL2" i="43" s="1"/>
  <c r="C2" i="3"/>
  <c r="E56" i="17"/>
  <c r="E55" i="17"/>
  <c r="E54" i="17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0" i="17"/>
  <c r="E39" i="17"/>
  <c r="E38" i="17"/>
  <c r="E37" i="17"/>
  <c r="E36" i="17"/>
  <c r="E35" i="17"/>
  <c r="E34" i="17"/>
  <c r="E33" i="17"/>
  <c r="E32" i="17"/>
  <c r="E31" i="17"/>
  <c r="E30" i="17"/>
  <c r="E29" i="17"/>
  <c r="E28" i="17"/>
  <c r="E27" i="17"/>
  <c r="E26" i="17"/>
  <c r="E25" i="17"/>
  <c r="E24" i="17"/>
  <c r="E23" i="17"/>
  <c r="E22" i="17"/>
  <c r="E21" i="17"/>
  <c r="E20" i="17"/>
  <c r="E19" i="17"/>
  <c r="E18" i="17"/>
  <c r="E17" i="17"/>
  <c r="E16" i="17"/>
  <c r="E15" i="17"/>
  <c r="E14" i="17"/>
  <c r="E13" i="17"/>
  <c r="E12" i="17"/>
  <c r="E11" i="17"/>
  <c r="E10" i="17"/>
  <c r="E9" i="17"/>
  <c r="E8" i="17"/>
  <c r="E7" i="17"/>
  <c r="E6" i="17"/>
  <c r="E5" i="17"/>
  <c r="E4" i="17"/>
  <c r="E3" i="17"/>
  <c r="E2" i="17"/>
  <c r="B56" i="17"/>
  <c r="B55" i="17"/>
  <c r="B54" i="17"/>
  <c r="B53" i="17"/>
  <c r="B52" i="17"/>
  <c r="B51" i="17"/>
  <c r="B50" i="17"/>
  <c r="B49" i="17"/>
  <c r="B48" i="17"/>
  <c r="B47" i="17"/>
  <c r="B46" i="17"/>
  <c r="B45" i="17"/>
  <c r="B44" i="17"/>
  <c r="B43" i="17"/>
  <c r="B42" i="17"/>
  <c r="B40" i="17"/>
  <c r="B39" i="17"/>
  <c r="B38" i="17"/>
  <c r="B37" i="17"/>
  <c r="B36" i="17"/>
  <c r="B35" i="17"/>
  <c r="B34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B8" i="17"/>
  <c r="B7" i="17"/>
  <c r="B6" i="17"/>
  <c r="B5" i="17"/>
  <c r="B4" i="17"/>
  <c r="B3" i="17"/>
  <c r="B2" i="17"/>
  <c r="B41" i="17"/>
  <c r="B59" i="43"/>
  <c r="AJ57" i="43"/>
  <c r="AI57" i="43"/>
  <c r="AK57" i="43" s="1"/>
  <c r="AK56" i="43"/>
  <c r="AK55" i="43"/>
  <c r="AK54" i="43"/>
  <c r="AK53" i="43"/>
  <c r="AK52" i="43"/>
  <c r="AK51" i="43"/>
  <c r="AK50" i="43"/>
  <c r="AK49" i="43"/>
  <c r="AK48" i="43"/>
  <c r="AK47" i="43"/>
  <c r="AK46" i="43"/>
  <c r="AK45" i="43"/>
  <c r="AK44" i="43"/>
  <c r="AK43" i="43"/>
  <c r="AK42" i="43"/>
  <c r="AK41" i="43"/>
  <c r="AK40" i="43"/>
  <c r="AK39" i="43"/>
  <c r="AK38" i="43"/>
  <c r="AK37" i="43"/>
  <c r="AK36" i="43"/>
  <c r="AK35" i="43"/>
  <c r="AK34" i="43"/>
  <c r="AK33" i="43"/>
  <c r="AK32" i="43"/>
  <c r="AK31" i="43"/>
  <c r="AK30" i="43"/>
  <c r="AK29" i="43"/>
  <c r="AK28" i="43"/>
  <c r="AK27" i="43"/>
  <c r="AK26" i="43"/>
  <c r="AK25" i="43"/>
  <c r="AK24" i="43"/>
  <c r="AK23" i="43"/>
  <c r="AK22" i="43"/>
  <c r="AK21" i="43"/>
  <c r="AK20" i="43"/>
  <c r="AK19" i="43"/>
  <c r="AK18" i="43"/>
  <c r="AK17" i="43"/>
  <c r="AK16" i="43"/>
  <c r="AK15" i="43"/>
  <c r="AK14" i="43"/>
  <c r="AK13" i="43"/>
  <c r="AK12" i="43"/>
  <c r="AK11" i="43"/>
  <c r="AK10" i="43"/>
  <c r="AK9" i="43"/>
  <c r="AK8" i="43"/>
  <c r="AK7" i="43"/>
  <c r="AK6" i="43"/>
  <c r="AK5" i="43"/>
  <c r="AK4" i="43"/>
  <c r="AK3" i="43"/>
  <c r="AK2" i="43"/>
  <c r="E56" i="16"/>
  <c r="E55" i="16"/>
  <c r="E54" i="16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34" i="16"/>
  <c r="E33" i="16"/>
  <c r="E32" i="16"/>
  <c r="E31" i="16"/>
  <c r="E30" i="16"/>
  <c r="E29" i="16"/>
  <c r="E28" i="16"/>
  <c r="E27" i="16"/>
  <c r="E26" i="16"/>
  <c r="E25" i="16"/>
  <c r="E24" i="16"/>
  <c r="E23" i="16"/>
  <c r="E22" i="16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6" i="16"/>
  <c r="E5" i="16"/>
  <c r="E4" i="16"/>
  <c r="E3" i="16"/>
  <c r="E2" i="16"/>
  <c r="B56" i="16"/>
  <c r="AL56" i="16" s="1"/>
  <c r="B55" i="16"/>
  <c r="AL55" i="16" s="1"/>
  <c r="B54" i="16"/>
  <c r="AL54" i="16" s="1"/>
  <c r="B53" i="16"/>
  <c r="AL53" i="16" s="1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AL37" i="16" s="1"/>
  <c r="B36" i="16"/>
  <c r="AL36" i="16" s="1"/>
  <c r="B35" i="16"/>
  <c r="AL35" i="16" s="1"/>
  <c r="B34" i="16"/>
  <c r="AL34" i="16" s="1"/>
  <c r="B33" i="16"/>
  <c r="AL33" i="16" s="1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5" i="16"/>
  <c r="B4" i="16"/>
  <c r="B3" i="16"/>
  <c r="B2" i="16"/>
  <c r="B2" i="3"/>
  <c r="F56" i="3"/>
  <c r="E56" i="3"/>
  <c r="F55" i="3"/>
  <c r="E55" i="3"/>
  <c r="F55" i="17" s="1"/>
  <c r="F54" i="3"/>
  <c r="E54" i="3"/>
  <c r="F54" i="17" s="1"/>
  <c r="F53" i="3"/>
  <c r="E53" i="3"/>
  <c r="F53" i="17" s="1"/>
  <c r="F52" i="3"/>
  <c r="E52" i="3"/>
  <c r="F51" i="3"/>
  <c r="E51" i="3"/>
  <c r="F51" i="17" s="1"/>
  <c r="F50" i="3"/>
  <c r="E50" i="3"/>
  <c r="F50" i="17" s="1"/>
  <c r="F49" i="3"/>
  <c r="E49" i="3"/>
  <c r="F48" i="3"/>
  <c r="E48" i="3"/>
  <c r="F47" i="3"/>
  <c r="E47" i="3"/>
  <c r="F46" i="3"/>
  <c r="E46" i="3"/>
  <c r="F45" i="3"/>
  <c r="E45" i="3"/>
  <c r="F45" i="17" s="1"/>
  <c r="F44" i="3"/>
  <c r="E44" i="3"/>
  <c r="F44" i="17" s="1"/>
  <c r="F43" i="3"/>
  <c r="E43" i="3"/>
  <c r="F43" i="17" s="1"/>
  <c r="F42" i="3"/>
  <c r="E42" i="3"/>
  <c r="F41" i="3"/>
  <c r="E41" i="3"/>
  <c r="F40" i="3"/>
  <c r="E40" i="3"/>
  <c r="F39" i="3"/>
  <c r="E39" i="3"/>
  <c r="F38" i="3"/>
  <c r="E38" i="3"/>
  <c r="F37" i="3"/>
  <c r="E37" i="3"/>
  <c r="F36" i="3"/>
  <c r="E36" i="3"/>
  <c r="F35" i="3"/>
  <c r="E35" i="3"/>
  <c r="F35" i="17" s="1"/>
  <c r="F34" i="3"/>
  <c r="E34" i="3"/>
  <c r="F34" i="17" s="1"/>
  <c r="F33" i="3"/>
  <c r="E33" i="3"/>
  <c r="F33" i="17" s="1"/>
  <c r="F32" i="3"/>
  <c r="E32" i="3"/>
  <c r="F32" i="17" s="1"/>
  <c r="F31" i="3"/>
  <c r="E31" i="3"/>
  <c r="F31" i="17" s="1"/>
  <c r="F30" i="3"/>
  <c r="E30" i="3"/>
  <c r="F30" i="17" s="1"/>
  <c r="F29" i="3"/>
  <c r="E29" i="3"/>
  <c r="F29" i="17" s="1"/>
  <c r="F28" i="3"/>
  <c r="E28" i="3"/>
  <c r="F27" i="3"/>
  <c r="E27" i="3"/>
  <c r="F26" i="3"/>
  <c r="E26" i="3"/>
  <c r="F25" i="3"/>
  <c r="E25" i="3"/>
  <c r="F25" i="17" s="1"/>
  <c r="F24" i="3"/>
  <c r="E24" i="3"/>
  <c r="F24" i="17" s="1"/>
  <c r="F23" i="3"/>
  <c r="E23" i="3"/>
  <c r="F23" i="17" s="1"/>
  <c r="F22" i="3"/>
  <c r="E22" i="3"/>
  <c r="F21" i="3"/>
  <c r="E21" i="3"/>
  <c r="F20" i="3"/>
  <c r="E20" i="3"/>
  <c r="F20" i="17" s="1"/>
  <c r="F19" i="3"/>
  <c r="E19" i="3"/>
  <c r="F18" i="3"/>
  <c r="E18" i="3"/>
  <c r="F17" i="3"/>
  <c r="E17" i="3"/>
  <c r="F16" i="3"/>
  <c r="E16" i="3"/>
  <c r="F15" i="3"/>
  <c r="E15" i="3"/>
  <c r="F15" i="17" s="1"/>
  <c r="F14" i="3"/>
  <c r="E14" i="3"/>
  <c r="F14" i="17" s="1"/>
  <c r="F13" i="3"/>
  <c r="E13" i="3"/>
  <c r="F13" i="17" s="1"/>
  <c r="F12" i="3"/>
  <c r="E12" i="3"/>
  <c r="F11" i="3"/>
  <c r="E11" i="3"/>
  <c r="F11" i="17" s="1"/>
  <c r="F10" i="3"/>
  <c r="E10" i="3"/>
  <c r="F9" i="3"/>
  <c r="E9" i="3"/>
  <c r="F8" i="3"/>
  <c r="E8" i="3"/>
  <c r="F7" i="3"/>
  <c r="E7" i="3"/>
  <c r="F6" i="3"/>
  <c r="E6" i="3"/>
  <c r="F5" i="3"/>
  <c r="E5" i="3"/>
  <c r="F5" i="17" s="1"/>
  <c r="F4" i="3"/>
  <c r="E4" i="3"/>
  <c r="F4" i="17" s="1"/>
  <c r="F3" i="3"/>
  <c r="E3" i="3"/>
  <c r="F3" i="17" s="1"/>
  <c r="F2" i="3"/>
  <c r="E2" i="3"/>
  <c r="C56" i="3"/>
  <c r="B56" i="3"/>
  <c r="C55" i="3"/>
  <c r="B55" i="3"/>
  <c r="C54" i="3"/>
  <c r="B54" i="3"/>
  <c r="C53" i="3"/>
  <c r="B53" i="3"/>
  <c r="C52" i="3"/>
  <c r="B52" i="3"/>
  <c r="C51" i="3"/>
  <c r="B51" i="3"/>
  <c r="C50" i="3"/>
  <c r="B50" i="3"/>
  <c r="C49" i="3"/>
  <c r="B49" i="3"/>
  <c r="C48" i="3"/>
  <c r="B48" i="3"/>
  <c r="AL48" i="3" s="1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B5" i="3"/>
  <c r="C4" i="3"/>
  <c r="B4" i="3"/>
  <c r="C3" i="3"/>
  <c r="B3" i="3"/>
  <c r="AL20" i="16" l="1"/>
  <c r="AL17" i="16"/>
  <c r="AL16" i="16"/>
  <c r="AL15" i="16"/>
  <c r="AL14" i="16"/>
  <c r="AL13" i="16"/>
  <c r="AL48" i="17"/>
  <c r="AL40" i="16"/>
  <c r="AL32" i="3"/>
  <c r="AM31" i="3"/>
  <c r="AL31" i="3"/>
  <c r="AM30" i="3"/>
  <c r="AL30" i="3"/>
  <c r="AM29" i="3"/>
  <c r="AM28" i="3"/>
  <c r="AL28" i="3"/>
  <c r="AM18" i="3"/>
  <c r="AL18" i="3"/>
  <c r="AM38" i="3"/>
  <c r="AL38" i="3"/>
  <c r="AL12" i="3"/>
  <c r="AL11" i="3"/>
  <c r="AM10" i="3"/>
  <c r="AL10" i="3"/>
  <c r="AM9" i="3"/>
  <c r="AM8" i="3"/>
  <c r="AL8" i="3"/>
  <c r="AL3" i="16"/>
  <c r="AL23" i="16"/>
  <c r="AL43" i="16"/>
  <c r="AL39" i="16"/>
  <c r="AL41" i="16"/>
  <c r="AL22" i="16"/>
  <c r="AL24" i="16"/>
  <c r="AL44" i="16"/>
  <c r="AL2" i="16"/>
  <c r="AL25" i="16"/>
  <c r="AL26" i="16"/>
  <c r="AL7" i="16"/>
  <c r="AL27" i="16"/>
  <c r="AL47" i="16"/>
  <c r="AL45" i="16"/>
  <c r="AL8" i="16"/>
  <c r="AL28" i="16"/>
  <c r="AL48" i="16"/>
  <c r="AL38" i="16"/>
  <c r="AL9" i="16"/>
  <c r="AL29" i="16"/>
  <c r="AL49" i="16"/>
  <c r="AL19" i="16"/>
  <c r="AL4" i="16"/>
  <c r="AL5" i="16"/>
  <c r="AL46" i="16"/>
  <c r="AL10" i="16"/>
  <c r="AL30" i="16"/>
  <c r="AL50" i="16"/>
  <c r="AL6" i="16"/>
  <c r="AL11" i="16"/>
  <c r="AL31" i="16"/>
  <c r="AL51" i="16"/>
  <c r="AL18" i="16"/>
  <c r="AL21" i="16"/>
  <c r="AL42" i="16"/>
  <c r="AL12" i="16"/>
  <c r="AL32" i="16"/>
  <c r="AL52" i="16"/>
  <c r="AL28" i="17"/>
  <c r="AL27" i="17"/>
  <c r="AL8" i="17"/>
  <c r="AL7" i="17"/>
  <c r="AL24" i="17"/>
  <c r="AL9" i="3"/>
  <c r="AL29" i="3"/>
  <c r="AL39" i="3"/>
  <c r="AL49" i="17"/>
  <c r="AL9" i="17"/>
  <c r="AL29" i="17"/>
  <c r="AM12" i="3"/>
  <c r="AM52" i="3"/>
  <c r="AM32" i="3"/>
  <c r="AM2" i="3"/>
  <c r="AL4" i="17"/>
  <c r="AL2" i="3"/>
  <c r="AL52" i="3"/>
  <c r="AM51" i="3"/>
  <c r="AL51" i="3"/>
  <c r="AM50" i="3"/>
  <c r="AL50" i="3"/>
  <c r="AM49" i="3"/>
  <c r="AL49" i="3"/>
  <c r="AM48" i="3"/>
  <c r="AM42" i="3"/>
  <c r="AL42" i="3"/>
  <c r="AM41" i="3"/>
  <c r="AL41" i="3"/>
  <c r="AM40" i="3"/>
  <c r="AL40" i="3"/>
  <c r="AM39" i="3"/>
  <c r="AM22" i="3"/>
  <c r="AL22" i="3"/>
  <c r="AM21" i="3"/>
  <c r="AL21" i="3"/>
  <c r="AM20" i="3"/>
  <c r="AL20" i="3"/>
  <c r="AM19" i="3"/>
  <c r="AL19" i="3"/>
  <c r="AM11" i="3"/>
  <c r="AL31" i="17"/>
  <c r="AL32" i="17"/>
  <c r="AL12" i="17"/>
  <c r="AL10" i="17"/>
  <c r="AL34" i="3"/>
  <c r="AL39" i="17"/>
  <c r="AL50" i="17"/>
  <c r="AL30" i="17"/>
  <c r="AL11" i="17"/>
  <c r="AL14" i="3"/>
  <c r="AL54" i="3"/>
  <c r="AL19" i="17"/>
  <c r="AL20" i="17"/>
  <c r="AL40" i="17"/>
  <c r="AL51" i="17"/>
  <c r="AL24" i="3"/>
  <c r="AL41" i="17"/>
  <c r="AL42" i="17"/>
  <c r="AL43" i="17"/>
  <c r="AL52" i="17"/>
  <c r="AL4" i="3"/>
  <c r="AL44" i="3"/>
  <c r="AL21" i="17"/>
  <c r="AM5" i="3"/>
  <c r="AM55" i="3"/>
  <c r="AL6" i="3"/>
  <c r="AL36" i="3"/>
  <c r="AL45" i="17"/>
  <c r="AL5" i="17"/>
  <c r="AL25" i="17"/>
  <c r="AL46" i="17"/>
  <c r="AM25" i="3"/>
  <c r="AL46" i="3"/>
  <c r="AL6" i="17"/>
  <c r="AL26" i="17"/>
  <c r="AL47" i="17"/>
  <c r="AL53" i="17"/>
  <c r="AL13" i="17"/>
  <c r="AL54" i="17"/>
  <c r="AL13" i="3"/>
  <c r="AL33" i="3"/>
  <c r="AL43" i="3"/>
  <c r="AL53" i="3"/>
  <c r="AL14" i="17"/>
  <c r="AL34" i="17"/>
  <c r="AL55" i="17"/>
  <c r="AL33" i="17"/>
  <c r="AL3" i="3"/>
  <c r="AL23" i="3"/>
  <c r="AM3" i="3"/>
  <c r="AM13" i="3"/>
  <c r="AM23" i="3"/>
  <c r="AM33" i="3"/>
  <c r="AM43" i="3"/>
  <c r="AM53" i="3"/>
  <c r="AL15" i="17"/>
  <c r="AL35" i="17"/>
  <c r="AL56" i="17"/>
  <c r="AL36" i="17"/>
  <c r="AM4" i="3"/>
  <c r="AM14" i="3"/>
  <c r="AM24" i="3"/>
  <c r="AM34" i="3"/>
  <c r="AM44" i="3"/>
  <c r="AM54" i="3"/>
  <c r="AL17" i="17"/>
  <c r="AL37" i="17"/>
  <c r="AL16" i="17"/>
  <c r="AL5" i="3"/>
  <c r="AL15" i="3"/>
  <c r="AL25" i="3"/>
  <c r="AL35" i="3"/>
  <c r="AL45" i="3"/>
  <c r="AL55" i="3"/>
  <c r="AL18" i="17"/>
  <c r="AL38" i="17"/>
  <c r="AM35" i="3"/>
  <c r="AL16" i="3"/>
  <c r="AL56" i="3"/>
  <c r="AM6" i="3"/>
  <c r="AM15" i="3"/>
  <c r="AM45" i="3"/>
  <c r="AL26" i="3"/>
  <c r="AM16" i="3"/>
  <c r="AM26" i="3"/>
  <c r="AM36" i="3"/>
  <c r="AM46" i="3"/>
  <c r="AM56" i="3"/>
  <c r="AL7" i="3"/>
  <c r="AL17" i="3"/>
  <c r="AL27" i="3"/>
  <c r="AL37" i="3"/>
  <c r="AL47" i="3"/>
  <c r="AL2" i="17"/>
  <c r="AL22" i="17"/>
  <c r="AM7" i="3"/>
  <c r="AM17" i="3"/>
  <c r="AM27" i="3"/>
  <c r="AM37" i="3"/>
  <c r="AM47" i="3"/>
  <c r="AL3" i="17"/>
  <c r="AL23" i="17"/>
  <c r="AL44" i="17"/>
  <c r="G8" i="3"/>
  <c r="G18" i="3"/>
  <c r="G28" i="3"/>
  <c r="G38" i="3"/>
  <c r="G48" i="3"/>
  <c r="F10" i="43"/>
  <c r="G10" i="43" s="1"/>
  <c r="D181" i="32" s="1"/>
  <c r="G40" i="3"/>
  <c r="F40" i="43"/>
  <c r="G40" i="43" s="1"/>
  <c r="D211" i="32" s="1"/>
  <c r="C30" i="17"/>
  <c r="AM30" i="17" s="1"/>
  <c r="C40" i="17"/>
  <c r="C51" i="17"/>
  <c r="AM51" i="17" s="1"/>
  <c r="D13" i="3"/>
  <c r="C41" i="17"/>
  <c r="C54" i="17"/>
  <c r="AM54" i="17" s="1"/>
  <c r="C42" i="17"/>
  <c r="C44" i="17"/>
  <c r="AM44" i="17" s="1"/>
  <c r="C24" i="43"/>
  <c r="C20" i="17"/>
  <c r="AM20" i="17" s="1"/>
  <c r="D33" i="3"/>
  <c r="C24" i="17"/>
  <c r="AM24" i="17" s="1"/>
  <c r="C14" i="17"/>
  <c r="AM14" i="17" s="1"/>
  <c r="C15" i="17"/>
  <c r="AM15" i="17" s="1"/>
  <c r="F30" i="43"/>
  <c r="G30" i="43" s="1"/>
  <c r="D201" i="32" s="1"/>
  <c r="C25" i="17"/>
  <c r="AM25" i="17" s="1"/>
  <c r="C26" i="17"/>
  <c r="D23" i="3"/>
  <c r="C16" i="17"/>
  <c r="F41" i="43"/>
  <c r="G41" i="43" s="1"/>
  <c r="D212" i="32" s="1"/>
  <c r="F51" i="43"/>
  <c r="G51" i="43" s="1"/>
  <c r="D222" i="32" s="1"/>
  <c r="D3" i="3"/>
  <c r="D53" i="3"/>
  <c r="C4" i="17"/>
  <c r="AM4" i="17" s="1"/>
  <c r="C17" i="17"/>
  <c r="C27" i="17"/>
  <c r="C37" i="17"/>
  <c r="C55" i="17"/>
  <c r="AM55" i="17" s="1"/>
  <c r="C18" i="17"/>
  <c r="C28" i="17"/>
  <c r="C38" i="17"/>
  <c r="C48" i="17"/>
  <c r="C12" i="17"/>
  <c r="D43" i="3"/>
  <c r="C34" i="17"/>
  <c r="AM34" i="17" s="1"/>
  <c r="C4" i="43"/>
  <c r="C6" i="17"/>
  <c r="C8" i="17"/>
  <c r="F3" i="43"/>
  <c r="G3" i="43" s="1"/>
  <c r="D174" i="32" s="1"/>
  <c r="F43" i="43"/>
  <c r="G43" i="43" s="1"/>
  <c r="D214" i="32" s="1"/>
  <c r="C31" i="17"/>
  <c r="AM31" i="17" s="1"/>
  <c r="C32" i="17"/>
  <c r="AM32" i="17" s="1"/>
  <c r="C35" i="17"/>
  <c r="AM35" i="17" s="1"/>
  <c r="C46" i="17"/>
  <c r="C9" i="17"/>
  <c r="C19" i="17"/>
  <c r="C29" i="17"/>
  <c r="AM29" i="17" s="1"/>
  <c r="C39" i="17"/>
  <c r="C49" i="17"/>
  <c r="C9" i="43"/>
  <c r="C19" i="43"/>
  <c r="C29" i="43"/>
  <c r="C39" i="43"/>
  <c r="F4" i="43"/>
  <c r="G4" i="43" s="1"/>
  <c r="D175" i="32" s="1"/>
  <c r="F14" i="43"/>
  <c r="G14" i="43" s="1"/>
  <c r="D185" i="32" s="1"/>
  <c r="F24" i="43"/>
  <c r="G24" i="43" s="1"/>
  <c r="D195" i="32" s="1"/>
  <c r="F34" i="43"/>
  <c r="G34" i="43" s="1"/>
  <c r="D205" i="32" s="1"/>
  <c r="F44" i="43"/>
  <c r="G44" i="43" s="1"/>
  <c r="D215" i="32" s="1"/>
  <c r="F54" i="43"/>
  <c r="G54" i="43" s="1"/>
  <c r="D225" i="32" s="1"/>
  <c r="F10" i="17"/>
  <c r="F50" i="43"/>
  <c r="G50" i="43" s="1"/>
  <c r="D221" i="32" s="1"/>
  <c r="C6" i="43"/>
  <c r="C16" i="43"/>
  <c r="C36" i="43"/>
  <c r="C46" i="43"/>
  <c r="F11" i="43"/>
  <c r="G11" i="43" s="1"/>
  <c r="D182" i="32" s="1"/>
  <c r="F31" i="43"/>
  <c r="G31" i="43" s="1"/>
  <c r="D202" i="32" s="1"/>
  <c r="C26" i="43"/>
  <c r="C56" i="43"/>
  <c r="F21" i="43"/>
  <c r="G21" i="43" s="1"/>
  <c r="D192" i="32" s="1"/>
  <c r="C25" i="43"/>
  <c r="C45" i="43"/>
  <c r="C40" i="43"/>
  <c r="F20" i="43"/>
  <c r="G6" i="3"/>
  <c r="G16" i="3"/>
  <c r="G26" i="3"/>
  <c r="G36" i="3"/>
  <c r="G46" i="3"/>
  <c r="G56" i="3"/>
  <c r="D22" i="3"/>
  <c r="G7" i="3"/>
  <c r="G17" i="3"/>
  <c r="G27" i="3"/>
  <c r="G37" i="3"/>
  <c r="G47" i="3"/>
  <c r="G9" i="3"/>
  <c r="G19" i="3"/>
  <c r="G29" i="3"/>
  <c r="G39" i="3"/>
  <c r="G49" i="3"/>
  <c r="C5" i="43"/>
  <c r="D6" i="3"/>
  <c r="C17" i="43"/>
  <c r="C37" i="43"/>
  <c r="F2" i="43"/>
  <c r="G2" i="43" s="1"/>
  <c r="D173" i="32" s="1"/>
  <c r="F12" i="43"/>
  <c r="G12" i="43" s="1"/>
  <c r="D183" i="32" s="1"/>
  <c r="F22" i="43"/>
  <c r="G22" i="43" s="1"/>
  <c r="D193" i="32" s="1"/>
  <c r="F32" i="43"/>
  <c r="G32" i="43" s="1"/>
  <c r="D203" i="32" s="1"/>
  <c r="F42" i="43"/>
  <c r="G42" i="43" s="1"/>
  <c r="D213" i="32" s="1"/>
  <c r="F52" i="43"/>
  <c r="G52" i="43" s="1"/>
  <c r="D223" i="32" s="1"/>
  <c r="C18" i="43"/>
  <c r="C38" i="43"/>
  <c r="F13" i="43"/>
  <c r="G13" i="43" s="1"/>
  <c r="D184" i="32" s="1"/>
  <c r="F23" i="43"/>
  <c r="G23" i="43" s="1"/>
  <c r="D194" i="32" s="1"/>
  <c r="F53" i="43"/>
  <c r="G53" i="43" s="1"/>
  <c r="D224" i="32" s="1"/>
  <c r="C2" i="43"/>
  <c r="C50" i="43"/>
  <c r="D7" i="3"/>
  <c r="D47" i="3"/>
  <c r="G2" i="3"/>
  <c r="G12" i="3"/>
  <c r="G22" i="3"/>
  <c r="G32" i="3"/>
  <c r="G42" i="3"/>
  <c r="G52" i="3"/>
  <c r="C8" i="43"/>
  <c r="C28" i="43"/>
  <c r="C48" i="43"/>
  <c r="C44" i="43"/>
  <c r="F33" i="43"/>
  <c r="G33" i="43" s="1"/>
  <c r="D204" i="32" s="1"/>
  <c r="F5" i="43"/>
  <c r="C30" i="43"/>
  <c r="F16" i="43"/>
  <c r="G16" i="43" s="1"/>
  <c r="D187" i="32" s="1"/>
  <c r="F26" i="43"/>
  <c r="G26" i="43" s="1"/>
  <c r="D197" i="32" s="1"/>
  <c r="F36" i="43"/>
  <c r="G36" i="43" s="1"/>
  <c r="D207" i="32" s="1"/>
  <c r="F52" i="17"/>
  <c r="F12" i="17"/>
  <c r="C20" i="43"/>
  <c r="F45" i="43"/>
  <c r="G45" i="43" s="1"/>
  <c r="D216" i="32" s="1"/>
  <c r="C12" i="43"/>
  <c r="C32" i="43"/>
  <c r="C52" i="43"/>
  <c r="F17" i="43"/>
  <c r="G17" i="43" s="1"/>
  <c r="D188" i="32" s="1"/>
  <c r="F37" i="43"/>
  <c r="G37" i="43" s="1"/>
  <c r="D208" i="32" s="1"/>
  <c r="D9" i="3"/>
  <c r="F25" i="43"/>
  <c r="G25" i="43" s="1"/>
  <c r="D196" i="32" s="1"/>
  <c r="D16" i="3"/>
  <c r="C22" i="43"/>
  <c r="C42" i="43"/>
  <c r="F7" i="43"/>
  <c r="G7" i="43" s="1"/>
  <c r="D178" i="32" s="1"/>
  <c r="F27" i="43"/>
  <c r="F47" i="43"/>
  <c r="F49" i="17"/>
  <c r="F9" i="17"/>
  <c r="C3" i="43"/>
  <c r="C13" i="43"/>
  <c r="C43" i="43"/>
  <c r="F8" i="43"/>
  <c r="G8" i="43" s="1"/>
  <c r="D179" i="32" s="1"/>
  <c r="F18" i="43"/>
  <c r="G18" i="43" s="1"/>
  <c r="D189" i="32" s="1"/>
  <c r="F28" i="43"/>
  <c r="G28" i="43" s="1"/>
  <c r="D199" i="32" s="1"/>
  <c r="F38" i="43"/>
  <c r="G38" i="43" s="1"/>
  <c r="D209" i="32" s="1"/>
  <c r="F48" i="43"/>
  <c r="G48" i="43" s="1"/>
  <c r="D219" i="32" s="1"/>
  <c r="D40" i="3"/>
  <c r="C7" i="17"/>
  <c r="F55" i="43"/>
  <c r="G55" i="43" s="1"/>
  <c r="D226" i="32" s="1"/>
  <c r="F9" i="43"/>
  <c r="C47" i="17"/>
  <c r="F15" i="43"/>
  <c r="G15" i="43" s="1"/>
  <c r="D186" i="32" s="1"/>
  <c r="F49" i="43"/>
  <c r="G49" i="43" s="1"/>
  <c r="D220" i="32" s="1"/>
  <c r="C15" i="43"/>
  <c r="C35" i="43"/>
  <c r="C55" i="43"/>
  <c r="C10" i="43"/>
  <c r="F35" i="43"/>
  <c r="G35" i="43" s="1"/>
  <c r="D206" i="32" s="1"/>
  <c r="D26" i="3"/>
  <c r="D36" i="3"/>
  <c r="D46" i="3"/>
  <c r="D56" i="3"/>
  <c r="G11" i="3"/>
  <c r="G21" i="3"/>
  <c r="G31" i="3"/>
  <c r="G41" i="3"/>
  <c r="G51" i="3"/>
  <c r="C23" i="43"/>
  <c r="C45" i="17"/>
  <c r="AM45" i="17" s="1"/>
  <c r="C5" i="17"/>
  <c r="AM5" i="17" s="1"/>
  <c r="C22" i="17"/>
  <c r="F48" i="17"/>
  <c r="F28" i="17"/>
  <c r="F8" i="17"/>
  <c r="C23" i="17"/>
  <c r="AM23" i="17" s="1"/>
  <c r="C21" i="17"/>
  <c r="F47" i="17"/>
  <c r="F27" i="17"/>
  <c r="F7" i="17"/>
  <c r="C43" i="17"/>
  <c r="AM43" i="17" s="1"/>
  <c r="F26" i="17"/>
  <c r="C21" i="43"/>
  <c r="C54" i="43"/>
  <c r="C34" i="43"/>
  <c r="C14" i="43"/>
  <c r="C41" i="43"/>
  <c r="F6" i="17"/>
  <c r="F22" i="17"/>
  <c r="F41" i="17"/>
  <c r="C51" i="43"/>
  <c r="C53" i="17"/>
  <c r="AM53" i="17" s="1"/>
  <c r="C33" i="17"/>
  <c r="AM33" i="17" s="1"/>
  <c r="C13" i="17"/>
  <c r="AM13" i="17" s="1"/>
  <c r="F39" i="17"/>
  <c r="F19" i="17"/>
  <c r="C3" i="17"/>
  <c r="AM3" i="17" s="1"/>
  <c r="D21" i="3"/>
  <c r="F46" i="17"/>
  <c r="C36" i="17"/>
  <c r="F42" i="17"/>
  <c r="C33" i="43"/>
  <c r="F6" i="43"/>
  <c r="G6" i="43" s="1"/>
  <c r="D177" i="32" s="1"/>
  <c r="F46" i="43"/>
  <c r="G46" i="43" s="1"/>
  <c r="D217" i="32" s="1"/>
  <c r="F40" i="17"/>
  <c r="C31" i="43"/>
  <c r="D49" i="3"/>
  <c r="G4" i="3"/>
  <c r="G14" i="3"/>
  <c r="G24" i="3"/>
  <c r="G34" i="3"/>
  <c r="G44" i="3"/>
  <c r="G54" i="3"/>
  <c r="C52" i="17"/>
  <c r="F38" i="17"/>
  <c r="F18" i="17"/>
  <c r="C49" i="43"/>
  <c r="C53" i="43"/>
  <c r="F56" i="43"/>
  <c r="F21" i="17"/>
  <c r="C11" i="17"/>
  <c r="AM11" i="17" s="1"/>
  <c r="F2" i="17"/>
  <c r="F37" i="17"/>
  <c r="F17" i="17"/>
  <c r="C56" i="17"/>
  <c r="C11" i="43"/>
  <c r="D10" i="3"/>
  <c r="D50" i="3"/>
  <c r="G5" i="3"/>
  <c r="G15" i="3"/>
  <c r="G25" i="3"/>
  <c r="G35" i="3"/>
  <c r="G45" i="3"/>
  <c r="G55" i="3"/>
  <c r="C50" i="17"/>
  <c r="AM50" i="17" s="1"/>
  <c r="C10" i="17"/>
  <c r="F56" i="17"/>
  <c r="F36" i="17"/>
  <c r="F16" i="17"/>
  <c r="C47" i="43"/>
  <c r="C27" i="43"/>
  <c r="C7" i="43"/>
  <c r="F19" i="43"/>
  <c r="G19" i="43" s="1"/>
  <c r="D190" i="32" s="1"/>
  <c r="F29" i="43"/>
  <c r="G29" i="43" s="1"/>
  <c r="D200" i="32" s="1"/>
  <c r="F39" i="43"/>
  <c r="G39" i="43" s="1"/>
  <c r="D210" i="32" s="1"/>
  <c r="D12" i="3"/>
  <c r="D32" i="3"/>
  <c r="D52" i="3"/>
  <c r="D41" i="3"/>
  <c r="D31" i="3"/>
  <c r="D42" i="3"/>
  <c r="D17" i="3"/>
  <c r="D5" i="3"/>
  <c r="C5" i="32" s="1"/>
  <c r="D15" i="3"/>
  <c r="D25" i="3"/>
  <c r="D35" i="3"/>
  <c r="D45" i="3"/>
  <c r="D55" i="3"/>
  <c r="G10" i="3"/>
  <c r="G20" i="3"/>
  <c r="G30" i="3"/>
  <c r="G50" i="3"/>
  <c r="D8" i="3"/>
  <c r="C2" i="17"/>
  <c r="D37" i="3"/>
  <c r="D27" i="3"/>
  <c r="D51" i="3"/>
  <c r="D30" i="3"/>
  <c r="Q57" i="43"/>
  <c r="H57" i="43"/>
  <c r="B57" i="43"/>
  <c r="E57" i="43"/>
  <c r="Z57" i="43"/>
  <c r="AC57" i="43"/>
  <c r="AF57" i="43"/>
  <c r="K57" i="43"/>
  <c r="T57" i="43"/>
  <c r="N57" i="43"/>
  <c r="W57" i="43"/>
  <c r="D4" i="3"/>
  <c r="C4" i="32" s="1"/>
  <c r="D34" i="3"/>
  <c r="D54" i="3"/>
  <c r="D14" i="3"/>
  <c r="D44" i="3"/>
  <c r="D18" i="3"/>
  <c r="D38" i="3"/>
  <c r="D48" i="3"/>
  <c r="G3" i="3"/>
  <c r="G13" i="3"/>
  <c r="G23" i="3"/>
  <c r="G33" i="3"/>
  <c r="G43" i="3"/>
  <c r="G53" i="3"/>
  <c r="D24" i="3"/>
  <c r="D28" i="3"/>
  <c r="D39" i="3"/>
  <c r="D20" i="3"/>
  <c r="D19" i="3"/>
  <c r="D29" i="3"/>
  <c r="D11" i="3"/>
  <c r="D2" i="3"/>
  <c r="F3" i="8"/>
  <c r="D3" i="47" s="1"/>
  <c r="E3" i="8"/>
  <c r="F2" i="8"/>
  <c r="D2" i="47" s="1"/>
  <c r="E2" i="8"/>
  <c r="G3" i="5"/>
  <c r="F3" i="5"/>
  <c r="G2" i="5"/>
  <c r="F2" i="5"/>
  <c r="AM23" i="43" l="1"/>
  <c r="AM31" i="43"/>
  <c r="AN31" i="43" s="1"/>
  <c r="AM11" i="43"/>
  <c r="AN11" i="43" s="1"/>
  <c r="H3" i="8"/>
  <c r="E3" i="47" s="1"/>
  <c r="C3" i="47"/>
  <c r="H2" i="8"/>
  <c r="E2" i="47" s="1"/>
  <c r="C2" i="47"/>
  <c r="AN21" i="3"/>
  <c r="AM42" i="43"/>
  <c r="AM47" i="43"/>
  <c r="AN47" i="43" s="1"/>
  <c r="AM13" i="43"/>
  <c r="AN13" i="43" s="1"/>
  <c r="AM27" i="43"/>
  <c r="AN27" i="43" s="1"/>
  <c r="AM45" i="43"/>
  <c r="AN45" i="43" s="1"/>
  <c r="AM7" i="17"/>
  <c r="AM28" i="43"/>
  <c r="AN28" i="43" s="1"/>
  <c r="AM26" i="17"/>
  <c r="AM18" i="17"/>
  <c r="AM4" i="43"/>
  <c r="AM49" i="17"/>
  <c r="AM29" i="43"/>
  <c r="AN29" i="43" s="1"/>
  <c r="AM5" i="43"/>
  <c r="AN5" i="43" s="1"/>
  <c r="AM8" i="43"/>
  <c r="AN8" i="43" s="1"/>
  <c r="AM22" i="17"/>
  <c r="AM56" i="17"/>
  <c r="AM2" i="17"/>
  <c r="AM47" i="17"/>
  <c r="AM36" i="17"/>
  <c r="AM17" i="43"/>
  <c r="AN17" i="43" s="1"/>
  <c r="AM39" i="43"/>
  <c r="AM12" i="17"/>
  <c r="AM22" i="43"/>
  <c r="AN22" i="43" s="1"/>
  <c r="AM48" i="43"/>
  <c r="AN48" i="43" s="1"/>
  <c r="AM16" i="17"/>
  <c r="AM52" i="43"/>
  <c r="AM34" i="43"/>
  <c r="AN34" i="43" s="1"/>
  <c r="AM19" i="43"/>
  <c r="AN19" i="43" s="1"/>
  <c r="AM38" i="17"/>
  <c r="AM28" i="17"/>
  <c r="AM33" i="43"/>
  <c r="AN33" i="43" s="1"/>
  <c r="AM8" i="17"/>
  <c r="AM51" i="43"/>
  <c r="AM41" i="43"/>
  <c r="AN41" i="43" s="1"/>
  <c r="AM7" i="43"/>
  <c r="AN7" i="43" s="1"/>
  <c r="AM39" i="17"/>
  <c r="AM43" i="43"/>
  <c r="AN43" i="43" s="1"/>
  <c r="AM53" i="43"/>
  <c r="AM49" i="43"/>
  <c r="AN49" i="43" s="1"/>
  <c r="AM37" i="43"/>
  <c r="AN37" i="43" s="1"/>
  <c r="AM40" i="43"/>
  <c r="AN40" i="43" s="1"/>
  <c r="AM50" i="43"/>
  <c r="AN50" i="43" s="1"/>
  <c r="AM10" i="17"/>
  <c r="AM6" i="17"/>
  <c r="AM48" i="17"/>
  <c r="AM24" i="43"/>
  <c r="AM25" i="43"/>
  <c r="AM21" i="43"/>
  <c r="AM20" i="43"/>
  <c r="AN20" i="43" s="1"/>
  <c r="AM56" i="43"/>
  <c r="AN56" i="43" s="1"/>
  <c r="AM26" i="43"/>
  <c r="AM14" i="43"/>
  <c r="AM2" i="43"/>
  <c r="AN2" i="43" s="1"/>
  <c r="AM37" i="17"/>
  <c r="AM42" i="17"/>
  <c r="AM54" i="43"/>
  <c r="AN54" i="43" s="1"/>
  <c r="AM3" i="43"/>
  <c r="AN3" i="43" s="1"/>
  <c r="AM19" i="17"/>
  <c r="AM27" i="17"/>
  <c r="AM32" i="43"/>
  <c r="AM12" i="43"/>
  <c r="AN12" i="43" s="1"/>
  <c r="AM9" i="43"/>
  <c r="AN9" i="43" s="1"/>
  <c r="AM46" i="43"/>
  <c r="AM10" i="43"/>
  <c r="AM36" i="43"/>
  <c r="AN36" i="43" s="1"/>
  <c r="AM46" i="17"/>
  <c r="AM21" i="17"/>
  <c r="AM55" i="43"/>
  <c r="AM30" i="43"/>
  <c r="AN30" i="43" s="1"/>
  <c r="AM38" i="43"/>
  <c r="AN38" i="43" s="1"/>
  <c r="AM16" i="43"/>
  <c r="AN16" i="43" s="1"/>
  <c r="AM6" i="43"/>
  <c r="AM9" i="17"/>
  <c r="AM17" i="17"/>
  <c r="AM41" i="17"/>
  <c r="AM35" i="43"/>
  <c r="AN35" i="43" s="1"/>
  <c r="AM18" i="43"/>
  <c r="AM40" i="17"/>
  <c r="AM15" i="43"/>
  <c r="AN15" i="43" s="1"/>
  <c r="AM52" i="17"/>
  <c r="AM44" i="43"/>
  <c r="AN44" i="43" s="1"/>
  <c r="D19" i="17"/>
  <c r="D27" i="17"/>
  <c r="D41" i="17"/>
  <c r="D40" i="17"/>
  <c r="D16" i="17"/>
  <c r="D8" i="17"/>
  <c r="D46" i="17"/>
  <c r="D48" i="17"/>
  <c r="D56" i="43"/>
  <c r="C227" i="32" s="1"/>
  <c r="D18" i="17"/>
  <c r="D37" i="17"/>
  <c r="D35" i="17"/>
  <c r="AN11" i="3"/>
  <c r="AN40" i="3"/>
  <c r="D55" i="17"/>
  <c r="D34" i="17"/>
  <c r="D15" i="17"/>
  <c r="AN6" i="3"/>
  <c r="D51" i="17"/>
  <c r="D54" i="17"/>
  <c r="D17" i="17"/>
  <c r="D32" i="17"/>
  <c r="D47" i="43"/>
  <c r="C218" i="32" s="1"/>
  <c r="D3" i="17"/>
  <c r="D39" i="17"/>
  <c r="D2" i="43"/>
  <c r="C173" i="32" s="1"/>
  <c r="D50" i="17"/>
  <c r="D21" i="17"/>
  <c r="D28" i="17"/>
  <c r="D36" i="17"/>
  <c r="D7" i="17"/>
  <c r="D53" i="17"/>
  <c r="D10" i="43"/>
  <c r="C181" i="32" s="1"/>
  <c r="D9" i="17"/>
  <c r="D29" i="43"/>
  <c r="C200" i="32" s="1"/>
  <c r="D22" i="17"/>
  <c r="D11" i="17"/>
  <c r="D43" i="17"/>
  <c r="D44" i="17"/>
  <c r="D33" i="17"/>
  <c r="D5" i="17"/>
  <c r="D9" i="43"/>
  <c r="C180" i="32" s="1"/>
  <c r="D45" i="17"/>
  <c r="D15" i="43"/>
  <c r="C186" i="32" s="1"/>
  <c r="D43" i="43"/>
  <c r="C214" i="32" s="1"/>
  <c r="D32" i="43"/>
  <c r="C203" i="32" s="1"/>
  <c r="D5" i="43"/>
  <c r="C176" i="32" s="1"/>
  <c r="D18" i="43"/>
  <c r="C189" i="32" s="1"/>
  <c r="D29" i="17"/>
  <c r="D19" i="43"/>
  <c r="C190" i="32" s="1"/>
  <c r="D25" i="17"/>
  <c r="D13" i="43"/>
  <c r="C184" i="32" s="1"/>
  <c r="D14" i="17"/>
  <c r="D25" i="43"/>
  <c r="C196" i="32" s="1"/>
  <c r="D56" i="17"/>
  <c r="D31" i="43"/>
  <c r="C202" i="32" s="1"/>
  <c r="D3" i="43"/>
  <c r="C174" i="32" s="1"/>
  <c r="D53" i="43"/>
  <c r="C224" i="32" s="1"/>
  <c r="D49" i="43"/>
  <c r="C220" i="32" s="1"/>
  <c r="D23" i="17"/>
  <c r="D2" i="17"/>
  <c r="D31" i="17"/>
  <c r="D20" i="17"/>
  <c r="D12" i="17"/>
  <c r="D4" i="17"/>
  <c r="D24" i="17"/>
  <c r="D26" i="17"/>
  <c r="D52" i="17"/>
  <c r="D47" i="17"/>
  <c r="D10" i="17"/>
  <c r="D38" i="43"/>
  <c r="C209" i="32" s="1"/>
  <c r="D13" i="17"/>
  <c r="D39" i="43"/>
  <c r="C210" i="32" s="1"/>
  <c r="D42" i="17"/>
  <c r="D49" i="17"/>
  <c r="D38" i="17"/>
  <c r="D6" i="17"/>
  <c r="D30" i="17"/>
  <c r="AN4" i="3"/>
  <c r="AN53" i="3"/>
  <c r="AN2" i="3"/>
  <c r="AN17" i="3"/>
  <c r="D30" i="43"/>
  <c r="C201" i="32" s="1"/>
  <c r="AN16" i="3"/>
  <c r="AN33" i="3"/>
  <c r="AN22" i="3"/>
  <c r="AN13" i="3"/>
  <c r="AN9" i="3"/>
  <c r="AN35" i="3"/>
  <c r="G9" i="43"/>
  <c r="D180" i="32" s="1"/>
  <c r="AN41" i="3"/>
  <c r="AN44" i="3"/>
  <c r="D20" i="43"/>
  <c r="C191" i="32" s="1"/>
  <c r="AN56" i="3"/>
  <c r="AN8" i="3"/>
  <c r="AN27" i="3"/>
  <c r="AN49" i="3"/>
  <c r="AN34" i="3"/>
  <c r="AN51" i="3"/>
  <c r="AN23" i="3"/>
  <c r="AN32" i="3"/>
  <c r="AN7" i="3"/>
  <c r="AN20" i="3"/>
  <c r="AN31" i="3"/>
  <c r="AN14" i="3"/>
  <c r="AN5" i="3"/>
  <c r="AN45" i="3"/>
  <c r="AN52" i="3"/>
  <c r="AN48" i="3"/>
  <c r="AN24" i="3"/>
  <c r="AN25" i="3"/>
  <c r="AN54" i="3"/>
  <c r="D8" i="43"/>
  <c r="C179" i="32" s="1"/>
  <c r="D22" i="43"/>
  <c r="C193" i="32" s="1"/>
  <c r="AN39" i="3"/>
  <c r="AN46" i="3"/>
  <c r="D11" i="43"/>
  <c r="C182" i="32" s="1"/>
  <c r="AN19" i="3"/>
  <c r="AN29" i="3"/>
  <c r="AN12" i="3"/>
  <c r="AN15" i="3"/>
  <c r="AN36" i="3"/>
  <c r="AN43" i="3"/>
  <c r="AN38" i="3"/>
  <c r="G27" i="43"/>
  <c r="D198" i="32" s="1"/>
  <c r="AN10" i="3"/>
  <c r="D48" i="43"/>
  <c r="C219" i="32" s="1"/>
  <c r="AN26" i="3"/>
  <c r="AN37" i="3"/>
  <c r="AN42" i="3"/>
  <c r="AN55" i="3"/>
  <c r="AN47" i="3"/>
  <c r="AN50" i="3"/>
  <c r="D26" i="43"/>
  <c r="C197" i="32" s="1"/>
  <c r="D7" i="43"/>
  <c r="C178" i="32" s="1"/>
  <c r="D44" i="43"/>
  <c r="C215" i="32" s="1"/>
  <c r="D21" i="43"/>
  <c r="C192" i="32" s="1"/>
  <c r="D36" i="43"/>
  <c r="C207" i="32" s="1"/>
  <c r="G56" i="43"/>
  <c r="D227" i="32" s="1"/>
  <c r="D17" i="43"/>
  <c r="C188" i="32" s="1"/>
  <c r="D23" i="43"/>
  <c r="C194" i="32" s="1"/>
  <c r="AN30" i="3"/>
  <c r="D42" i="43"/>
  <c r="C213" i="32" s="1"/>
  <c r="AN28" i="3"/>
  <c r="D50" i="43"/>
  <c r="C221" i="32" s="1"/>
  <c r="AN3" i="3"/>
  <c r="D4" i="43"/>
  <c r="C175" i="32" s="1"/>
  <c r="D40" i="43"/>
  <c r="C211" i="32" s="1"/>
  <c r="AN18" i="3"/>
  <c r="G5" i="43"/>
  <c r="D176" i="32" s="1"/>
  <c r="D24" i="43"/>
  <c r="C195" i="32" s="1"/>
  <c r="D33" i="43"/>
  <c r="C204" i="32" s="1"/>
  <c r="D27" i="43"/>
  <c r="C198" i="32" s="1"/>
  <c r="F57" i="43"/>
  <c r="G57" i="43" s="1"/>
  <c r="D228" i="32" s="1"/>
  <c r="D45" i="43"/>
  <c r="C216" i="32" s="1"/>
  <c r="D46" i="43"/>
  <c r="C217" i="32" s="1"/>
  <c r="D6" i="43"/>
  <c r="C177" i="32" s="1"/>
  <c r="G20" i="43"/>
  <c r="D191" i="32" s="1"/>
  <c r="D54" i="43"/>
  <c r="C225" i="32" s="1"/>
  <c r="D35" i="43"/>
  <c r="C206" i="32" s="1"/>
  <c r="D16" i="43"/>
  <c r="C187" i="32" s="1"/>
  <c r="D12" i="43"/>
  <c r="C183" i="32" s="1"/>
  <c r="AL57" i="43"/>
  <c r="D37" i="43"/>
  <c r="C208" i="32" s="1"/>
  <c r="D14" i="43"/>
  <c r="C185" i="32" s="1"/>
  <c r="D28" i="43"/>
  <c r="C199" i="32" s="1"/>
  <c r="G47" i="43"/>
  <c r="D218" i="32" s="1"/>
  <c r="C57" i="43"/>
  <c r="C58" i="43" s="1"/>
  <c r="D55" i="43"/>
  <c r="C226" i="32" s="1"/>
  <c r="D41" i="43"/>
  <c r="C212" i="32" s="1"/>
  <c r="D51" i="43"/>
  <c r="C222" i="32" s="1"/>
  <c r="D52" i="43"/>
  <c r="C223" i="32" s="1"/>
  <c r="D34" i="43"/>
  <c r="C205" i="32" s="1"/>
  <c r="AO27" i="43" l="1"/>
  <c r="O198" i="32"/>
  <c r="AO20" i="43"/>
  <c r="O191" i="32"/>
  <c r="AO48" i="43"/>
  <c r="O219" i="32"/>
  <c r="AO3" i="43"/>
  <c r="O174" i="32"/>
  <c r="AO35" i="43"/>
  <c r="O206" i="32"/>
  <c r="AO12" i="43"/>
  <c r="O183" i="32"/>
  <c r="AO17" i="43"/>
  <c r="O188" i="32"/>
  <c r="AO43" i="43"/>
  <c r="O214" i="32"/>
  <c r="AO16" i="43"/>
  <c r="O187" i="32"/>
  <c r="AO11" i="43"/>
  <c r="O182" i="32"/>
  <c r="AO47" i="43"/>
  <c r="O218" i="32"/>
  <c r="AO49" i="43"/>
  <c r="O220" i="32"/>
  <c r="AO54" i="43"/>
  <c r="O225" i="32"/>
  <c r="AO44" i="43"/>
  <c r="O215" i="32"/>
  <c r="AO19" i="43"/>
  <c r="O190" i="32"/>
  <c r="AO5" i="43"/>
  <c r="O176" i="32"/>
  <c r="AO40" i="43"/>
  <c r="O211" i="32"/>
  <c r="AO36" i="43"/>
  <c r="O207" i="32"/>
  <c r="AO41" i="43"/>
  <c r="O212" i="32"/>
  <c r="AO56" i="43"/>
  <c r="O227" i="32"/>
  <c r="AO31" i="43"/>
  <c r="O202" i="32"/>
  <c r="AO38" i="43"/>
  <c r="O209" i="32"/>
  <c r="AO22" i="43"/>
  <c r="O193" i="32"/>
  <c r="AO15" i="43"/>
  <c r="O186" i="32"/>
  <c r="AO29" i="43"/>
  <c r="O200" i="32"/>
  <c r="AO7" i="43"/>
  <c r="O178" i="32"/>
  <c r="AO13" i="43"/>
  <c r="O184" i="32"/>
  <c r="AO34" i="43"/>
  <c r="O205" i="32"/>
  <c r="AO45" i="43"/>
  <c r="O216" i="32"/>
  <c r="AO2" i="43"/>
  <c r="O173" i="32"/>
  <c r="AO30" i="43"/>
  <c r="O201" i="32"/>
  <c r="AO33" i="43"/>
  <c r="O204" i="32"/>
  <c r="AO50" i="43"/>
  <c r="O221" i="32"/>
  <c r="AO37" i="43"/>
  <c r="O208" i="32"/>
  <c r="AO9" i="43"/>
  <c r="O180" i="32"/>
  <c r="AO28" i="43"/>
  <c r="O199" i="32"/>
  <c r="AO8" i="43"/>
  <c r="O179" i="32"/>
  <c r="AN23" i="43"/>
  <c r="AN39" i="43"/>
  <c r="AN55" i="43"/>
  <c r="AN10" i="43"/>
  <c r="AN6" i="43"/>
  <c r="AN32" i="43"/>
  <c r="AN25" i="43"/>
  <c r="AN18" i="43"/>
  <c r="AN53" i="43"/>
  <c r="AN4" i="43"/>
  <c r="AN21" i="43"/>
  <c r="AN14" i="43"/>
  <c r="AN52" i="43"/>
  <c r="AN26" i="43"/>
  <c r="AN51" i="43"/>
  <c r="AN46" i="43"/>
  <c r="AN24" i="43"/>
  <c r="AN42" i="43"/>
  <c r="D57" i="43"/>
  <c r="C228" i="32" s="1"/>
  <c r="AM57" i="43"/>
  <c r="AN57" i="43" s="1"/>
  <c r="O228" i="32" s="1"/>
  <c r="AF3" i="16"/>
  <c r="AF4" i="16"/>
  <c r="AF5" i="16"/>
  <c r="AF6" i="16"/>
  <c r="AF7" i="16"/>
  <c r="AF8" i="16"/>
  <c r="AF9" i="16"/>
  <c r="AF10" i="16"/>
  <c r="AF11" i="16"/>
  <c r="AF12" i="16"/>
  <c r="AF13" i="16"/>
  <c r="AF14" i="16"/>
  <c r="AF15" i="16"/>
  <c r="AF16" i="16"/>
  <c r="AF17" i="16"/>
  <c r="AF18" i="16"/>
  <c r="AF19" i="16"/>
  <c r="AF20" i="16"/>
  <c r="AF21" i="16"/>
  <c r="AF22" i="16"/>
  <c r="AF23" i="16"/>
  <c r="AF24" i="16"/>
  <c r="AF25" i="16"/>
  <c r="AF26" i="16"/>
  <c r="AF27" i="16"/>
  <c r="AF28" i="16"/>
  <c r="AF29" i="16"/>
  <c r="AF30" i="16"/>
  <c r="AF31" i="16"/>
  <c r="AF32" i="16"/>
  <c r="AF33" i="16"/>
  <c r="AF34" i="16"/>
  <c r="AF35" i="16"/>
  <c r="AF36" i="16"/>
  <c r="AF37" i="16"/>
  <c r="AF38" i="16"/>
  <c r="AF39" i="16"/>
  <c r="AF40" i="16"/>
  <c r="AF41" i="16"/>
  <c r="AF42" i="16"/>
  <c r="AF43" i="16"/>
  <c r="AF44" i="16"/>
  <c r="AF45" i="16"/>
  <c r="AF46" i="16"/>
  <c r="AF47" i="16"/>
  <c r="AF48" i="16"/>
  <c r="AF49" i="16"/>
  <c r="AF50" i="16"/>
  <c r="AF51" i="16"/>
  <c r="AF52" i="16"/>
  <c r="AF53" i="16"/>
  <c r="AF54" i="16"/>
  <c r="AF55" i="16"/>
  <c r="AF56" i="16"/>
  <c r="AF2" i="16"/>
  <c r="AG3" i="3"/>
  <c r="AG4" i="3"/>
  <c r="AG5" i="3"/>
  <c r="AG6" i="3"/>
  <c r="AH6" i="43" s="1"/>
  <c r="AG7" i="3"/>
  <c r="AH7" i="43" s="1"/>
  <c r="AG8" i="3"/>
  <c r="AH8" i="43" s="1"/>
  <c r="AG9" i="3"/>
  <c r="AH9" i="43" s="1"/>
  <c r="AG10" i="3"/>
  <c r="AG11" i="3"/>
  <c r="AG12" i="3"/>
  <c r="AG13" i="3"/>
  <c r="AG14" i="3"/>
  <c r="AG15" i="3"/>
  <c r="AG16" i="3"/>
  <c r="AG17" i="3"/>
  <c r="AG18" i="3"/>
  <c r="AG19" i="3"/>
  <c r="AG20" i="3"/>
  <c r="AH20" i="43" s="1"/>
  <c r="AG21" i="3"/>
  <c r="AG22" i="3"/>
  <c r="AH22" i="43" s="1"/>
  <c r="AG23" i="3"/>
  <c r="AH23" i="43" s="1"/>
  <c r="AG24" i="3"/>
  <c r="AH24" i="43" s="1"/>
  <c r="AG25" i="3"/>
  <c r="AG26" i="3"/>
  <c r="AG27" i="3"/>
  <c r="AG28" i="3"/>
  <c r="AH28" i="43" s="1"/>
  <c r="AG29" i="3"/>
  <c r="AG30" i="3"/>
  <c r="AH30" i="43" s="1"/>
  <c r="AG31" i="3"/>
  <c r="AG32" i="3"/>
  <c r="AG33" i="3"/>
  <c r="AG34" i="3"/>
  <c r="AG35" i="3"/>
  <c r="AG36" i="3"/>
  <c r="AG37" i="3"/>
  <c r="AG38" i="3"/>
  <c r="AG39" i="3"/>
  <c r="AG40" i="3"/>
  <c r="AH40" i="43" s="1"/>
  <c r="AG41" i="3"/>
  <c r="AG42" i="3"/>
  <c r="AH42" i="43" s="1"/>
  <c r="AG43" i="3"/>
  <c r="AH43" i="43" s="1"/>
  <c r="AG44" i="3"/>
  <c r="AG45" i="3"/>
  <c r="AG46" i="3"/>
  <c r="AH46" i="43" s="1"/>
  <c r="AG47" i="3"/>
  <c r="AH47" i="43" s="1"/>
  <c r="AG48" i="3"/>
  <c r="AH48" i="43" s="1"/>
  <c r="AG49" i="3"/>
  <c r="AH49" i="43" s="1"/>
  <c r="AG50" i="3"/>
  <c r="AG51" i="3"/>
  <c r="AG52" i="3"/>
  <c r="AG53" i="3"/>
  <c r="AG54" i="3"/>
  <c r="AG55" i="3"/>
  <c r="AG56" i="3"/>
  <c r="AF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G2" i="3"/>
  <c r="AG2" i="16" s="1"/>
  <c r="AF2" i="3"/>
  <c r="AO42" i="43" l="1"/>
  <c r="O213" i="32"/>
  <c r="AO24" i="43"/>
  <c r="O195" i="32"/>
  <c r="AO46" i="43"/>
  <c r="O217" i="32"/>
  <c r="AO10" i="43"/>
  <c r="O181" i="32"/>
  <c r="AO39" i="43"/>
  <c r="O210" i="32"/>
  <c r="AO51" i="43"/>
  <c r="O222" i="32"/>
  <c r="AO55" i="43"/>
  <c r="O226" i="32"/>
  <c r="AO23" i="43"/>
  <c r="O194" i="32"/>
  <c r="AO26" i="43"/>
  <c r="O197" i="32"/>
  <c r="AO21" i="43"/>
  <c r="O192" i="32"/>
  <c r="AO18" i="43"/>
  <c r="O189" i="32"/>
  <c r="AO32" i="43"/>
  <c r="O203" i="32"/>
  <c r="AO6" i="43"/>
  <c r="O177" i="32"/>
  <c r="AO52" i="43"/>
  <c r="O223" i="32"/>
  <c r="AO14" i="43"/>
  <c r="O185" i="32"/>
  <c r="AO4" i="43"/>
  <c r="O175" i="32"/>
  <c r="AO53" i="43"/>
  <c r="O224" i="32"/>
  <c r="AO25" i="43"/>
  <c r="O196" i="32"/>
  <c r="AG22" i="16"/>
  <c r="AG4" i="16"/>
  <c r="AH4" i="43"/>
  <c r="AG19" i="16"/>
  <c r="AH19" i="43"/>
  <c r="AG16" i="16"/>
  <c r="AH16" i="43"/>
  <c r="AG55" i="16"/>
  <c r="AH55" i="43"/>
  <c r="AG33" i="16"/>
  <c r="AH33" i="43"/>
  <c r="AG52" i="16"/>
  <c r="AH52" i="43"/>
  <c r="AG11" i="16"/>
  <c r="AH11" i="43"/>
  <c r="AG50" i="16"/>
  <c r="AH50" i="43"/>
  <c r="AG10" i="16"/>
  <c r="AH10" i="43"/>
  <c r="AG45" i="16"/>
  <c r="AH45" i="43"/>
  <c r="AH3" i="43"/>
  <c r="AG41" i="16"/>
  <c r="AH41" i="43"/>
  <c r="AG39" i="16"/>
  <c r="AH39" i="43"/>
  <c r="AG37" i="16"/>
  <c r="AH37" i="43"/>
  <c r="AG36" i="16"/>
  <c r="AH36" i="43"/>
  <c r="AG54" i="16"/>
  <c r="AH54" i="43"/>
  <c r="AG5" i="16"/>
  <c r="AH5" i="43"/>
  <c r="AG18" i="16"/>
  <c r="AH18" i="43"/>
  <c r="AG56" i="16"/>
  <c r="AH56" i="43"/>
  <c r="AG15" i="16"/>
  <c r="AH15" i="43"/>
  <c r="AG53" i="16"/>
  <c r="AH53" i="43"/>
  <c r="AG12" i="16"/>
  <c r="AH12" i="43"/>
  <c r="AH2" i="43"/>
  <c r="AG31" i="16"/>
  <c r="AH31" i="43"/>
  <c r="AG29" i="16"/>
  <c r="AH29" i="43"/>
  <c r="AG25" i="16"/>
  <c r="AH25" i="43"/>
  <c r="AG44" i="16"/>
  <c r="AH44" i="43"/>
  <c r="AG35" i="16"/>
  <c r="AH35" i="43"/>
  <c r="AG14" i="16"/>
  <c r="AH14" i="43"/>
  <c r="AG13" i="16"/>
  <c r="AH13" i="43"/>
  <c r="AG27" i="16"/>
  <c r="AH27" i="43"/>
  <c r="AG24" i="16"/>
  <c r="AG21" i="16"/>
  <c r="AH21" i="43"/>
  <c r="AG38" i="16"/>
  <c r="AH38" i="43"/>
  <c r="AG17" i="16"/>
  <c r="AH17" i="43"/>
  <c r="AG34" i="16"/>
  <c r="AH34" i="43"/>
  <c r="AG32" i="16"/>
  <c r="AH32" i="43"/>
  <c r="AG51" i="16"/>
  <c r="AH51" i="43"/>
  <c r="AG26" i="16"/>
  <c r="AH26" i="43"/>
  <c r="AG23" i="16"/>
  <c r="AG6" i="16"/>
  <c r="AG49" i="16"/>
  <c r="AG9" i="16"/>
  <c r="AG47" i="16"/>
  <c r="AG7" i="16"/>
  <c r="AG46" i="16"/>
  <c r="AG43" i="16"/>
  <c r="AG3" i="16"/>
  <c r="AG42" i="16"/>
  <c r="AG30" i="16"/>
  <c r="AG8" i="16"/>
  <c r="AG28" i="16"/>
  <c r="AG48" i="16"/>
  <c r="AG40" i="16"/>
  <c r="AG20" i="16"/>
  <c r="H12" i="23"/>
  <c r="J12" i="23" s="1"/>
  <c r="J106" i="13"/>
  <c r="J90" i="13"/>
  <c r="J49" i="13"/>
  <c r="J162" i="13"/>
  <c r="J147" i="13"/>
  <c r="J130" i="13"/>
  <c r="J161" i="13"/>
  <c r="J105" i="13"/>
  <c r="J89" i="13"/>
  <c r="J146" i="13"/>
  <c r="J129" i="13"/>
  <c r="J55" i="13"/>
  <c r="J48" i="13"/>
  <c r="H11" i="23"/>
  <c r="J11" i="23" s="1"/>
  <c r="AO57" i="43" l="1"/>
  <c r="AQ57" i="43" s="1"/>
  <c r="AS57" i="43" s="1"/>
  <c r="AG57" i="43"/>
  <c r="AH57" i="43" s="1"/>
  <c r="AC4" i="16"/>
  <c r="AC5" i="16"/>
  <c r="AC6" i="16"/>
  <c r="AC7" i="16"/>
  <c r="AC8" i="16"/>
  <c r="AC9" i="16"/>
  <c r="AC10" i="16"/>
  <c r="AC11" i="16"/>
  <c r="AC12" i="16"/>
  <c r="AC13" i="16"/>
  <c r="AC14" i="16"/>
  <c r="AC15" i="16"/>
  <c r="AC16" i="16"/>
  <c r="AC17" i="16"/>
  <c r="AC18" i="16"/>
  <c r="AC19" i="16"/>
  <c r="AC20" i="16"/>
  <c r="AC21" i="16"/>
  <c r="AC22" i="16"/>
  <c r="AC23" i="16"/>
  <c r="AC24" i="16"/>
  <c r="AC25" i="16"/>
  <c r="AC26" i="16"/>
  <c r="AC27" i="16"/>
  <c r="AC28" i="16"/>
  <c r="AC29" i="16"/>
  <c r="AC30" i="16"/>
  <c r="AC31" i="16"/>
  <c r="AC32" i="16"/>
  <c r="AC33" i="16"/>
  <c r="AC34" i="16"/>
  <c r="AC35" i="16"/>
  <c r="AC36" i="16"/>
  <c r="AC37" i="16"/>
  <c r="AC38" i="16"/>
  <c r="AC39" i="16"/>
  <c r="AC40" i="16"/>
  <c r="AC41" i="16"/>
  <c r="AC42" i="16"/>
  <c r="AC43" i="16"/>
  <c r="AC44" i="16"/>
  <c r="AC45" i="16"/>
  <c r="AC46" i="16"/>
  <c r="AC47" i="16"/>
  <c r="AC48" i="16"/>
  <c r="AC49" i="16"/>
  <c r="AC50" i="16"/>
  <c r="AC51" i="16"/>
  <c r="AC52" i="16"/>
  <c r="AC53" i="16"/>
  <c r="AC54" i="16"/>
  <c r="AC55" i="16"/>
  <c r="AC56" i="16"/>
  <c r="AD4" i="3"/>
  <c r="AE4" i="43" s="1"/>
  <c r="AD5" i="3"/>
  <c r="AD6" i="3"/>
  <c r="AE6" i="43" s="1"/>
  <c r="AD7" i="3"/>
  <c r="AE7" i="43" s="1"/>
  <c r="AD8" i="3"/>
  <c r="AD9" i="3"/>
  <c r="AD10" i="3"/>
  <c r="AE10" i="43" s="1"/>
  <c r="AD11" i="3"/>
  <c r="AD12" i="3"/>
  <c r="AD13" i="3"/>
  <c r="AE13" i="43" s="1"/>
  <c r="AD14" i="3"/>
  <c r="AD15" i="3"/>
  <c r="AD16" i="3"/>
  <c r="AD17" i="3"/>
  <c r="AD18" i="3"/>
  <c r="AD19" i="3"/>
  <c r="AD20" i="3"/>
  <c r="AE20" i="43" s="1"/>
  <c r="AD21" i="3"/>
  <c r="AE21" i="43" s="1"/>
  <c r="AD22" i="3"/>
  <c r="AE22" i="43" s="1"/>
  <c r="AD23" i="3"/>
  <c r="AE23" i="43" s="1"/>
  <c r="AD24" i="3"/>
  <c r="AE24" i="43" s="1"/>
  <c r="AD25" i="3"/>
  <c r="AE25" i="43" s="1"/>
  <c r="AD26" i="3"/>
  <c r="AE26" i="43" s="1"/>
  <c r="AD27" i="3"/>
  <c r="AE27" i="43" s="1"/>
  <c r="AD28" i="3"/>
  <c r="AE28" i="43" s="1"/>
  <c r="AD29" i="3"/>
  <c r="AD30" i="3"/>
  <c r="AD31" i="3"/>
  <c r="AD32" i="3"/>
  <c r="AD33" i="3"/>
  <c r="AD34" i="3"/>
  <c r="AD35" i="3"/>
  <c r="AD36" i="3"/>
  <c r="AD37" i="3"/>
  <c r="AD38" i="3"/>
  <c r="AD39" i="3"/>
  <c r="AD40" i="3"/>
  <c r="AE40" i="43" s="1"/>
  <c r="AD41" i="3"/>
  <c r="AD42" i="3"/>
  <c r="AE42" i="43" s="1"/>
  <c r="AD43" i="3"/>
  <c r="AE43" i="43" s="1"/>
  <c r="AD44" i="3"/>
  <c r="AE44" i="43" s="1"/>
  <c r="AD45" i="3"/>
  <c r="AE45" i="43" s="1"/>
  <c r="AD46" i="3"/>
  <c r="AE46" i="43" s="1"/>
  <c r="AD47" i="3"/>
  <c r="AE47" i="43" s="1"/>
  <c r="AD48" i="3"/>
  <c r="AE48" i="43" s="1"/>
  <c r="AD49" i="3"/>
  <c r="AD50" i="3"/>
  <c r="AD51" i="3"/>
  <c r="AD52" i="3"/>
  <c r="AD53" i="3"/>
  <c r="AD54" i="3"/>
  <c r="AD55" i="3"/>
  <c r="AD56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3" i="16"/>
  <c r="AC2" i="16"/>
  <c r="AD3" i="3"/>
  <c r="AE3" i="43" s="1"/>
  <c r="AC3" i="3"/>
  <c r="AD2" i="3"/>
  <c r="AE2" i="43" s="1"/>
  <c r="AC2" i="3"/>
  <c r="J145" i="13"/>
  <c r="J128" i="13"/>
  <c r="J47" i="13"/>
  <c r="J160" i="13"/>
  <c r="J88" i="13"/>
  <c r="AD53" i="16" l="1"/>
  <c r="AE53" i="43"/>
  <c r="AD12" i="16"/>
  <c r="AE12" i="43"/>
  <c r="AD32" i="16"/>
  <c r="AE32" i="43"/>
  <c r="AD30" i="16"/>
  <c r="AE30" i="43"/>
  <c r="AD9" i="16"/>
  <c r="AE9" i="43"/>
  <c r="AD8" i="16"/>
  <c r="AE8" i="43"/>
  <c r="AD41" i="16"/>
  <c r="AE41" i="43"/>
  <c r="AD54" i="16"/>
  <c r="AE54" i="43"/>
  <c r="AD51" i="16"/>
  <c r="AE51" i="43"/>
  <c r="AD50" i="16"/>
  <c r="AE50" i="43"/>
  <c r="AD49" i="16"/>
  <c r="AE49" i="43"/>
  <c r="AD39" i="16"/>
  <c r="AE39" i="43"/>
  <c r="AD19" i="16"/>
  <c r="AE19" i="43"/>
  <c r="AD34" i="16"/>
  <c r="AE34" i="43"/>
  <c r="AE11" i="43"/>
  <c r="AD29" i="16"/>
  <c r="AE29" i="43"/>
  <c r="AD5" i="16"/>
  <c r="AE5" i="43"/>
  <c r="AD38" i="16"/>
  <c r="AE38" i="43"/>
  <c r="AD14" i="16"/>
  <c r="AE14" i="43"/>
  <c r="AD33" i="16"/>
  <c r="AE33" i="43"/>
  <c r="AD52" i="16"/>
  <c r="AE52" i="43"/>
  <c r="AD31" i="16"/>
  <c r="AE31" i="43"/>
  <c r="AD37" i="16"/>
  <c r="AE37" i="43"/>
  <c r="AD56" i="16"/>
  <c r="AE56" i="43"/>
  <c r="AD36" i="16"/>
  <c r="AE36" i="43"/>
  <c r="AD16" i="16"/>
  <c r="AE16" i="43"/>
  <c r="AD18" i="16"/>
  <c r="AE18" i="43"/>
  <c r="AD17" i="16"/>
  <c r="AE17" i="43"/>
  <c r="AD55" i="16"/>
  <c r="AE55" i="43"/>
  <c r="AD35" i="16"/>
  <c r="AE35" i="43"/>
  <c r="AD15" i="16"/>
  <c r="AE15" i="43"/>
  <c r="AD13" i="16"/>
  <c r="AD28" i="16"/>
  <c r="AD10" i="16"/>
  <c r="AD11" i="16"/>
  <c r="AD48" i="16"/>
  <c r="AD7" i="16"/>
  <c r="AD46" i="16"/>
  <c r="AD45" i="16"/>
  <c r="AD25" i="16"/>
  <c r="AD44" i="16"/>
  <c r="AD24" i="16"/>
  <c r="AD4" i="16"/>
  <c r="AD2" i="16"/>
  <c r="AD43" i="16"/>
  <c r="AD23" i="16"/>
  <c r="AD42" i="16"/>
  <c r="AD22" i="16"/>
  <c r="AD27" i="16"/>
  <c r="AD21" i="16"/>
  <c r="AD40" i="16"/>
  <c r="AD47" i="16"/>
  <c r="AD26" i="16"/>
  <c r="AD6" i="16"/>
  <c r="AD3" i="16"/>
  <c r="AD20" i="16"/>
  <c r="H10" i="23"/>
  <c r="J10" i="23" s="1"/>
  <c r="H11" i="20"/>
  <c r="H12" i="20"/>
  <c r="H13" i="20"/>
  <c r="Z3" i="16"/>
  <c r="Z4" i="16"/>
  <c r="Z5" i="16"/>
  <c r="Z6" i="16"/>
  <c r="Z7" i="16"/>
  <c r="Z8" i="16"/>
  <c r="Z9" i="16"/>
  <c r="Z10" i="16"/>
  <c r="Z11" i="16"/>
  <c r="Z12" i="16"/>
  <c r="Z13" i="16"/>
  <c r="Z14" i="16"/>
  <c r="Z15" i="16"/>
  <c r="Z16" i="16"/>
  <c r="Z17" i="16"/>
  <c r="Z18" i="16"/>
  <c r="Z19" i="16"/>
  <c r="Z20" i="16"/>
  <c r="Z21" i="16"/>
  <c r="Z22" i="16"/>
  <c r="Z23" i="16"/>
  <c r="Z24" i="16"/>
  <c r="Z25" i="16"/>
  <c r="Z26" i="16"/>
  <c r="Z27" i="16"/>
  <c r="Z28" i="16"/>
  <c r="Z29" i="16"/>
  <c r="Z30" i="16"/>
  <c r="Z31" i="16"/>
  <c r="Z32" i="16"/>
  <c r="Z33" i="16"/>
  <c r="Z34" i="16"/>
  <c r="Z35" i="16"/>
  <c r="Z36" i="16"/>
  <c r="Z37" i="16"/>
  <c r="Z38" i="16"/>
  <c r="Z39" i="16"/>
  <c r="Z40" i="16"/>
  <c r="Z41" i="16"/>
  <c r="Z42" i="16"/>
  <c r="Z43" i="16"/>
  <c r="Z44" i="16"/>
  <c r="Z45" i="16"/>
  <c r="Z46" i="16"/>
  <c r="Z47" i="16"/>
  <c r="Z48" i="16"/>
  <c r="Z49" i="16"/>
  <c r="Z50" i="16"/>
  <c r="Z51" i="16"/>
  <c r="Z52" i="16"/>
  <c r="Z53" i="16"/>
  <c r="Z54" i="16"/>
  <c r="Z55" i="16"/>
  <c r="Z56" i="16"/>
  <c r="Z2" i="16"/>
  <c r="AA3" i="3"/>
  <c r="AA4" i="3"/>
  <c r="AA5" i="3"/>
  <c r="AB5" i="43" s="1"/>
  <c r="AA6" i="3"/>
  <c r="AB6" i="43" s="1"/>
  <c r="AA7" i="3"/>
  <c r="AA8" i="3"/>
  <c r="AA9" i="3"/>
  <c r="AB9" i="43" s="1"/>
  <c r="AA10" i="3"/>
  <c r="AB10" i="43" s="1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B25" i="43" s="1"/>
  <c r="AA26" i="3"/>
  <c r="AA27" i="3"/>
  <c r="AA28" i="3"/>
  <c r="AA29" i="3"/>
  <c r="AA30" i="3"/>
  <c r="AB30" i="43" s="1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B45" i="43" s="1"/>
  <c r="AA46" i="3"/>
  <c r="AA47" i="3"/>
  <c r="AB47" i="43" s="1"/>
  <c r="AA48" i="3"/>
  <c r="AB48" i="43" s="1"/>
  <c r="AA49" i="3"/>
  <c r="AB49" i="43" s="1"/>
  <c r="AA50" i="3"/>
  <c r="AB50" i="43" s="1"/>
  <c r="AA51" i="3"/>
  <c r="AB51" i="43" s="1"/>
  <c r="AA52" i="3"/>
  <c r="AA53" i="3"/>
  <c r="AA54" i="3"/>
  <c r="AA55" i="3"/>
  <c r="AA56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AA2" i="3"/>
  <c r="Z2" i="3"/>
  <c r="J187" i="13"/>
  <c r="J159" i="13"/>
  <c r="J144" i="13"/>
  <c r="J127" i="13"/>
  <c r="J104" i="13"/>
  <c r="J87" i="13"/>
  <c r="J54" i="13"/>
  <c r="J46" i="13"/>
  <c r="C14" i="42"/>
  <c r="B14" i="42"/>
  <c r="H9" i="23"/>
  <c r="J9" i="23" s="1"/>
  <c r="J158" i="13"/>
  <c r="J186" i="13"/>
  <c r="D6" i="36"/>
  <c r="D7" i="36"/>
  <c r="D8" i="36"/>
  <c r="D9" i="36"/>
  <c r="D10" i="36"/>
  <c r="D11" i="36"/>
  <c r="D12" i="36"/>
  <c r="D13" i="36"/>
  <c r="D14" i="36"/>
  <c r="J103" i="13"/>
  <c r="J143" i="13"/>
  <c r="J126" i="13"/>
  <c r="J45" i="13"/>
  <c r="J53" i="13"/>
  <c r="W3" i="16"/>
  <c r="W4" i="16"/>
  <c r="W5" i="16"/>
  <c r="W6" i="16"/>
  <c r="W7" i="16"/>
  <c r="W8" i="16"/>
  <c r="W9" i="16"/>
  <c r="W10" i="16"/>
  <c r="W11" i="16"/>
  <c r="W12" i="16"/>
  <c r="W13" i="16"/>
  <c r="W14" i="16"/>
  <c r="W15" i="16"/>
  <c r="W16" i="16"/>
  <c r="W17" i="16"/>
  <c r="W18" i="16"/>
  <c r="W19" i="16"/>
  <c r="W20" i="16"/>
  <c r="W21" i="16"/>
  <c r="W22" i="16"/>
  <c r="W23" i="16"/>
  <c r="W24" i="16"/>
  <c r="W25" i="16"/>
  <c r="W26" i="16"/>
  <c r="W27" i="16"/>
  <c r="W28" i="16"/>
  <c r="W29" i="16"/>
  <c r="W30" i="16"/>
  <c r="W31" i="16"/>
  <c r="W32" i="16"/>
  <c r="W33" i="16"/>
  <c r="W34" i="16"/>
  <c r="W35" i="16"/>
  <c r="W36" i="16"/>
  <c r="W37" i="16"/>
  <c r="W38" i="16"/>
  <c r="W39" i="16"/>
  <c r="W40" i="16"/>
  <c r="W41" i="16"/>
  <c r="W42" i="16"/>
  <c r="W43" i="16"/>
  <c r="W44" i="16"/>
  <c r="W45" i="16"/>
  <c r="W46" i="16"/>
  <c r="W47" i="16"/>
  <c r="W48" i="16"/>
  <c r="W49" i="16"/>
  <c r="W50" i="16"/>
  <c r="W51" i="16"/>
  <c r="W52" i="16"/>
  <c r="W53" i="16"/>
  <c r="W54" i="16"/>
  <c r="W55" i="16"/>
  <c r="W56" i="16"/>
  <c r="W2" i="16"/>
  <c r="X3" i="3"/>
  <c r="X4" i="3"/>
  <c r="X5" i="3"/>
  <c r="X6" i="3"/>
  <c r="X7" i="3"/>
  <c r="X8" i="3"/>
  <c r="Y8" i="43" s="1"/>
  <c r="X9" i="3"/>
  <c r="X10" i="3"/>
  <c r="X11" i="3"/>
  <c r="X12" i="3"/>
  <c r="X13" i="3"/>
  <c r="X14" i="3"/>
  <c r="X15" i="3"/>
  <c r="X16" i="3"/>
  <c r="X17" i="3"/>
  <c r="X18" i="3"/>
  <c r="Y18" i="43" s="1"/>
  <c r="X19" i="3"/>
  <c r="Y19" i="43" s="1"/>
  <c r="X20" i="3"/>
  <c r="Y20" i="43" s="1"/>
  <c r="X21" i="3"/>
  <c r="X22" i="3"/>
  <c r="X23" i="3"/>
  <c r="X24" i="3"/>
  <c r="X25" i="3"/>
  <c r="X26" i="3"/>
  <c r="X27" i="3"/>
  <c r="Y27" i="43" s="1"/>
  <c r="X28" i="3"/>
  <c r="Y28" i="43" s="1"/>
  <c r="X29" i="3"/>
  <c r="X30" i="3"/>
  <c r="X31" i="3"/>
  <c r="X32" i="3"/>
  <c r="X33" i="3"/>
  <c r="X34" i="3"/>
  <c r="X35" i="3"/>
  <c r="X36" i="3"/>
  <c r="X37" i="3"/>
  <c r="X38" i="3"/>
  <c r="Y38" i="43" s="1"/>
  <c r="X39" i="3"/>
  <c r="Y39" i="43" s="1"/>
  <c r="X40" i="3"/>
  <c r="Y40" i="43" s="1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X2" i="3"/>
  <c r="W2" i="3"/>
  <c r="AA18" i="16" l="1"/>
  <c r="AB18" i="43"/>
  <c r="X12" i="16"/>
  <c r="Y12" i="43"/>
  <c r="X11" i="16"/>
  <c r="Y11" i="43"/>
  <c r="AA56" i="16"/>
  <c r="AB56" i="43"/>
  <c r="X9" i="16"/>
  <c r="Y9" i="43"/>
  <c r="X48" i="16"/>
  <c r="Y48" i="43"/>
  <c r="AA54" i="16"/>
  <c r="AB54" i="43"/>
  <c r="AA34" i="16"/>
  <c r="AB34" i="43"/>
  <c r="AA14" i="16"/>
  <c r="AB14" i="43"/>
  <c r="X47" i="16"/>
  <c r="Y47" i="43"/>
  <c r="X7" i="16"/>
  <c r="Y7" i="43"/>
  <c r="AA53" i="16"/>
  <c r="AB53" i="43"/>
  <c r="AA33" i="16"/>
  <c r="AB33" i="43"/>
  <c r="AA13" i="16"/>
  <c r="AB13" i="43"/>
  <c r="X25" i="16"/>
  <c r="Y25" i="43"/>
  <c r="AB2" i="43"/>
  <c r="AA31" i="16"/>
  <c r="AB31" i="43"/>
  <c r="AA11" i="16"/>
  <c r="AB11" i="43"/>
  <c r="AA19" i="16"/>
  <c r="AB19" i="43"/>
  <c r="X51" i="16"/>
  <c r="Y51" i="43"/>
  <c r="X49" i="16"/>
  <c r="Y49" i="43"/>
  <c r="AA15" i="16"/>
  <c r="AB15" i="43"/>
  <c r="X3" i="16"/>
  <c r="AA29" i="16"/>
  <c r="AB29" i="43"/>
  <c r="X42" i="16"/>
  <c r="Y42" i="43"/>
  <c r="X22" i="16"/>
  <c r="Y22" i="43"/>
  <c r="AA28" i="16"/>
  <c r="AB28" i="43"/>
  <c r="AA8" i="16"/>
  <c r="AB8" i="43"/>
  <c r="AD57" i="43"/>
  <c r="AE57" i="43" s="1"/>
  <c r="AA39" i="16"/>
  <c r="AB39" i="43"/>
  <c r="AA37" i="16"/>
  <c r="AB37" i="43"/>
  <c r="X50" i="16"/>
  <c r="Y50" i="43"/>
  <c r="X26" i="16"/>
  <c r="Y26" i="43"/>
  <c r="AA52" i="16"/>
  <c r="AB52" i="43"/>
  <c r="X23" i="16"/>
  <c r="Y23" i="43"/>
  <c r="X21" i="16"/>
  <c r="Y21" i="43"/>
  <c r="AA7" i="16"/>
  <c r="AB7" i="43"/>
  <c r="AA46" i="16"/>
  <c r="AB46" i="43"/>
  <c r="AA26" i="16"/>
  <c r="AB26" i="43"/>
  <c r="X33" i="16"/>
  <c r="Y33" i="43"/>
  <c r="X2" i="16"/>
  <c r="Y2" i="43"/>
  <c r="AA36" i="16"/>
  <c r="AB36" i="43"/>
  <c r="X29" i="16"/>
  <c r="Y29" i="43"/>
  <c r="X5" i="16"/>
  <c r="Y5" i="43"/>
  <c r="X44" i="16"/>
  <c r="Y44" i="43"/>
  <c r="X4" i="16"/>
  <c r="Y4" i="43"/>
  <c r="X43" i="16"/>
  <c r="Y43" i="43"/>
  <c r="X41" i="16"/>
  <c r="Y41" i="43"/>
  <c r="AA27" i="16"/>
  <c r="AB27" i="43"/>
  <c r="X13" i="16"/>
  <c r="Y13" i="43"/>
  <c r="X52" i="16"/>
  <c r="Y52" i="43"/>
  <c r="AA17" i="16"/>
  <c r="AB17" i="43"/>
  <c r="X30" i="16"/>
  <c r="Y30" i="43"/>
  <c r="AA32" i="16"/>
  <c r="AB32" i="43"/>
  <c r="AA4" i="16"/>
  <c r="AB4" i="43"/>
  <c r="X37" i="16"/>
  <c r="Y37" i="43"/>
  <c r="AA23" i="16"/>
  <c r="AB23" i="43"/>
  <c r="AA3" i="16"/>
  <c r="AB3" i="43"/>
  <c r="X56" i="16"/>
  <c r="Y56" i="43"/>
  <c r="X36" i="16"/>
  <c r="Y36" i="43"/>
  <c r="X16" i="16"/>
  <c r="Y16" i="43"/>
  <c r="AA42" i="16"/>
  <c r="AB42" i="43"/>
  <c r="AA22" i="16"/>
  <c r="AB22" i="43"/>
  <c r="X53" i="16"/>
  <c r="Y53" i="43"/>
  <c r="AA38" i="16"/>
  <c r="AB38" i="43"/>
  <c r="X10" i="16"/>
  <c r="Y10" i="43"/>
  <c r="AA35" i="16"/>
  <c r="AB35" i="43"/>
  <c r="X46" i="16"/>
  <c r="Y46" i="43"/>
  <c r="AA12" i="16"/>
  <c r="AB12" i="43"/>
  <c r="AA44" i="16"/>
  <c r="AB44" i="43"/>
  <c r="X17" i="16"/>
  <c r="Y17" i="43"/>
  <c r="AA43" i="16"/>
  <c r="AB43" i="43"/>
  <c r="X55" i="16"/>
  <c r="Y55" i="43"/>
  <c r="X15" i="16"/>
  <c r="Y15" i="43"/>
  <c r="AA41" i="16"/>
  <c r="AB41" i="43"/>
  <c r="X32" i="16"/>
  <c r="Y32" i="43"/>
  <c r="X31" i="16"/>
  <c r="Y31" i="43"/>
  <c r="AA16" i="16"/>
  <c r="AB16" i="43"/>
  <c r="AA55" i="16"/>
  <c r="AB55" i="43"/>
  <c r="X6" i="16"/>
  <c r="Y6" i="43"/>
  <c r="X45" i="16"/>
  <c r="Y45" i="43"/>
  <c r="X24" i="16"/>
  <c r="Y24" i="43"/>
  <c r="AA24" i="16"/>
  <c r="AB24" i="43"/>
  <c r="X35" i="16"/>
  <c r="Y35" i="43"/>
  <c r="AA21" i="16"/>
  <c r="AB21" i="43"/>
  <c r="X54" i="16"/>
  <c r="Y54" i="43"/>
  <c r="X34" i="16"/>
  <c r="Y34" i="43"/>
  <c r="X14" i="16"/>
  <c r="Y14" i="43"/>
  <c r="AA40" i="16"/>
  <c r="AB40" i="43"/>
  <c r="AA20" i="16"/>
  <c r="AB20" i="43"/>
  <c r="AA45" i="16"/>
  <c r="AA25" i="16"/>
  <c r="AA9" i="16"/>
  <c r="AA51" i="16"/>
  <c r="AA49" i="16"/>
  <c r="AA48" i="16"/>
  <c r="AA6" i="16"/>
  <c r="H10" i="20"/>
  <c r="AA2" i="16"/>
  <c r="AA47" i="16"/>
  <c r="AA5" i="16"/>
  <c r="AA50" i="16"/>
  <c r="AA30" i="16"/>
  <c r="AA10" i="16"/>
  <c r="H9" i="20"/>
  <c r="X28" i="16"/>
  <c r="X27" i="16"/>
  <c r="X20" i="16"/>
  <c r="X40" i="16"/>
  <c r="X39" i="16"/>
  <c r="X19" i="16"/>
  <c r="X8" i="16"/>
  <c r="X38" i="16"/>
  <c r="X18" i="16"/>
  <c r="H13" i="40"/>
  <c r="H12" i="40"/>
  <c r="H11" i="40"/>
  <c r="H10" i="40"/>
  <c r="H9" i="40"/>
  <c r="H8" i="40"/>
  <c r="H7" i="40"/>
  <c r="H6" i="40"/>
  <c r="H5" i="40"/>
  <c r="H4" i="40"/>
  <c r="F14" i="40"/>
  <c r="H3" i="40"/>
  <c r="H2" i="40"/>
  <c r="J157" i="13"/>
  <c r="J85" i="13"/>
  <c r="O60" i="13"/>
  <c r="J185" i="13"/>
  <c r="J52" i="13"/>
  <c r="J44" i="13"/>
  <c r="J142" i="13"/>
  <c r="J125" i="13"/>
  <c r="J112" i="13"/>
  <c r="J102" i="13"/>
  <c r="H8" i="23"/>
  <c r="J8" i="23" s="1"/>
  <c r="H8" i="19"/>
  <c r="B59" i="17"/>
  <c r="T28" i="16"/>
  <c r="T29" i="16"/>
  <c r="T30" i="16"/>
  <c r="T31" i="16"/>
  <c r="T32" i="16"/>
  <c r="T33" i="16"/>
  <c r="T34" i="16"/>
  <c r="T35" i="16"/>
  <c r="T36" i="16"/>
  <c r="T37" i="16"/>
  <c r="T38" i="16"/>
  <c r="T39" i="16"/>
  <c r="T40" i="16"/>
  <c r="T41" i="16"/>
  <c r="T42" i="16"/>
  <c r="T43" i="16"/>
  <c r="T44" i="16"/>
  <c r="T45" i="16"/>
  <c r="T46" i="16"/>
  <c r="T47" i="16"/>
  <c r="T48" i="16"/>
  <c r="T49" i="16"/>
  <c r="T50" i="16"/>
  <c r="T51" i="16"/>
  <c r="T52" i="16"/>
  <c r="T53" i="16"/>
  <c r="T54" i="16"/>
  <c r="T55" i="16"/>
  <c r="T56" i="16"/>
  <c r="T3" i="16"/>
  <c r="T4" i="16"/>
  <c r="T5" i="16"/>
  <c r="T6" i="16"/>
  <c r="T7" i="16"/>
  <c r="T8" i="16"/>
  <c r="T9" i="16"/>
  <c r="T10" i="16"/>
  <c r="T11" i="16"/>
  <c r="T12" i="16"/>
  <c r="T13" i="16"/>
  <c r="T14" i="16"/>
  <c r="T15" i="16"/>
  <c r="T16" i="16"/>
  <c r="T17" i="16"/>
  <c r="T18" i="16"/>
  <c r="T19" i="16"/>
  <c r="T20" i="16"/>
  <c r="T21" i="16"/>
  <c r="T22" i="16"/>
  <c r="T23" i="16"/>
  <c r="T24" i="16"/>
  <c r="T25" i="16"/>
  <c r="T26" i="16"/>
  <c r="T27" i="16"/>
  <c r="T2" i="16"/>
  <c r="B59" i="16"/>
  <c r="U3" i="3"/>
  <c r="V3" i="43" s="1"/>
  <c r="U4" i="3"/>
  <c r="V4" i="43" s="1"/>
  <c r="U5" i="3"/>
  <c r="U6" i="3"/>
  <c r="V6" i="43" s="1"/>
  <c r="U7" i="3"/>
  <c r="U8" i="3"/>
  <c r="U9" i="3"/>
  <c r="U10" i="3"/>
  <c r="U11" i="3"/>
  <c r="U12" i="3"/>
  <c r="U13" i="3"/>
  <c r="V13" i="43" s="1"/>
  <c r="U14" i="3"/>
  <c r="U15" i="3"/>
  <c r="U16" i="3"/>
  <c r="U17" i="3"/>
  <c r="U18" i="3"/>
  <c r="V18" i="43" s="1"/>
  <c r="U19" i="3"/>
  <c r="V19" i="43" s="1"/>
  <c r="U20" i="3"/>
  <c r="V20" i="43" s="1"/>
  <c r="U21" i="3"/>
  <c r="U22" i="3"/>
  <c r="V22" i="43" s="1"/>
  <c r="U23" i="3"/>
  <c r="V23" i="43" s="1"/>
  <c r="U24" i="3"/>
  <c r="V24" i="43" s="1"/>
  <c r="U25" i="3"/>
  <c r="U26" i="3"/>
  <c r="U27" i="3"/>
  <c r="U28" i="3"/>
  <c r="U29" i="3"/>
  <c r="U30" i="3"/>
  <c r="V30" i="43" s="1"/>
  <c r="U31" i="3"/>
  <c r="U32" i="3"/>
  <c r="U33" i="3"/>
  <c r="V33" i="43" s="1"/>
  <c r="U34" i="3"/>
  <c r="V34" i="43" s="1"/>
  <c r="U35" i="3"/>
  <c r="U36" i="3"/>
  <c r="U37" i="3"/>
  <c r="V37" i="43" s="1"/>
  <c r="U38" i="3"/>
  <c r="U39" i="3"/>
  <c r="V39" i="43" s="1"/>
  <c r="U40" i="3"/>
  <c r="V40" i="43" s="1"/>
  <c r="U41" i="3"/>
  <c r="V41" i="43" s="1"/>
  <c r="U42" i="3"/>
  <c r="V42" i="43" s="1"/>
  <c r="U43" i="3"/>
  <c r="V43" i="43" s="1"/>
  <c r="U44" i="3"/>
  <c r="V44" i="43" s="1"/>
  <c r="U45" i="3"/>
  <c r="U46" i="3"/>
  <c r="U47" i="3"/>
  <c r="U48" i="3"/>
  <c r="U49" i="3"/>
  <c r="U50" i="3"/>
  <c r="U51" i="3"/>
  <c r="U52" i="3"/>
  <c r="U53" i="3"/>
  <c r="V53" i="43" s="1"/>
  <c r="U54" i="3"/>
  <c r="V54" i="43" s="1"/>
  <c r="U55" i="3"/>
  <c r="U5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U2" i="3"/>
  <c r="T2" i="3"/>
  <c r="J101" i="13"/>
  <c r="C16" i="37"/>
  <c r="B16" i="37"/>
  <c r="E15" i="37"/>
  <c r="E14" i="37"/>
  <c r="E13" i="37"/>
  <c r="E12" i="37"/>
  <c r="E11" i="37"/>
  <c r="E10" i="37"/>
  <c r="E9" i="37"/>
  <c r="E8" i="37"/>
  <c r="E7" i="37"/>
  <c r="E6" i="37"/>
  <c r="E5" i="37"/>
  <c r="E4" i="37"/>
  <c r="D4" i="37"/>
  <c r="H9" i="19"/>
  <c r="H10" i="19"/>
  <c r="H11" i="19"/>
  <c r="H12" i="19"/>
  <c r="H13" i="19"/>
  <c r="J156" i="13"/>
  <c r="J84" i="13"/>
  <c r="J184" i="13"/>
  <c r="J141" i="13"/>
  <c r="J124" i="13"/>
  <c r="E14" i="23"/>
  <c r="H3" i="23"/>
  <c r="J3" i="23" s="1"/>
  <c r="H4" i="23"/>
  <c r="J4" i="23" s="1"/>
  <c r="H5" i="23"/>
  <c r="J5" i="23" s="1"/>
  <c r="H6" i="23"/>
  <c r="J6" i="23" s="1"/>
  <c r="H7" i="23"/>
  <c r="J7" i="23" s="1"/>
  <c r="H2" i="23"/>
  <c r="J2" i="23" s="1"/>
  <c r="K7" i="28"/>
  <c r="J7" i="28"/>
  <c r="H3" i="29"/>
  <c r="H4" i="29"/>
  <c r="H5" i="29"/>
  <c r="H6" i="29"/>
  <c r="H7" i="29"/>
  <c r="H8" i="29"/>
  <c r="H9" i="29"/>
  <c r="H10" i="29"/>
  <c r="H11" i="29"/>
  <c r="H12" i="29"/>
  <c r="H13" i="29"/>
  <c r="H2" i="29"/>
  <c r="H7" i="19"/>
  <c r="H6" i="19"/>
  <c r="H5" i="19"/>
  <c r="H4" i="19"/>
  <c r="H3" i="19"/>
  <c r="C58" i="3"/>
  <c r="B58" i="3"/>
  <c r="R56" i="3"/>
  <c r="S56" i="43" s="1"/>
  <c r="Q56" i="3"/>
  <c r="P56" i="43"/>
  <c r="J56" i="43"/>
  <c r="R55" i="3"/>
  <c r="S55" i="43" s="1"/>
  <c r="Q55" i="3"/>
  <c r="P55" i="43"/>
  <c r="J55" i="43"/>
  <c r="R54" i="3"/>
  <c r="S54" i="43" s="1"/>
  <c r="Q54" i="3"/>
  <c r="P54" i="43"/>
  <c r="J54" i="43"/>
  <c r="R53" i="3"/>
  <c r="S53" i="43" s="1"/>
  <c r="Q53" i="3"/>
  <c r="P53" i="43"/>
  <c r="J53" i="43"/>
  <c r="R52" i="3"/>
  <c r="S52" i="43" s="1"/>
  <c r="Q52" i="3"/>
  <c r="P52" i="43"/>
  <c r="J52" i="43"/>
  <c r="R51" i="3"/>
  <c r="S51" i="43" s="1"/>
  <c r="Q51" i="3"/>
  <c r="P51" i="43"/>
  <c r="J51" i="43"/>
  <c r="R50" i="3"/>
  <c r="S50" i="43" s="1"/>
  <c r="Q50" i="3"/>
  <c r="P50" i="43"/>
  <c r="J50" i="43"/>
  <c r="R49" i="3"/>
  <c r="S49" i="43" s="1"/>
  <c r="Q49" i="3"/>
  <c r="P49" i="43"/>
  <c r="J49" i="43"/>
  <c r="R48" i="3"/>
  <c r="S48" i="43" s="1"/>
  <c r="Q48" i="3"/>
  <c r="P48" i="43"/>
  <c r="J48" i="43"/>
  <c r="R47" i="3"/>
  <c r="S47" i="43" s="1"/>
  <c r="Q47" i="3"/>
  <c r="P47" i="43"/>
  <c r="J47" i="43"/>
  <c r="R46" i="3"/>
  <c r="S46" i="43" s="1"/>
  <c r="Q46" i="3"/>
  <c r="P46" i="43"/>
  <c r="J46" i="43"/>
  <c r="R45" i="3"/>
  <c r="S45" i="43" s="1"/>
  <c r="Q45" i="3"/>
  <c r="P45" i="43"/>
  <c r="J45" i="43"/>
  <c r="R44" i="3"/>
  <c r="S44" i="43" s="1"/>
  <c r="Q44" i="3"/>
  <c r="P44" i="43"/>
  <c r="J44" i="43"/>
  <c r="R43" i="3"/>
  <c r="S43" i="43" s="1"/>
  <c r="Q43" i="3"/>
  <c r="P43" i="43"/>
  <c r="J43" i="43"/>
  <c r="R42" i="3"/>
  <c r="S42" i="43" s="1"/>
  <c r="Q42" i="3"/>
  <c r="P42" i="43"/>
  <c r="J42" i="43"/>
  <c r="R41" i="3"/>
  <c r="S41" i="43" s="1"/>
  <c r="Q41" i="3"/>
  <c r="P41" i="43"/>
  <c r="J41" i="43"/>
  <c r="R40" i="3"/>
  <c r="S40" i="43" s="1"/>
  <c r="Q40" i="3"/>
  <c r="P40" i="43"/>
  <c r="J40" i="43"/>
  <c r="R39" i="3"/>
  <c r="S39" i="43" s="1"/>
  <c r="Q39" i="3"/>
  <c r="P39" i="43"/>
  <c r="J39" i="43"/>
  <c r="R38" i="3"/>
  <c r="S38" i="43" s="1"/>
  <c r="Q38" i="3"/>
  <c r="P38" i="43"/>
  <c r="J38" i="43"/>
  <c r="R37" i="3"/>
  <c r="S37" i="43" s="1"/>
  <c r="Q37" i="3"/>
  <c r="P37" i="43"/>
  <c r="J37" i="43"/>
  <c r="R36" i="3"/>
  <c r="S36" i="43" s="1"/>
  <c r="Q36" i="3"/>
  <c r="P36" i="43"/>
  <c r="J36" i="43"/>
  <c r="R35" i="3"/>
  <c r="S35" i="43" s="1"/>
  <c r="Q35" i="3"/>
  <c r="P35" i="43"/>
  <c r="J35" i="43"/>
  <c r="R34" i="3"/>
  <c r="S34" i="43" s="1"/>
  <c r="Q34" i="3"/>
  <c r="P34" i="43"/>
  <c r="J34" i="43"/>
  <c r="R33" i="3"/>
  <c r="S33" i="43" s="1"/>
  <c r="Q33" i="3"/>
  <c r="P33" i="43"/>
  <c r="J33" i="43"/>
  <c r="R32" i="3"/>
  <c r="S32" i="43" s="1"/>
  <c r="Q32" i="3"/>
  <c r="P32" i="43"/>
  <c r="J32" i="43"/>
  <c r="R31" i="3"/>
  <c r="S31" i="43" s="1"/>
  <c r="Q31" i="3"/>
  <c r="P31" i="43"/>
  <c r="J31" i="43"/>
  <c r="R30" i="3"/>
  <c r="S30" i="43" s="1"/>
  <c r="Q30" i="3"/>
  <c r="P30" i="43"/>
  <c r="J30" i="43"/>
  <c r="R29" i="3"/>
  <c r="S29" i="43" s="1"/>
  <c r="Q29" i="3"/>
  <c r="P29" i="43"/>
  <c r="J29" i="43"/>
  <c r="R28" i="3"/>
  <c r="S28" i="43" s="1"/>
  <c r="Q28" i="3"/>
  <c r="P28" i="43"/>
  <c r="J28" i="43"/>
  <c r="R27" i="3"/>
  <c r="S27" i="43" s="1"/>
  <c r="Q27" i="3"/>
  <c r="P27" i="43"/>
  <c r="J27" i="43"/>
  <c r="R26" i="3"/>
  <c r="S26" i="43" s="1"/>
  <c r="Q26" i="3"/>
  <c r="P26" i="43"/>
  <c r="J26" i="43"/>
  <c r="R25" i="3"/>
  <c r="S25" i="43" s="1"/>
  <c r="Q25" i="3"/>
  <c r="P25" i="43"/>
  <c r="J25" i="43"/>
  <c r="R24" i="3"/>
  <c r="S24" i="43" s="1"/>
  <c r="Q24" i="3"/>
  <c r="P24" i="43"/>
  <c r="J24" i="43"/>
  <c r="R23" i="3"/>
  <c r="S23" i="43" s="1"/>
  <c r="Q23" i="3"/>
  <c r="P23" i="43"/>
  <c r="J23" i="43"/>
  <c r="R22" i="3"/>
  <c r="S22" i="43" s="1"/>
  <c r="Q22" i="3"/>
  <c r="P22" i="43"/>
  <c r="J22" i="43"/>
  <c r="R21" i="3"/>
  <c r="S21" i="43" s="1"/>
  <c r="Q21" i="3"/>
  <c r="P21" i="43"/>
  <c r="J21" i="43"/>
  <c r="R20" i="3"/>
  <c r="S20" i="43" s="1"/>
  <c r="Q20" i="3"/>
  <c r="P20" i="43"/>
  <c r="J20" i="43"/>
  <c r="R19" i="3"/>
  <c r="S19" i="43" s="1"/>
  <c r="Q19" i="3"/>
  <c r="P19" i="43"/>
  <c r="J19" i="43"/>
  <c r="R18" i="3"/>
  <c r="S18" i="43" s="1"/>
  <c r="Q18" i="3"/>
  <c r="P18" i="43"/>
  <c r="J18" i="43"/>
  <c r="R17" i="3"/>
  <c r="S17" i="43" s="1"/>
  <c r="Q17" i="3"/>
  <c r="P17" i="43"/>
  <c r="J17" i="43"/>
  <c r="R16" i="3"/>
  <c r="S16" i="43" s="1"/>
  <c r="Q16" i="3"/>
  <c r="P16" i="43"/>
  <c r="J16" i="43"/>
  <c r="R15" i="3"/>
  <c r="S15" i="43" s="1"/>
  <c r="Q15" i="3"/>
  <c r="P15" i="43"/>
  <c r="J15" i="43"/>
  <c r="R14" i="3"/>
  <c r="S14" i="43" s="1"/>
  <c r="Q14" i="3"/>
  <c r="P14" i="43"/>
  <c r="J14" i="43"/>
  <c r="R13" i="3"/>
  <c r="S13" i="43" s="1"/>
  <c r="Q13" i="3"/>
  <c r="P13" i="43"/>
  <c r="J13" i="43"/>
  <c r="R12" i="3"/>
  <c r="S12" i="43" s="1"/>
  <c r="Q12" i="3"/>
  <c r="P12" i="43"/>
  <c r="J12" i="43"/>
  <c r="R11" i="3"/>
  <c r="S11" i="43" s="1"/>
  <c r="Q11" i="3"/>
  <c r="P11" i="43"/>
  <c r="J11" i="43"/>
  <c r="R10" i="3"/>
  <c r="S10" i="43" s="1"/>
  <c r="Q10" i="3"/>
  <c r="P10" i="43"/>
  <c r="J10" i="43"/>
  <c r="R9" i="3"/>
  <c r="S9" i="43" s="1"/>
  <c r="Q9" i="3"/>
  <c r="P9" i="43"/>
  <c r="J9" i="43"/>
  <c r="R8" i="3"/>
  <c r="S8" i="43" s="1"/>
  <c r="Q8" i="3"/>
  <c r="P8" i="43"/>
  <c r="J8" i="43"/>
  <c r="R7" i="3"/>
  <c r="S7" i="43" s="1"/>
  <c r="Q7" i="3"/>
  <c r="P7" i="43"/>
  <c r="J7" i="43"/>
  <c r="R6" i="3"/>
  <c r="S6" i="43" s="1"/>
  <c r="Q6" i="3"/>
  <c r="P6" i="43"/>
  <c r="J6" i="43"/>
  <c r="R5" i="3"/>
  <c r="S5" i="43" s="1"/>
  <c r="Q5" i="3"/>
  <c r="P5" i="43"/>
  <c r="J5" i="43"/>
  <c r="R4" i="3"/>
  <c r="S4" i="43" s="1"/>
  <c r="Q4" i="3"/>
  <c r="P4" i="43"/>
  <c r="R3" i="3"/>
  <c r="S3" i="43" s="1"/>
  <c r="Q3" i="3"/>
  <c r="P3" i="43"/>
  <c r="J3" i="43"/>
  <c r="R2" i="3"/>
  <c r="Q2" i="3"/>
  <c r="J2" i="43"/>
  <c r="L2" i="5"/>
  <c r="M6" i="3" l="1"/>
  <c r="M11" i="3"/>
  <c r="M16" i="3"/>
  <c r="M21" i="3"/>
  <c r="M26" i="3"/>
  <c r="M31" i="3"/>
  <c r="M36" i="3"/>
  <c r="M41" i="3"/>
  <c r="M46" i="3"/>
  <c r="M51" i="3"/>
  <c r="J3" i="3"/>
  <c r="J8" i="3"/>
  <c r="J13" i="3"/>
  <c r="J18" i="3"/>
  <c r="J23" i="3"/>
  <c r="J28" i="3"/>
  <c r="J33" i="3"/>
  <c r="J38" i="3"/>
  <c r="J43" i="3"/>
  <c r="J48" i="3"/>
  <c r="J53" i="3"/>
  <c r="M4" i="3"/>
  <c r="M9" i="3"/>
  <c r="M14" i="3"/>
  <c r="M19" i="3"/>
  <c r="M24" i="3"/>
  <c r="M29" i="3"/>
  <c r="M34" i="3"/>
  <c r="M39" i="3"/>
  <c r="M44" i="3"/>
  <c r="M49" i="3"/>
  <c r="M54" i="3"/>
  <c r="M3" i="3"/>
  <c r="M8" i="3"/>
  <c r="M13" i="3"/>
  <c r="M18" i="3"/>
  <c r="M23" i="3"/>
  <c r="M28" i="3"/>
  <c r="M33" i="3"/>
  <c r="M38" i="3"/>
  <c r="M43" i="3"/>
  <c r="M48" i="3"/>
  <c r="M53" i="3"/>
  <c r="J4" i="3"/>
  <c r="J9" i="3"/>
  <c r="J14" i="3"/>
  <c r="J19" i="3"/>
  <c r="J24" i="3"/>
  <c r="J29" i="3"/>
  <c r="J34" i="3"/>
  <c r="J39" i="3"/>
  <c r="J44" i="3"/>
  <c r="J49" i="3"/>
  <c r="J54" i="3"/>
  <c r="J2" i="3"/>
  <c r="J7" i="3"/>
  <c r="J12" i="3"/>
  <c r="J17" i="3"/>
  <c r="J22" i="3"/>
  <c r="J27" i="3"/>
  <c r="J32" i="3"/>
  <c r="J37" i="3"/>
  <c r="J42" i="3"/>
  <c r="J47" i="3"/>
  <c r="J52" i="3"/>
  <c r="L57" i="43"/>
  <c r="M57" i="43" s="1"/>
  <c r="U17" i="16"/>
  <c r="V17" i="43"/>
  <c r="U56" i="16"/>
  <c r="V56" i="43"/>
  <c r="U36" i="16"/>
  <c r="V36" i="43"/>
  <c r="U16" i="16"/>
  <c r="V16" i="43"/>
  <c r="U32" i="16"/>
  <c r="V32" i="43"/>
  <c r="V2" i="43"/>
  <c r="U51" i="16"/>
  <c r="V51" i="43"/>
  <c r="U31" i="16"/>
  <c r="V31" i="43"/>
  <c r="U11" i="16"/>
  <c r="V11" i="43"/>
  <c r="AA57" i="43"/>
  <c r="AB57" i="43" s="1"/>
  <c r="U12" i="16"/>
  <c r="V12" i="43"/>
  <c r="U50" i="16"/>
  <c r="V50" i="43"/>
  <c r="U49" i="16"/>
  <c r="V49" i="43"/>
  <c r="U29" i="16"/>
  <c r="V29" i="43"/>
  <c r="U9" i="16"/>
  <c r="V9" i="43"/>
  <c r="U15" i="16"/>
  <c r="V15" i="43"/>
  <c r="U52" i="16"/>
  <c r="V52" i="43"/>
  <c r="U10" i="16"/>
  <c r="V10" i="43"/>
  <c r="M56" i="3"/>
  <c r="U48" i="16"/>
  <c r="V48" i="43"/>
  <c r="U28" i="16"/>
  <c r="V28" i="43"/>
  <c r="U8" i="16"/>
  <c r="V8" i="43"/>
  <c r="U38" i="16"/>
  <c r="V38" i="43"/>
  <c r="U47" i="16"/>
  <c r="V47" i="43"/>
  <c r="U27" i="16"/>
  <c r="V27" i="43"/>
  <c r="U7" i="16"/>
  <c r="V7" i="43"/>
  <c r="U14" i="16"/>
  <c r="V14" i="43"/>
  <c r="U46" i="16"/>
  <c r="V46" i="43"/>
  <c r="U25" i="16"/>
  <c r="V25" i="43"/>
  <c r="U55" i="16"/>
  <c r="V55" i="43"/>
  <c r="U26" i="16"/>
  <c r="V26" i="43"/>
  <c r="I57" i="43"/>
  <c r="J57" i="43" s="1"/>
  <c r="J4" i="43"/>
  <c r="U45" i="16"/>
  <c r="V45" i="43"/>
  <c r="U5" i="16"/>
  <c r="V5" i="43"/>
  <c r="X57" i="43"/>
  <c r="Y57" i="43" s="1"/>
  <c r="Y3" i="43"/>
  <c r="R57" i="43"/>
  <c r="S57" i="43" s="1"/>
  <c r="S2" i="43"/>
  <c r="U21" i="16"/>
  <c r="V21" i="43"/>
  <c r="O57" i="43"/>
  <c r="P57" i="43" s="1"/>
  <c r="P2" i="43"/>
  <c r="U35" i="16"/>
  <c r="V35" i="43"/>
  <c r="M2" i="3"/>
  <c r="M7" i="3"/>
  <c r="J5" i="3"/>
  <c r="J10" i="3"/>
  <c r="J15" i="3"/>
  <c r="J20" i="3"/>
  <c r="J25" i="3"/>
  <c r="J30" i="3"/>
  <c r="J35" i="3"/>
  <c r="J40" i="3"/>
  <c r="J45" i="3"/>
  <c r="J50" i="3"/>
  <c r="J55" i="3"/>
  <c r="M5" i="3"/>
  <c r="M10" i="3"/>
  <c r="M15" i="3"/>
  <c r="M20" i="3"/>
  <c r="M25" i="3"/>
  <c r="M30" i="3"/>
  <c r="M35" i="3"/>
  <c r="M40" i="3"/>
  <c r="M45" i="3"/>
  <c r="M50" i="3"/>
  <c r="M55" i="3"/>
  <c r="J6" i="3"/>
  <c r="J11" i="3"/>
  <c r="J16" i="3"/>
  <c r="J21" i="3"/>
  <c r="J26" i="3"/>
  <c r="J31" i="3"/>
  <c r="J36" i="3"/>
  <c r="J41" i="3"/>
  <c r="J46" i="3"/>
  <c r="J51" i="3"/>
  <c r="J56" i="3"/>
  <c r="M12" i="3"/>
  <c r="M17" i="3"/>
  <c r="M22" i="3"/>
  <c r="M27" i="3"/>
  <c r="M32" i="3"/>
  <c r="M37" i="3"/>
  <c r="M42" i="3"/>
  <c r="M47" i="3"/>
  <c r="M52" i="3"/>
  <c r="H14" i="23"/>
  <c r="J14" i="23" s="1"/>
  <c r="L7" i="28"/>
  <c r="U2" i="16"/>
  <c r="U19" i="16"/>
  <c r="U54" i="16"/>
  <c r="U18" i="16"/>
  <c r="U53" i="16"/>
  <c r="U44" i="16"/>
  <c r="U42" i="16"/>
  <c r="U41" i="16"/>
  <c r="U13" i="16"/>
  <c r="U40" i="16"/>
  <c r="U39" i="16"/>
  <c r="U4" i="16"/>
  <c r="U37" i="16"/>
  <c r="H8" i="20"/>
  <c r="U34" i="16"/>
  <c r="U33" i="16"/>
  <c r="U24" i="16"/>
  <c r="U22" i="16"/>
  <c r="U20" i="16"/>
  <c r="E14" i="40"/>
  <c r="H14" i="40" s="1"/>
  <c r="U43" i="16"/>
  <c r="U23" i="16"/>
  <c r="U3" i="16"/>
  <c r="U30" i="16"/>
  <c r="U6" i="16"/>
  <c r="E16" i="37"/>
  <c r="H7" i="20"/>
  <c r="E14" i="25"/>
  <c r="F14" i="25"/>
  <c r="H6" i="20"/>
  <c r="E14" i="20"/>
  <c r="F14" i="20"/>
  <c r="H8" i="18"/>
  <c r="H9" i="18"/>
  <c r="H10" i="18"/>
  <c r="H11" i="18"/>
  <c r="H12" i="18"/>
  <c r="H13" i="18"/>
  <c r="H7" i="24"/>
  <c r="R3" i="16"/>
  <c r="R5" i="16"/>
  <c r="R6" i="16"/>
  <c r="R18" i="16"/>
  <c r="R20" i="16"/>
  <c r="R23" i="16"/>
  <c r="R25" i="16"/>
  <c r="R26" i="16"/>
  <c r="R38" i="16"/>
  <c r="R40" i="16"/>
  <c r="R43" i="16"/>
  <c r="R45" i="16"/>
  <c r="R46" i="16"/>
  <c r="O3" i="16"/>
  <c r="O4" i="16"/>
  <c r="O5" i="16"/>
  <c r="O6" i="16"/>
  <c r="O7" i="16"/>
  <c r="O8" i="16"/>
  <c r="O9" i="16"/>
  <c r="O10" i="16"/>
  <c r="O22" i="16"/>
  <c r="O23" i="16"/>
  <c r="O24" i="16"/>
  <c r="O25" i="16"/>
  <c r="O26" i="16"/>
  <c r="O27" i="16"/>
  <c r="O28" i="16"/>
  <c r="O29" i="16"/>
  <c r="O30" i="16"/>
  <c r="O42" i="16"/>
  <c r="O43" i="16"/>
  <c r="O44" i="16"/>
  <c r="O45" i="16"/>
  <c r="O46" i="16"/>
  <c r="O47" i="16"/>
  <c r="O48" i="16"/>
  <c r="O49" i="16"/>
  <c r="O50" i="16"/>
  <c r="O2" i="16"/>
  <c r="R4" i="16"/>
  <c r="R7" i="16"/>
  <c r="R13" i="16"/>
  <c r="R16" i="16"/>
  <c r="R17" i="16"/>
  <c r="R19" i="16"/>
  <c r="R24" i="16"/>
  <c r="R27" i="16"/>
  <c r="R31" i="16"/>
  <c r="R35" i="16"/>
  <c r="R39" i="16"/>
  <c r="R44" i="16"/>
  <c r="R47" i="16"/>
  <c r="R56" i="16"/>
  <c r="O55" i="16"/>
  <c r="O52" i="16"/>
  <c r="O51" i="16"/>
  <c r="O35" i="16"/>
  <c r="O32" i="16"/>
  <c r="O31" i="16"/>
  <c r="O15" i="16"/>
  <c r="O12" i="16"/>
  <c r="O11" i="16"/>
  <c r="J100" i="13"/>
  <c r="J183" i="13"/>
  <c r="J170" i="13"/>
  <c r="J155" i="13"/>
  <c r="J140" i="13"/>
  <c r="J123" i="13"/>
  <c r="J83" i="13"/>
  <c r="J51" i="13"/>
  <c r="J99" i="13"/>
  <c r="C4" i="16"/>
  <c r="C5" i="16"/>
  <c r="C6" i="16"/>
  <c r="C7" i="16"/>
  <c r="C9" i="16"/>
  <c r="C10" i="16"/>
  <c r="C11" i="16"/>
  <c r="C18" i="16"/>
  <c r="C19" i="16"/>
  <c r="C20" i="16"/>
  <c r="C25" i="16"/>
  <c r="C27" i="16"/>
  <c r="C30" i="16"/>
  <c r="C38" i="16"/>
  <c r="C40" i="16"/>
  <c r="C44" i="16"/>
  <c r="C45" i="16"/>
  <c r="C46" i="16"/>
  <c r="C50" i="16"/>
  <c r="C51" i="16"/>
  <c r="F3" i="16"/>
  <c r="G3" i="16" s="1"/>
  <c r="H2" i="20"/>
  <c r="H6" i="24"/>
  <c r="H7" i="25"/>
  <c r="H8" i="25"/>
  <c r="H9" i="25"/>
  <c r="H10" i="25"/>
  <c r="H11" i="25"/>
  <c r="H12" i="25"/>
  <c r="H13" i="25"/>
  <c r="I9" i="16"/>
  <c r="J9" i="16" s="1"/>
  <c r="I10" i="16"/>
  <c r="J10" i="16" s="1"/>
  <c r="I11" i="16"/>
  <c r="J11" i="16" s="1"/>
  <c r="I12" i="16"/>
  <c r="J12" i="16" s="1"/>
  <c r="I13" i="16"/>
  <c r="J13" i="16" s="1"/>
  <c r="I14" i="16"/>
  <c r="J14" i="16" s="1"/>
  <c r="I15" i="16"/>
  <c r="J15" i="16" s="1"/>
  <c r="I17" i="16"/>
  <c r="J17" i="16" s="1"/>
  <c r="I20" i="16"/>
  <c r="J20" i="16" s="1"/>
  <c r="I23" i="16"/>
  <c r="J23" i="16" s="1"/>
  <c r="I24" i="16"/>
  <c r="J24" i="16" s="1"/>
  <c r="I26" i="16"/>
  <c r="J26" i="16" s="1"/>
  <c r="I29" i="16"/>
  <c r="J29" i="16" s="1"/>
  <c r="I30" i="16"/>
  <c r="J30" i="16" s="1"/>
  <c r="I31" i="16"/>
  <c r="J31" i="16" s="1"/>
  <c r="I32" i="16"/>
  <c r="J32" i="16" s="1"/>
  <c r="I33" i="16"/>
  <c r="J33" i="16" s="1"/>
  <c r="I37" i="16"/>
  <c r="J37" i="16" s="1"/>
  <c r="I46" i="16"/>
  <c r="J46" i="16" s="1"/>
  <c r="I49" i="16"/>
  <c r="J49" i="16" s="1"/>
  <c r="I50" i="16"/>
  <c r="J50" i="16" s="1"/>
  <c r="I51" i="16"/>
  <c r="J51" i="16" s="1"/>
  <c r="I52" i="16"/>
  <c r="J52" i="16" s="1"/>
  <c r="I53" i="16"/>
  <c r="J53" i="16" s="1"/>
  <c r="I54" i="16"/>
  <c r="J54" i="16" s="1"/>
  <c r="I55" i="16"/>
  <c r="J55" i="16" s="1"/>
  <c r="F4" i="16"/>
  <c r="G4" i="16" s="1"/>
  <c r="F5" i="16"/>
  <c r="G5" i="16" s="1"/>
  <c r="F10" i="16"/>
  <c r="G10" i="16" s="1"/>
  <c r="F11" i="16"/>
  <c r="G11" i="16" s="1"/>
  <c r="F14" i="16"/>
  <c r="G14" i="16" s="1"/>
  <c r="F16" i="16"/>
  <c r="G16" i="16" s="1"/>
  <c r="F19" i="16"/>
  <c r="G19" i="16" s="1"/>
  <c r="F20" i="16"/>
  <c r="G20" i="16" s="1"/>
  <c r="F22" i="16"/>
  <c r="G22" i="16" s="1"/>
  <c r="F23" i="16"/>
  <c r="G23" i="16" s="1"/>
  <c r="F24" i="16"/>
  <c r="G24" i="16" s="1"/>
  <c r="F25" i="16"/>
  <c r="G25" i="16" s="1"/>
  <c r="F26" i="16"/>
  <c r="G26" i="16" s="1"/>
  <c r="F30" i="16"/>
  <c r="G30" i="16" s="1"/>
  <c r="F31" i="16"/>
  <c r="G31" i="16" s="1"/>
  <c r="F34" i="16"/>
  <c r="G34" i="16" s="1"/>
  <c r="F36" i="16"/>
  <c r="G36" i="16" s="1"/>
  <c r="F39" i="16"/>
  <c r="G39" i="16" s="1"/>
  <c r="F40" i="16"/>
  <c r="G40" i="16" s="1"/>
  <c r="F41" i="16"/>
  <c r="G41" i="16" s="1"/>
  <c r="F42" i="16"/>
  <c r="G42" i="16" s="1"/>
  <c r="F43" i="16"/>
  <c r="G43" i="16" s="1"/>
  <c r="F44" i="16"/>
  <c r="G44" i="16" s="1"/>
  <c r="F45" i="16"/>
  <c r="G45" i="16" s="1"/>
  <c r="F46" i="16"/>
  <c r="G46" i="16" s="1"/>
  <c r="F47" i="16"/>
  <c r="G47" i="16" s="1"/>
  <c r="F48" i="16"/>
  <c r="G48" i="16" s="1"/>
  <c r="F49" i="16"/>
  <c r="G49" i="16" s="1"/>
  <c r="F50" i="16"/>
  <c r="G50" i="16" s="1"/>
  <c r="F51" i="16"/>
  <c r="G51" i="16" s="1"/>
  <c r="F54" i="16"/>
  <c r="G54" i="16" s="1"/>
  <c r="C23" i="16"/>
  <c r="C24" i="16"/>
  <c r="C59" i="3"/>
  <c r="B59" i="3"/>
  <c r="H5" i="25"/>
  <c r="H4" i="20"/>
  <c r="H3" i="20"/>
  <c r="H8" i="24"/>
  <c r="H9" i="24"/>
  <c r="H10" i="24"/>
  <c r="H11" i="24"/>
  <c r="H12" i="24"/>
  <c r="H13" i="24"/>
  <c r="H4" i="24"/>
  <c r="H5" i="24"/>
  <c r="H3" i="24"/>
  <c r="F14" i="29"/>
  <c r="E14" i="29"/>
  <c r="G2" i="29"/>
  <c r="AM23" i="16" l="1"/>
  <c r="AN23" i="16" s="1"/>
  <c r="AM46" i="16"/>
  <c r="AM24" i="16"/>
  <c r="AN24" i="16" s="1"/>
  <c r="AN46" i="16"/>
  <c r="U57" i="43"/>
  <c r="V57" i="43" s="1"/>
  <c r="D30" i="16"/>
  <c r="D19" i="16"/>
  <c r="D40" i="16"/>
  <c r="D27" i="16"/>
  <c r="D20" i="16"/>
  <c r="D4" i="16"/>
  <c r="D18" i="16"/>
  <c r="D11" i="16"/>
  <c r="D9" i="16"/>
  <c r="D6" i="16"/>
  <c r="D50" i="16"/>
  <c r="D51" i="16"/>
  <c r="D46" i="16"/>
  <c r="D38" i="16"/>
  <c r="D10" i="16"/>
  <c r="D7" i="16"/>
  <c r="D24" i="16"/>
  <c r="D23" i="16"/>
  <c r="D45" i="16"/>
  <c r="D25" i="16"/>
  <c r="D5" i="16"/>
  <c r="D44" i="16"/>
  <c r="H14" i="29"/>
  <c r="H7" i="18"/>
  <c r="H14" i="20"/>
  <c r="R55" i="16"/>
  <c r="R34" i="16"/>
  <c r="R33" i="16"/>
  <c r="R52" i="16"/>
  <c r="R12" i="16"/>
  <c r="R11" i="16"/>
  <c r="AM11" i="16" s="1"/>
  <c r="AN11" i="16" s="1"/>
  <c r="R30" i="16"/>
  <c r="AM30" i="16" s="1"/>
  <c r="AN30" i="16" s="1"/>
  <c r="R37" i="16"/>
  <c r="R54" i="16"/>
  <c r="R14" i="16"/>
  <c r="R32" i="16"/>
  <c r="R51" i="16"/>
  <c r="AM51" i="16" s="1"/>
  <c r="AN51" i="16" s="1"/>
  <c r="R50" i="16"/>
  <c r="AM50" i="16" s="1"/>
  <c r="AN50" i="16" s="1"/>
  <c r="R10" i="16"/>
  <c r="AM10" i="16" s="1"/>
  <c r="AN10" i="16" s="1"/>
  <c r="R49" i="16"/>
  <c r="O40" i="16"/>
  <c r="O20" i="16"/>
  <c r="R48" i="16"/>
  <c r="R28" i="16"/>
  <c r="R8" i="16"/>
  <c r="R15" i="16"/>
  <c r="R53" i="16"/>
  <c r="O41" i="16"/>
  <c r="O21" i="16"/>
  <c r="R29" i="16"/>
  <c r="R9" i="16"/>
  <c r="O39" i="16"/>
  <c r="O19" i="16"/>
  <c r="O38" i="16"/>
  <c r="O18" i="16"/>
  <c r="O37" i="16"/>
  <c r="O17" i="16"/>
  <c r="R36" i="16"/>
  <c r="O56" i="16"/>
  <c r="O36" i="16"/>
  <c r="O16" i="16"/>
  <c r="R2" i="16"/>
  <c r="O54" i="16"/>
  <c r="O34" i="16"/>
  <c r="O14" i="16"/>
  <c r="R42" i="16"/>
  <c r="R22" i="16"/>
  <c r="O53" i="16"/>
  <c r="O33" i="16"/>
  <c r="O13" i="16"/>
  <c r="R41" i="16"/>
  <c r="R21" i="16"/>
  <c r="H6" i="18"/>
  <c r="H5" i="20"/>
  <c r="G6" i="17"/>
  <c r="H6" i="25"/>
  <c r="G51" i="17"/>
  <c r="H3" i="25"/>
  <c r="J39" i="17"/>
  <c r="J19" i="17"/>
  <c r="J41" i="17"/>
  <c r="J21" i="17"/>
  <c r="J42" i="17"/>
  <c r="J22" i="17"/>
  <c r="J2" i="17"/>
  <c r="G22" i="17"/>
  <c r="J48" i="17"/>
  <c r="J8" i="17"/>
  <c r="J47" i="17"/>
  <c r="J27" i="17"/>
  <c r="J7" i="17"/>
  <c r="G32" i="17"/>
  <c r="H4" i="25"/>
  <c r="G12" i="17"/>
  <c r="J16" i="17"/>
  <c r="G52" i="17"/>
  <c r="H4" i="18"/>
  <c r="G41" i="17"/>
  <c r="G21" i="17"/>
  <c r="C41" i="16"/>
  <c r="I27" i="16"/>
  <c r="G39" i="17"/>
  <c r="C26" i="16"/>
  <c r="AM26" i="16" s="1"/>
  <c r="G37" i="17"/>
  <c r="G17" i="17"/>
  <c r="H3" i="18"/>
  <c r="J5" i="17"/>
  <c r="J25" i="17"/>
  <c r="J44" i="17"/>
  <c r="J24" i="17"/>
  <c r="J4" i="17"/>
  <c r="J45" i="17"/>
  <c r="J43" i="17"/>
  <c r="J23" i="17"/>
  <c r="J3" i="17"/>
  <c r="G19" i="17"/>
  <c r="G38" i="17"/>
  <c r="G18" i="17"/>
  <c r="J28" i="17"/>
  <c r="G53" i="17"/>
  <c r="G33" i="17"/>
  <c r="G13" i="17"/>
  <c r="G2" i="17"/>
  <c r="G15" i="17"/>
  <c r="J38" i="17"/>
  <c r="J18" i="17"/>
  <c r="G35" i="17"/>
  <c r="G29" i="17"/>
  <c r="G9" i="17"/>
  <c r="G55" i="17"/>
  <c r="J34" i="17"/>
  <c r="G56" i="17"/>
  <c r="G36" i="17"/>
  <c r="G16" i="17"/>
  <c r="J46" i="17"/>
  <c r="J26" i="17"/>
  <c r="J6" i="17"/>
  <c r="C34" i="16"/>
  <c r="I25" i="16"/>
  <c r="J25" i="16" s="1"/>
  <c r="F35" i="16"/>
  <c r="G35" i="16" s="1"/>
  <c r="F21" i="16"/>
  <c r="G21" i="16" s="1"/>
  <c r="G50" i="17"/>
  <c r="J40" i="17"/>
  <c r="J20" i="17"/>
  <c r="C14" i="16"/>
  <c r="I8" i="16"/>
  <c r="J8" i="16" s="1"/>
  <c r="G42" i="17"/>
  <c r="F38" i="16"/>
  <c r="G38" i="16" s="1"/>
  <c r="I7" i="16"/>
  <c r="J7" i="16" s="1"/>
  <c r="G28" i="17"/>
  <c r="G8" i="17"/>
  <c r="C3" i="16"/>
  <c r="F18" i="16"/>
  <c r="G18" i="16" s="1"/>
  <c r="I48" i="16"/>
  <c r="J48" i="16" s="1"/>
  <c r="I6" i="16"/>
  <c r="J6" i="16" s="1"/>
  <c r="G31" i="17"/>
  <c r="G27" i="17"/>
  <c r="G7" i="17"/>
  <c r="F17" i="16"/>
  <c r="G17" i="16" s="1"/>
  <c r="I47" i="16"/>
  <c r="J47" i="16" s="1"/>
  <c r="I5" i="16"/>
  <c r="J5" i="16" s="1"/>
  <c r="G30" i="17"/>
  <c r="C22" i="16"/>
  <c r="J35" i="17"/>
  <c r="F15" i="16"/>
  <c r="G15" i="16" s="1"/>
  <c r="I45" i="16"/>
  <c r="J45" i="16" s="1"/>
  <c r="I3" i="16"/>
  <c r="J3" i="16" s="1"/>
  <c r="I44" i="16"/>
  <c r="J44" i="16" s="1"/>
  <c r="G54" i="17"/>
  <c r="G34" i="17"/>
  <c r="G14" i="17"/>
  <c r="G11" i="17"/>
  <c r="C21" i="16"/>
  <c r="I4" i="16"/>
  <c r="J4" i="16" s="1"/>
  <c r="F2" i="16"/>
  <c r="G2" i="16" s="1"/>
  <c r="I43" i="16"/>
  <c r="J43" i="16" s="1"/>
  <c r="G10" i="17"/>
  <c r="F37" i="16"/>
  <c r="G37" i="16" s="1"/>
  <c r="J52" i="17"/>
  <c r="J32" i="17"/>
  <c r="J12" i="17"/>
  <c r="C54" i="16"/>
  <c r="I2" i="16"/>
  <c r="J2" i="16" s="1"/>
  <c r="I40" i="16"/>
  <c r="J40" i="16" s="1"/>
  <c r="C43" i="16"/>
  <c r="F56" i="16"/>
  <c r="G56" i="16" s="1"/>
  <c r="J49" i="17"/>
  <c r="J29" i="17"/>
  <c r="J9" i="17"/>
  <c r="C42" i="16"/>
  <c r="F55" i="16"/>
  <c r="G55" i="16" s="1"/>
  <c r="I28" i="16"/>
  <c r="J28" i="16" s="1"/>
  <c r="C39" i="16"/>
  <c r="J55" i="17"/>
  <c r="C37" i="16"/>
  <c r="G25" i="17"/>
  <c r="J53" i="17"/>
  <c r="J13" i="17"/>
  <c r="C56" i="16"/>
  <c r="C36" i="16"/>
  <c r="C16" i="16"/>
  <c r="I42" i="16"/>
  <c r="J42" i="16" s="1"/>
  <c r="I22" i="16"/>
  <c r="J22" i="16" s="1"/>
  <c r="G44" i="17"/>
  <c r="G24" i="17"/>
  <c r="G4" i="17"/>
  <c r="C17" i="16"/>
  <c r="G45" i="17"/>
  <c r="G5" i="17"/>
  <c r="J33" i="17"/>
  <c r="C55" i="16"/>
  <c r="C35" i="16"/>
  <c r="C15" i="16"/>
  <c r="F53" i="16"/>
  <c r="G53" i="16" s="1"/>
  <c r="F33" i="16"/>
  <c r="G33" i="16" s="1"/>
  <c r="F13" i="16"/>
  <c r="G13" i="16" s="1"/>
  <c r="I41" i="16"/>
  <c r="J41" i="16" s="1"/>
  <c r="I21" i="16"/>
  <c r="J21" i="16" s="1"/>
  <c r="G43" i="17"/>
  <c r="G23" i="17"/>
  <c r="G3" i="17"/>
  <c r="J51" i="17"/>
  <c r="J31" i="17"/>
  <c r="J11" i="17"/>
  <c r="G49" i="17"/>
  <c r="J37" i="17"/>
  <c r="G48" i="17"/>
  <c r="J56" i="17"/>
  <c r="J54" i="17"/>
  <c r="F32" i="16"/>
  <c r="G32" i="16" s="1"/>
  <c r="J30" i="17"/>
  <c r="J10" i="17"/>
  <c r="C53" i="16"/>
  <c r="C33" i="16"/>
  <c r="C13" i="16"/>
  <c r="I39" i="16"/>
  <c r="J39" i="16" s="1"/>
  <c r="I19" i="16"/>
  <c r="J36" i="17"/>
  <c r="J15" i="17"/>
  <c r="G46" i="17"/>
  <c r="F52" i="16"/>
  <c r="G52" i="16" s="1"/>
  <c r="F12" i="16"/>
  <c r="G12" i="16" s="1"/>
  <c r="J50" i="17"/>
  <c r="C52" i="16"/>
  <c r="C32" i="16"/>
  <c r="C12" i="16"/>
  <c r="AM12" i="16" s="1"/>
  <c r="I38" i="16"/>
  <c r="J38" i="16" s="1"/>
  <c r="I18" i="16"/>
  <c r="J18" i="16" s="1"/>
  <c r="G40" i="17"/>
  <c r="G20" i="17"/>
  <c r="G47" i="17"/>
  <c r="C31" i="16"/>
  <c r="AM31" i="16" s="1"/>
  <c r="F9" i="16"/>
  <c r="F28" i="16"/>
  <c r="G28" i="16" s="1"/>
  <c r="F8" i="16"/>
  <c r="G8" i="16" s="1"/>
  <c r="I56" i="16"/>
  <c r="J56" i="16" s="1"/>
  <c r="I36" i="16"/>
  <c r="J36" i="16" s="1"/>
  <c r="I16" i="16"/>
  <c r="J16" i="16" s="1"/>
  <c r="J17" i="17"/>
  <c r="G26" i="17"/>
  <c r="F29" i="16"/>
  <c r="G29" i="16" s="1"/>
  <c r="C49" i="16"/>
  <c r="C29" i="16"/>
  <c r="F27" i="16"/>
  <c r="G27" i="16" s="1"/>
  <c r="F7" i="16"/>
  <c r="G7" i="16" s="1"/>
  <c r="I35" i="16"/>
  <c r="J35" i="16" s="1"/>
  <c r="J14" i="17"/>
  <c r="C48" i="16"/>
  <c r="C28" i="16"/>
  <c r="C8" i="16"/>
  <c r="F6" i="16"/>
  <c r="G6" i="16" s="1"/>
  <c r="I34" i="16"/>
  <c r="J34" i="16" s="1"/>
  <c r="C47" i="16"/>
  <c r="AM14" i="16" l="1"/>
  <c r="AM32" i="16"/>
  <c r="AM49" i="16"/>
  <c r="AM43" i="16"/>
  <c r="AM16" i="16"/>
  <c r="AM17" i="16"/>
  <c r="AM36" i="16"/>
  <c r="AM29" i="16"/>
  <c r="AM48" i="16"/>
  <c r="AM28" i="16"/>
  <c r="J27" i="16"/>
  <c r="AM27" i="16"/>
  <c r="J19" i="16"/>
  <c r="AM19" i="16"/>
  <c r="G9" i="16"/>
  <c r="AM9" i="16"/>
  <c r="AM52" i="16"/>
  <c r="AM34" i="16"/>
  <c r="AN34" i="16" s="1"/>
  <c r="AM33" i="16"/>
  <c r="AM25" i="16"/>
  <c r="AM7" i="16"/>
  <c r="AN7" i="16" s="1"/>
  <c r="AM39" i="16"/>
  <c r="AM21" i="16"/>
  <c r="AN21" i="16" s="1"/>
  <c r="AM18" i="16"/>
  <c r="AM44" i="16"/>
  <c r="AM5" i="16"/>
  <c r="AM13" i="16"/>
  <c r="AN13" i="16" s="1"/>
  <c r="AM37" i="16"/>
  <c r="AN37" i="16" s="1"/>
  <c r="AM47" i="16"/>
  <c r="AN47" i="16" s="1"/>
  <c r="AM35" i="16"/>
  <c r="AN35" i="16" s="1"/>
  <c r="AM3" i="16"/>
  <c r="AN3" i="16" s="1"/>
  <c r="AM38" i="16"/>
  <c r="AN38" i="16" s="1"/>
  <c r="AM40" i="16"/>
  <c r="AN40" i="16" s="1"/>
  <c r="AM22" i="16"/>
  <c r="AN22" i="16" s="1"/>
  <c r="AM54" i="16"/>
  <c r="AM41" i="16"/>
  <c r="AM56" i="16"/>
  <c r="AN56" i="16" s="1"/>
  <c r="AM15" i="16"/>
  <c r="AN15" i="16" s="1"/>
  <c r="AM55" i="16"/>
  <c r="AN55" i="16" s="1"/>
  <c r="AM6" i="16"/>
  <c r="AM20" i="16"/>
  <c r="AN20" i="16" s="1"/>
  <c r="AM45" i="16"/>
  <c r="AN45" i="16" s="1"/>
  <c r="AM53" i="16"/>
  <c r="AM8" i="16"/>
  <c r="AN8" i="16" s="1"/>
  <c r="AM42" i="16"/>
  <c r="AN42" i="16" s="1"/>
  <c r="AM4" i="16"/>
  <c r="AN4" i="16" s="1"/>
  <c r="AN5" i="16"/>
  <c r="AN6" i="16"/>
  <c r="AN44" i="16"/>
  <c r="AN14" i="16"/>
  <c r="AN32" i="16"/>
  <c r="AN43" i="16"/>
  <c r="AN29" i="16"/>
  <c r="AN27" i="16"/>
  <c r="AN25" i="16"/>
  <c r="AN19" i="16"/>
  <c r="AN28" i="16"/>
  <c r="AN48" i="16"/>
  <c r="AN17" i="16"/>
  <c r="AN31" i="17"/>
  <c r="AN56" i="17"/>
  <c r="AN10" i="17"/>
  <c r="AN48" i="17"/>
  <c r="AN37" i="17"/>
  <c r="D15" i="16"/>
  <c r="D43" i="16"/>
  <c r="AN52" i="17"/>
  <c r="AN29" i="17"/>
  <c r="AN8" i="17"/>
  <c r="AN49" i="17"/>
  <c r="D3" i="16"/>
  <c r="D36" i="16"/>
  <c r="D55" i="16"/>
  <c r="AN55" i="17"/>
  <c r="AN28" i="17"/>
  <c r="AN12" i="17"/>
  <c r="D21" i="16"/>
  <c r="D35" i="16"/>
  <c r="AN53" i="17"/>
  <c r="D34" i="16"/>
  <c r="D17" i="16"/>
  <c r="AN13" i="17"/>
  <c r="D41" i="16"/>
  <c r="AN51" i="17"/>
  <c r="D22" i="16"/>
  <c r="D8" i="16"/>
  <c r="AN6" i="17"/>
  <c r="D48" i="16"/>
  <c r="D52" i="16"/>
  <c r="AN43" i="17"/>
  <c r="AN4" i="17"/>
  <c r="D26" i="16"/>
  <c r="AN26" i="16"/>
  <c r="AN44" i="17"/>
  <c r="D37" i="16"/>
  <c r="D31" i="16"/>
  <c r="AN31" i="16"/>
  <c r="AN46" i="17"/>
  <c r="D53" i="16"/>
  <c r="AN50" i="17"/>
  <c r="AN9" i="17"/>
  <c r="D56" i="16"/>
  <c r="AN15" i="17"/>
  <c r="D14" i="16"/>
  <c r="AN39" i="17"/>
  <c r="AN26" i="17"/>
  <c r="AN7" i="17"/>
  <c r="D16" i="16"/>
  <c r="AN22" i="17"/>
  <c r="D13" i="16"/>
  <c r="AN27" i="17"/>
  <c r="AN32" i="17"/>
  <c r="AN18" i="17"/>
  <c r="AN21" i="17"/>
  <c r="AN11" i="17"/>
  <c r="AN40" i="17"/>
  <c r="AN33" i="17"/>
  <c r="AN14" i="17"/>
  <c r="AN5" i="17"/>
  <c r="AN16" i="17"/>
  <c r="AN24" i="17"/>
  <c r="D47" i="16"/>
  <c r="AN19" i="17"/>
  <c r="D28" i="16"/>
  <c r="D42" i="16"/>
  <c r="AN34" i="17"/>
  <c r="AN25" i="17"/>
  <c r="AN45" i="17"/>
  <c r="AN42" i="17"/>
  <c r="AN3" i="17"/>
  <c r="D39" i="16"/>
  <c r="D33" i="16"/>
  <c r="AN30" i="17"/>
  <c r="D54" i="16"/>
  <c r="AN54" i="17"/>
  <c r="AN35" i="17"/>
  <c r="AN36" i="17"/>
  <c r="AN17" i="17"/>
  <c r="AN20" i="17"/>
  <c r="AN23" i="17"/>
  <c r="AN38" i="17"/>
  <c r="AN41" i="17"/>
  <c r="D29" i="16"/>
  <c r="D12" i="16"/>
  <c r="AN12" i="16"/>
  <c r="AN49" i="16"/>
  <c r="D49" i="16"/>
  <c r="D32" i="16"/>
  <c r="AN47" i="17"/>
  <c r="AL57" i="3"/>
  <c r="AL57" i="16"/>
  <c r="AM57" i="3"/>
  <c r="H14" i="25"/>
  <c r="I14" i="25" s="1"/>
  <c r="H2" i="25"/>
  <c r="AN33" i="16" l="1"/>
  <c r="AN53" i="16"/>
  <c r="AN9" i="16"/>
  <c r="AN16" i="16"/>
  <c r="AN36" i="16"/>
  <c r="AN41" i="16"/>
  <c r="AN18" i="16"/>
  <c r="AN39" i="16"/>
  <c r="AN52" i="16"/>
  <c r="AN54" i="16"/>
  <c r="E14" i="24"/>
  <c r="F14" i="24"/>
  <c r="F14" i="19"/>
  <c r="E14" i="19"/>
  <c r="F14" i="18"/>
  <c r="E14" i="18"/>
  <c r="H14" i="19" l="1"/>
  <c r="H14" i="24"/>
  <c r="H14" i="18"/>
  <c r="H2" i="24"/>
  <c r="H2" i="19"/>
  <c r="H2" i="18"/>
  <c r="C118" i="32" l="1"/>
  <c r="C119" i="32"/>
  <c r="C121" i="32"/>
  <c r="C122" i="32"/>
  <c r="C123" i="32"/>
  <c r="C124" i="32"/>
  <c r="C125" i="32"/>
  <c r="C126" i="32"/>
  <c r="C127" i="32"/>
  <c r="C128" i="32"/>
  <c r="C129" i="32"/>
  <c r="C130" i="32"/>
  <c r="C131" i="32"/>
  <c r="C132" i="32"/>
  <c r="C137" i="32"/>
  <c r="C138" i="32"/>
  <c r="C139" i="32"/>
  <c r="C140" i="32"/>
  <c r="C142" i="32"/>
  <c r="C143" i="32"/>
  <c r="C144" i="32"/>
  <c r="C145" i="32"/>
  <c r="C146" i="32"/>
  <c r="C147" i="32"/>
  <c r="C148" i="32"/>
  <c r="C149" i="32"/>
  <c r="C150" i="32"/>
  <c r="C151" i="32"/>
  <c r="C152" i="32"/>
  <c r="C154" i="32"/>
  <c r="C155" i="32"/>
  <c r="C157" i="32"/>
  <c r="C158" i="32"/>
  <c r="C159" i="32"/>
  <c r="C160" i="32"/>
  <c r="C161" i="32"/>
  <c r="C162" i="32"/>
  <c r="C163" i="32"/>
  <c r="C164" i="32"/>
  <c r="C165" i="32"/>
  <c r="C166" i="32"/>
  <c r="C167" i="32"/>
  <c r="C168" i="32"/>
  <c r="C169" i="32"/>
  <c r="C170" i="32"/>
  <c r="AL57" i="17"/>
  <c r="AJ57" i="17"/>
  <c r="AI57" i="17"/>
  <c r="AG57" i="17"/>
  <c r="AF57" i="17"/>
  <c r="AD57" i="17"/>
  <c r="AC57" i="17"/>
  <c r="AA57" i="17"/>
  <c r="Z57" i="17"/>
  <c r="X57" i="17"/>
  <c r="W57" i="17"/>
  <c r="U57" i="17"/>
  <c r="T57" i="17"/>
  <c r="R57" i="17"/>
  <c r="Q57" i="17"/>
  <c r="O57" i="17"/>
  <c r="N57" i="17"/>
  <c r="L57" i="17"/>
  <c r="K57" i="17"/>
  <c r="I57" i="17"/>
  <c r="H57" i="17"/>
  <c r="F57" i="17"/>
  <c r="E57" i="17"/>
  <c r="B57" i="17"/>
  <c r="AO56" i="17"/>
  <c r="AK56" i="17"/>
  <c r="N170" i="32" s="1"/>
  <c r="AH56" i="17"/>
  <c r="M170" i="32" s="1"/>
  <c r="AE56" i="17"/>
  <c r="L170" i="32" s="1"/>
  <c r="AB56" i="17"/>
  <c r="K170" i="32" s="1"/>
  <c r="Y56" i="17"/>
  <c r="J170" i="32" s="1"/>
  <c r="V56" i="17"/>
  <c r="I170" i="32" s="1"/>
  <c r="S56" i="17"/>
  <c r="H170" i="32" s="1"/>
  <c r="P56" i="17"/>
  <c r="G170" i="32" s="1"/>
  <c r="F170" i="32"/>
  <c r="E170" i="32"/>
  <c r="D170" i="32"/>
  <c r="AO55" i="17"/>
  <c r="AK55" i="17"/>
  <c r="N169" i="32" s="1"/>
  <c r="AH55" i="17"/>
  <c r="M169" i="32" s="1"/>
  <c r="AE55" i="17"/>
  <c r="L169" i="32" s="1"/>
  <c r="AB55" i="17"/>
  <c r="K169" i="32" s="1"/>
  <c r="Y55" i="17"/>
  <c r="J169" i="32" s="1"/>
  <c r="V55" i="17"/>
  <c r="I169" i="32" s="1"/>
  <c r="S55" i="17"/>
  <c r="H169" i="32" s="1"/>
  <c r="P55" i="17"/>
  <c r="G169" i="32" s="1"/>
  <c r="F169" i="32"/>
  <c r="E169" i="32"/>
  <c r="D169" i="32"/>
  <c r="AO54" i="17"/>
  <c r="AK54" i="17"/>
  <c r="N168" i="32" s="1"/>
  <c r="AH54" i="17"/>
  <c r="M168" i="32" s="1"/>
  <c r="AE54" i="17"/>
  <c r="L168" i="32" s="1"/>
  <c r="AB54" i="17"/>
  <c r="K168" i="32" s="1"/>
  <c r="Y54" i="17"/>
  <c r="J168" i="32" s="1"/>
  <c r="V54" i="17"/>
  <c r="I168" i="32" s="1"/>
  <c r="S54" i="17"/>
  <c r="H168" i="32" s="1"/>
  <c r="P54" i="17"/>
  <c r="G168" i="32" s="1"/>
  <c r="F168" i="32"/>
  <c r="E168" i="32"/>
  <c r="D168" i="32"/>
  <c r="AO53" i="17"/>
  <c r="AK53" i="17"/>
  <c r="N167" i="32" s="1"/>
  <c r="AH53" i="17"/>
  <c r="M167" i="32" s="1"/>
  <c r="AE53" i="17"/>
  <c r="L167" i="32" s="1"/>
  <c r="AB53" i="17"/>
  <c r="K167" i="32" s="1"/>
  <c r="Y53" i="17"/>
  <c r="J167" i="32" s="1"/>
  <c r="V53" i="17"/>
  <c r="I167" i="32" s="1"/>
  <c r="S53" i="17"/>
  <c r="H167" i="32" s="1"/>
  <c r="P53" i="17"/>
  <c r="G167" i="32" s="1"/>
  <c r="F167" i="32"/>
  <c r="E167" i="32"/>
  <c r="D167" i="32"/>
  <c r="AO52" i="17"/>
  <c r="AK52" i="17"/>
  <c r="N166" i="32" s="1"/>
  <c r="AH52" i="17"/>
  <c r="M166" i="32" s="1"/>
  <c r="AE52" i="17"/>
  <c r="L166" i="32" s="1"/>
  <c r="AB52" i="17"/>
  <c r="K166" i="32" s="1"/>
  <c r="Y52" i="17"/>
  <c r="J166" i="32" s="1"/>
  <c r="V52" i="17"/>
  <c r="I166" i="32" s="1"/>
  <c r="S52" i="17"/>
  <c r="H166" i="32" s="1"/>
  <c r="P52" i="17"/>
  <c r="G166" i="32" s="1"/>
  <c r="F166" i="32"/>
  <c r="E166" i="32"/>
  <c r="D166" i="32"/>
  <c r="AO51" i="17"/>
  <c r="AK51" i="17"/>
  <c r="N165" i="32" s="1"/>
  <c r="AH51" i="17"/>
  <c r="M165" i="32" s="1"/>
  <c r="AE51" i="17"/>
  <c r="L165" i="32" s="1"/>
  <c r="AB51" i="17"/>
  <c r="K165" i="32" s="1"/>
  <c r="Y51" i="17"/>
  <c r="J165" i="32" s="1"/>
  <c r="V51" i="17"/>
  <c r="I165" i="32" s="1"/>
  <c r="S51" i="17"/>
  <c r="H165" i="32" s="1"/>
  <c r="P51" i="17"/>
  <c r="G165" i="32" s="1"/>
  <c r="F165" i="32"/>
  <c r="E165" i="32"/>
  <c r="D165" i="32"/>
  <c r="AO50" i="17"/>
  <c r="AK50" i="17"/>
  <c r="N164" i="32" s="1"/>
  <c r="AH50" i="17"/>
  <c r="M164" i="32" s="1"/>
  <c r="AE50" i="17"/>
  <c r="L164" i="32" s="1"/>
  <c r="AB50" i="17"/>
  <c r="K164" i="32" s="1"/>
  <c r="Y50" i="17"/>
  <c r="J164" i="32" s="1"/>
  <c r="V50" i="17"/>
  <c r="I164" i="32" s="1"/>
  <c r="S50" i="17"/>
  <c r="H164" i="32" s="1"/>
  <c r="P50" i="17"/>
  <c r="G164" i="32" s="1"/>
  <c r="F164" i="32"/>
  <c r="E164" i="32"/>
  <c r="D164" i="32"/>
  <c r="AO49" i="17"/>
  <c r="AK49" i="17"/>
  <c r="N163" i="32" s="1"/>
  <c r="AH49" i="17"/>
  <c r="M163" i="32" s="1"/>
  <c r="AE49" i="17"/>
  <c r="L163" i="32" s="1"/>
  <c r="AB49" i="17"/>
  <c r="K163" i="32" s="1"/>
  <c r="Y49" i="17"/>
  <c r="J163" i="32" s="1"/>
  <c r="V49" i="17"/>
  <c r="I163" i="32" s="1"/>
  <c r="S49" i="17"/>
  <c r="H163" i="32" s="1"/>
  <c r="P49" i="17"/>
  <c r="G163" i="32" s="1"/>
  <c r="F163" i="32"/>
  <c r="E163" i="32"/>
  <c r="D163" i="32"/>
  <c r="AO48" i="17"/>
  <c r="AK48" i="17"/>
  <c r="N162" i="32" s="1"/>
  <c r="AH48" i="17"/>
  <c r="M162" i="32" s="1"/>
  <c r="AE48" i="17"/>
  <c r="L162" i="32" s="1"/>
  <c r="AB48" i="17"/>
  <c r="K162" i="32" s="1"/>
  <c r="Y48" i="17"/>
  <c r="J162" i="32" s="1"/>
  <c r="V48" i="17"/>
  <c r="I162" i="32" s="1"/>
  <c r="S48" i="17"/>
  <c r="H162" i="32" s="1"/>
  <c r="P48" i="17"/>
  <c r="G162" i="32" s="1"/>
  <c r="F162" i="32"/>
  <c r="E162" i="32"/>
  <c r="D162" i="32"/>
  <c r="AO47" i="17"/>
  <c r="AK47" i="17"/>
  <c r="N161" i="32" s="1"/>
  <c r="AH47" i="17"/>
  <c r="M161" i="32" s="1"/>
  <c r="AE47" i="17"/>
  <c r="L161" i="32" s="1"/>
  <c r="AB47" i="17"/>
  <c r="K161" i="32" s="1"/>
  <c r="Y47" i="17"/>
  <c r="J161" i="32" s="1"/>
  <c r="V47" i="17"/>
  <c r="I161" i="32" s="1"/>
  <c r="S47" i="17"/>
  <c r="H161" i="32" s="1"/>
  <c r="P47" i="17"/>
  <c r="G161" i="32" s="1"/>
  <c r="F161" i="32"/>
  <c r="E161" i="32"/>
  <c r="D161" i="32"/>
  <c r="AO46" i="17"/>
  <c r="AK46" i="17"/>
  <c r="N160" i="32" s="1"/>
  <c r="AH46" i="17"/>
  <c r="M160" i="32" s="1"/>
  <c r="AE46" i="17"/>
  <c r="L160" i="32" s="1"/>
  <c r="AB46" i="17"/>
  <c r="K160" i="32" s="1"/>
  <c r="Y46" i="17"/>
  <c r="J160" i="32" s="1"/>
  <c r="V46" i="17"/>
  <c r="I160" i="32" s="1"/>
  <c r="S46" i="17"/>
  <c r="H160" i="32" s="1"/>
  <c r="P46" i="17"/>
  <c r="G160" i="32" s="1"/>
  <c r="F160" i="32"/>
  <c r="E160" i="32"/>
  <c r="D160" i="32"/>
  <c r="AO45" i="17"/>
  <c r="AK45" i="17"/>
  <c r="N159" i="32" s="1"/>
  <c r="AH45" i="17"/>
  <c r="M159" i="32" s="1"/>
  <c r="AE45" i="17"/>
  <c r="L159" i="32" s="1"/>
  <c r="AB45" i="17"/>
  <c r="K159" i="32" s="1"/>
  <c r="Y45" i="17"/>
  <c r="J159" i="32" s="1"/>
  <c r="V45" i="17"/>
  <c r="I159" i="32" s="1"/>
  <c r="S45" i="17"/>
  <c r="H159" i="32" s="1"/>
  <c r="P45" i="17"/>
  <c r="G159" i="32" s="1"/>
  <c r="F159" i="32"/>
  <c r="E159" i="32"/>
  <c r="D159" i="32"/>
  <c r="AO44" i="17"/>
  <c r="AK44" i="17"/>
  <c r="N158" i="32" s="1"/>
  <c r="AH44" i="17"/>
  <c r="M158" i="32" s="1"/>
  <c r="AE44" i="17"/>
  <c r="L158" i="32" s="1"/>
  <c r="AB44" i="17"/>
  <c r="K158" i="32" s="1"/>
  <c r="Y44" i="17"/>
  <c r="J158" i="32" s="1"/>
  <c r="V44" i="17"/>
  <c r="I158" i="32" s="1"/>
  <c r="S44" i="17"/>
  <c r="H158" i="32" s="1"/>
  <c r="P44" i="17"/>
  <c r="G158" i="32" s="1"/>
  <c r="F158" i="32"/>
  <c r="E158" i="32"/>
  <c r="D158" i="32"/>
  <c r="AO43" i="17"/>
  <c r="AK43" i="17"/>
  <c r="N157" i="32" s="1"/>
  <c r="AH43" i="17"/>
  <c r="M157" i="32" s="1"/>
  <c r="AE43" i="17"/>
  <c r="L157" i="32" s="1"/>
  <c r="AB43" i="17"/>
  <c r="K157" i="32" s="1"/>
  <c r="Y43" i="17"/>
  <c r="J157" i="32" s="1"/>
  <c r="V43" i="17"/>
  <c r="I157" i="32" s="1"/>
  <c r="S43" i="17"/>
  <c r="H157" i="32" s="1"/>
  <c r="P43" i="17"/>
  <c r="G157" i="32" s="1"/>
  <c r="F157" i="32"/>
  <c r="E157" i="32"/>
  <c r="D157" i="32"/>
  <c r="AO42" i="17"/>
  <c r="AK42" i="17"/>
  <c r="N156" i="32" s="1"/>
  <c r="AH42" i="17"/>
  <c r="M156" i="32" s="1"/>
  <c r="AE42" i="17"/>
  <c r="L156" i="32" s="1"/>
  <c r="AB42" i="17"/>
  <c r="K156" i="32" s="1"/>
  <c r="Y42" i="17"/>
  <c r="J156" i="32" s="1"/>
  <c r="V42" i="17"/>
  <c r="I156" i="32" s="1"/>
  <c r="S42" i="17"/>
  <c r="H156" i="32" s="1"/>
  <c r="P42" i="17"/>
  <c r="G156" i="32" s="1"/>
  <c r="F156" i="32"/>
  <c r="E156" i="32"/>
  <c r="D156" i="32"/>
  <c r="C156" i="32"/>
  <c r="AO41" i="17"/>
  <c r="AK41" i="17"/>
  <c r="N155" i="32" s="1"/>
  <c r="AH41" i="17"/>
  <c r="M155" i="32" s="1"/>
  <c r="AE41" i="17"/>
  <c r="L155" i="32" s="1"/>
  <c r="AB41" i="17"/>
  <c r="K155" i="32" s="1"/>
  <c r="Y41" i="17"/>
  <c r="J155" i="32" s="1"/>
  <c r="V41" i="17"/>
  <c r="I155" i="32" s="1"/>
  <c r="S41" i="17"/>
  <c r="H155" i="32" s="1"/>
  <c r="P41" i="17"/>
  <c r="G155" i="32" s="1"/>
  <c r="F155" i="32"/>
  <c r="E155" i="32"/>
  <c r="D155" i="32"/>
  <c r="AO40" i="17"/>
  <c r="AK40" i="17"/>
  <c r="N154" i="32" s="1"/>
  <c r="AH40" i="17"/>
  <c r="M154" i="32" s="1"/>
  <c r="AE40" i="17"/>
  <c r="L154" i="32" s="1"/>
  <c r="AB40" i="17"/>
  <c r="K154" i="32" s="1"/>
  <c r="Y40" i="17"/>
  <c r="J154" i="32" s="1"/>
  <c r="V40" i="17"/>
  <c r="I154" i="32" s="1"/>
  <c r="S40" i="17"/>
  <c r="H154" i="32" s="1"/>
  <c r="P40" i="17"/>
  <c r="G154" i="32" s="1"/>
  <c r="F154" i="32"/>
  <c r="E154" i="32"/>
  <c r="D154" i="32"/>
  <c r="AO39" i="17"/>
  <c r="AK39" i="17"/>
  <c r="N153" i="32" s="1"/>
  <c r="AH39" i="17"/>
  <c r="M153" i="32" s="1"/>
  <c r="AE39" i="17"/>
  <c r="L153" i="32" s="1"/>
  <c r="AB39" i="17"/>
  <c r="K153" i="32" s="1"/>
  <c r="Y39" i="17"/>
  <c r="J153" i="32" s="1"/>
  <c r="V39" i="17"/>
  <c r="I153" i="32" s="1"/>
  <c r="S39" i="17"/>
  <c r="H153" i="32" s="1"/>
  <c r="P39" i="17"/>
  <c r="G153" i="32" s="1"/>
  <c r="F153" i="32"/>
  <c r="E153" i="32"/>
  <c r="D153" i="32"/>
  <c r="C153" i="32"/>
  <c r="AO38" i="17"/>
  <c r="AK38" i="17"/>
  <c r="N152" i="32" s="1"/>
  <c r="AH38" i="17"/>
  <c r="M152" i="32" s="1"/>
  <c r="AE38" i="17"/>
  <c r="L152" i="32" s="1"/>
  <c r="AB38" i="17"/>
  <c r="K152" i="32" s="1"/>
  <c r="Y38" i="17"/>
  <c r="J152" i="32" s="1"/>
  <c r="V38" i="17"/>
  <c r="I152" i="32" s="1"/>
  <c r="S38" i="17"/>
  <c r="H152" i="32" s="1"/>
  <c r="P38" i="17"/>
  <c r="G152" i="32" s="1"/>
  <c r="F152" i="32"/>
  <c r="E152" i="32"/>
  <c r="D152" i="32"/>
  <c r="AO37" i="17"/>
  <c r="AK37" i="17"/>
  <c r="N151" i="32" s="1"/>
  <c r="AH37" i="17"/>
  <c r="M151" i="32" s="1"/>
  <c r="AE37" i="17"/>
  <c r="L151" i="32" s="1"/>
  <c r="AB37" i="17"/>
  <c r="K151" i="32" s="1"/>
  <c r="Y37" i="17"/>
  <c r="J151" i="32" s="1"/>
  <c r="V37" i="17"/>
  <c r="I151" i="32" s="1"/>
  <c r="S37" i="17"/>
  <c r="H151" i="32" s="1"/>
  <c r="P37" i="17"/>
  <c r="G151" i="32" s="1"/>
  <c r="F151" i="32"/>
  <c r="E151" i="32"/>
  <c r="D151" i="32"/>
  <c r="AO36" i="17"/>
  <c r="AK36" i="17"/>
  <c r="N150" i="32" s="1"/>
  <c r="AH36" i="17"/>
  <c r="M150" i="32" s="1"/>
  <c r="AE36" i="17"/>
  <c r="L150" i="32" s="1"/>
  <c r="AB36" i="17"/>
  <c r="K150" i="32" s="1"/>
  <c r="Y36" i="17"/>
  <c r="J150" i="32" s="1"/>
  <c r="V36" i="17"/>
  <c r="I150" i="32" s="1"/>
  <c r="S36" i="17"/>
  <c r="H150" i="32" s="1"/>
  <c r="P36" i="17"/>
  <c r="G150" i="32" s="1"/>
  <c r="F150" i="32"/>
  <c r="E150" i="32"/>
  <c r="D150" i="32"/>
  <c r="AO35" i="17"/>
  <c r="AK35" i="17"/>
  <c r="N149" i="32" s="1"/>
  <c r="AH35" i="17"/>
  <c r="M149" i="32" s="1"/>
  <c r="AE35" i="17"/>
  <c r="L149" i="32" s="1"/>
  <c r="AB35" i="17"/>
  <c r="K149" i="32" s="1"/>
  <c r="Y35" i="17"/>
  <c r="J149" i="32" s="1"/>
  <c r="V35" i="17"/>
  <c r="I149" i="32" s="1"/>
  <c r="S35" i="17"/>
  <c r="H149" i="32" s="1"/>
  <c r="P35" i="17"/>
  <c r="G149" i="32" s="1"/>
  <c r="F149" i="32"/>
  <c r="E149" i="32"/>
  <c r="D149" i="32"/>
  <c r="AO34" i="17"/>
  <c r="AK34" i="17"/>
  <c r="N148" i="32" s="1"/>
  <c r="AH34" i="17"/>
  <c r="M148" i="32" s="1"/>
  <c r="AE34" i="17"/>
  <c r="L148" i="32" s="1"/>
  <c r="AB34" i="17"/>
  <c r="K148" i="32" s="1"/>
  <c r="Y34" i="17"/>
  <c r="J148" i="32" s="1"/>
  <c r="V34" i="17"/>
  <c r="I148" i="32" s="1"/>
  <c r="S34" i="17"/>
  <c r="H148" i="32" s="1"/>
  <c r="P34" i="17"/>
  <c r="G148" i="32" s="1"/>
  <c r="F148" i="32"/>
  <c r="E148" i="32"/>
  <c r="D148" i="32"/>
  <c r="AO33" i="17"/>
  <c r="AK33" i="17"/>
  <c r="N147" i="32" s="1"/>
  <c r="AH33" i="17"/>
  <c r="M147" i="32" s="1"/>
  <c r="AE33" i="17"/>
  <c r="L147" i="32" s="1"/>
  <c r="AB33" i="17"/>
  <c r="K147" i="32" s="1"/>
  <c r="Y33" i="17"/>
  <c r="J147" i="32" s="1"/>
  <c r="V33" i="17"/>
  <c r="I147" i="32" s="1"/>
  <c r="S33" i="17"/>
  <c r="H147" i="32" s="1"/>
  <c r="P33" i="17"/>
  <c r="G147" i="32" s="1"/>
  <c r="F147" i="32"/>
  <c r="E147" i="32"/>
  <c r="D147" i="32"/>
  <c r="AO32" i="17"/>
  <c r="AK32" i="17"/>
  <c r="N146" i="32" s="1"/>
  <c r="AH32" i="17"/>
  <c r="M146" i="32" s="1"/>
  <c r="AE32" i="17"/>
  <c r="L146" i="32" s="1"/>
  <c r="AB32" i="17"/>
  <c r="K146" i="32" s="1"/>
  <c r="Y32" i="17"/>
  <c r="J146" i="32" s="1"/>
  <c r="V32" i="17"/>
  <c r="I146" i="32" s="1"/>
  <c r="S32" i="17"/>
  <c r="H146" i="32" s="1"/>
  <c r="P32" i="17"/>
  <c r="G146" i="32" s="1"/>
  <c r="F146" i="32"/>
  <c r="E146" i="32"/>
  <c r="D146" i="32"/>
  <c r="AO31" i="17"/>
  <c r="AK31" i="17"/>
  <c r="N145" i="32" s="1"/>
  <c r="AH31" i="17"/>
  <c r="M145" i="32" s="1"/>
  <c r="AE31" i="17"/>
  <c r="L145" i="32" s="1"/>
  <c r="AB31" i="17"/>
  <c r="K145" i="32" s="1"/>
  <c r="Y31" i="17"/>
  <c r="J145" i="32" s="1"/>
  <c r="V31" i="17"/>
  <c r="I145" i="32" s="1"/>
  <c r="S31" i="17"/>
  <c r="H145" i="32" s="1"/>
  <c r="P31" i="17"/>
  <c r="G145" i="32" s="1"/>
  <c r="F145" i="32"/>
  <c r="E145" i="32"/>
  <c r="D145" i="32"/>
  <c r="AO30" i="17"/>
  <c r="AK30" i="17"/>
  <c r="N144" i="32" s="1"/>
  <c r="AH30" i="17"/>
  <c r="M144" i="32" s="1"/>
  <c r="AE30" i="17"/>
  <c r="L144" i="32" s="1"/>
  <c r="AB30" i="17"/>
  <c r="K144" i="32" s="1"/>
  <c r="Y30" i="17"/>
  <c r="J144" i="32" s="1"/>
  <c r="V30" i="17"/>
  <c r="I144" i="32" s="1"/>
  <c r="S30" i="17"/>
  <c r="H144" i="32" s="1"/>
  <c r="P30" i="17"/>
  <c r="G144" i="32" s="1"/>
  <c r="F144" i="32"/>
  <c r="E144" i="32"/>
  <c r="D144" i="32"/>
  <c r="AO29" i="17"/>
  <c r="AK29" i="17"/>
  <c r="N143" i="32" s="1"/>
  <c r="AH29" i="17"/>
  <c r="M143" i="32" s="1"/>
  <c r="AE29" i="17"/>
  <c r="L143" i="32" s="1"/>
  <c r="AB29" i="17"/>
  <c r="K143" i="32" s="1"/>
  <c r="Y29" i="17"/>
  <c r="J143" i="32" s="1"/>
  <c r="V29" i="17"/>
  <c r="I143" i="32" s="1"/>
  <c r="S29" i="17"/>
  <c r="H143" i="32" s="1"/>
  <c r="P29" i="17"/>
  <c r="G143" i="32" s="1"/>
  <c r="F143" i="32"/>
  <c r="E143" i="32"/>
  <c r="D143" i="32"/>
  <c r="AO28" i="17"/>
  <c r="AK28" i="17"/>
  <c r="N142" i="32" s="1"/>
  <c r="AH28" i="17"/>
  <c r="M142" i="32" s="1"/>
  <c r="AE28" i="17"/>
  <c r="L142" i="32" s="1"/>
  <c r="AB28" i="17"/>
  <c r="K142" i="32" s="1"/>
  <c r="Y28" i="17"/>
  <c r="J142" i="32" s="1"/>
  <c r="V28" i="17"/>
  <c r="I142" i="32" s="1"/>
  <c r="S28" i="17"/>
  <c r="H142" i="32" s="1"/>
  <c r="P28" i="17"/>
  <c r="G142" i="32" s="1"/>
  <c r="F142" i="32"/>
  <c r="E142" i="32"/>
  <c r="D142" i="32"/>
  <c r="AO27" i="17"/>
  <c r="AK27" i="17"/>
  <c r="N141" i="32" s="1"/>
  <c r="AH27" i="17"/>
  <c r="M141" i="32" s="1"/>
  <c r="AE27" i="17"/>
  <c r="L141" i="32" s="1"/>
  <c r="AB27" i="17"/>
  <c r="K141" i="32" s="1"/>
  <c r="Y27" i="17"/>
  <c r="J141" i="32" s="1"/>
  <c r="V27" i="17"/>
  <c r="I141" i="32" s="1"/>
  <c r="S27" i="17"/>
  <c r="H141" i="32" s="1"/>
  <c r="P27" i="17"/>
  <c r="G141" i="32" s="1"/>
  <c r="F141" i="32"/>
  <c r="E141" i="32"/>
  <c r="D141" i="32"/>
  <c r="C141" i="32"/>
  <c r="AO26" i="17"/>
  <c r="AK26" i="17"/>
  <c r="N140" i="32" s="1"/>
  <c r="AH26" i="17"/>
  <c r="M140" i="32" s="1"/>
  <c r="AE26" i="17"/>
  <c r="L140" i="32" s="1"/>
  <c r="AB26" i="17"/>
  <c r="K140" i="32" s="1"/>
  <c r="Y26" i="17"/>
  <c r="J140" i="32" s="1"/>
  <c r="V26" i="17"/>
  <c r="I140" i="32" s="1"/>
  <c r="S26" i="17"/>
  <c r="H140" i="32" s="1"/>
  <c r="P26" i="17"/>
  <c r="G140" i="32" s="1"/>
  <c r="F140" i="32"/>
  <c r="E140" i="32"/>
  <c r="D140" i="32"/>
  <c r="AO25" i="17"/>
  <c r="AK25" i="17"/>
  <c r="N139" i="32" s="1"/>
  <c r="AH25" i="17"/>
  <c r="M139" i="32" s="1"/>
  <c r="AE25" i="17"/>
  <c r="L139" i="32" s="1"/>
  <c r="AB25" i="17"/>
  <c r="K139" i="32" s="1"/>
  <c r="Y25" i="17"/>
  <c r="J139" i="32" s="1"/>
  <c r="V25" i="17"/>
  <c r="I139" i="32" s="1"/>
  <c r="S25" i="17"/>
  <c r="H139" i="32" s="1"/>
  <c r="P25" i="17"/>
  <c r="G139" i="32" s="1"/>
  <c r="F139" i="32"/>
  <c r="E139" i="32"/>
  <c r="D139" i="32"/>
  <c r="AO24" i="17"/>
  <c r="AK24" i="17"/>
  <c r="N138" i="32" s="1"/>
  <c r="AH24" i="17"/>
  <c r="M138" i="32" s="1"/>
  <c r="AE24" i="17"/>
  <c r="L138" i="32" s="1"/>
  <c r="AB24" i="17"/>
  <c r="K138" i="32" s="1"/>
  <c r="Y24" i="17"/>
  <c r="J138" i="32" s="1"/>
  <c r="V24" i="17"/>
  <c r="I138" i="32" s="1"/>
  <c r="S24" i="17"/>
  <c r="H138" i="32" s="1"/>
  <c r="P24" i="17"/>
  <c r="G138" i="32" s="1"/>
  <c r="F138" i="32"/>
  <c r="E138" i="32"/>
  <c r="D138" i="32"/>
  <c r="AO23" i="17"/>
  <c r="AK23" i="17"/>
  <c r="N137" i="32" s="1"/>
  <c r="AH23" i="17"/>
  <c r="M137" i="32" s="1"/>
  <c r="AE23" i="17"/>
  <c r="L137" i="32" s="1"/>
  <c r="AB23" i="17"/>
  <c r="K137" i="32" s="1"/>
  <c r="Y23" i="17"/>
  <c r="J137" i="32" s="1"/>
  <c r="V23" i="17"/>
  <c r="I137" i="32" s="1"/>
  <c r="S23" i="17"/>
  <c r="H137" i="32" s="1"/>
  <c r="P23" i="17"/>
  <c r="G137" i="32" s="1"/>
  <c r="F137" i="32"/>
  <c r="E137" i="32"/>
  <c r="D137" i="32"/>
  <c r="AO22" i="17"/>
  <c r="AK22" i="17"/>
  <c r="N136" i="32" s="1"/>
  <c r="AH22" i="17"/>
  <c r="M136" i="32" s="1"/>
  <c r="AE22" i="17"/>
  <c r="L136" i="32" s="1"/>
  <c r="AB22" i="17"/>
  <c r="K136" i="32" s="1"/>
  <c r="Y22" i="17"/>
  <c r="J136" i="32" s="1"/>
  <c r="V22" i="17"/>
  <c r="I136" i="32" s="1"/>
  <c r="S22" i="17"/>
  <c r="H136" i="32" s="1"/>
  <c r="P22" i="17"/>
  <c r="G136" i="32" s="1"/>
  <c r="F136" i="32"/>
  <c r="E136" i="32"/>
  <c r="D136" i="32"/>
  <c r="C136" i="32"/>
  <c r="AO21" i="17"/>
  <c r="AK21" i="17"/>
  <c r="N135" i="32" s="1"/>
  <c r="AH21" i="17"/>
  <c r="M135" i="32" s="1"/>
  <c r="AE21" i="17"/>
  <c r="L135" i="32" s="1"/>
  <c r="AB21" i="17"/>
  <c r="K135" i="32" s="1"/>
  <c r="Y21" i="17"/>
  <c r="J135" i="32" s="1"/>
  <c r="V21" i="17"/>
  <c r="I135" i="32" s="1"/>
  <c r="S21" i="17"/>
  <c r="H135" i="32" s="1"/>
  <c r="P21" i="17"/>
  <c r="G135" i="32" s="1"/>
  <c r="F135" i="32"/>
  <c r="E135" i="32"/>
  <c r="D135" i="32"/>
  <c r="C135" i="32"/>
  <c r="AO20" i="17"/>
  <c r="AK20" i="17"/>
  <c r="N134" i="32" s="1"/>
  <c r="AH20" i="17"/>
  <c r="M134" i="32" s="1"/>
  <c r="AE20" i="17"/>
  <c r="L134" i="32" s="1"/>
  <c r="AB20" i="17"/>
  <c r="K134" i="32" s="1"/>
  <c r="Y20" i="17"/>
  <c r="J134" i="32" s="1"/>
  <c r="V20" i="17"/>
  <c r="I134" i="32" s="1"/>
  <c r="S20" i="17"/>
  <c r="H134" i="32" s="1"/>
  <c r="P20" i="17"/>
  <c r="G134" i="32" s="1"/>
  <c r="F134" i="32"/>
  <c r="E134" i="32"/>
  <c r="D134" i="32"/>
  <c r="C134" i="32"/>
  <c r="AO19" i="17"/>
  <c r="AK19" i="17"/>
  <c r="N133" i="32" s="1"/>
  <c r="AH19" i="17"/>
  <c r="M133" i="32" s="1"/>
  <c r="AE19" i="17"/>
  <c r="L133" i="32" s="1"/>
  <c r="AB19" i="17"/>
  <c r="K133" i="32" s="1"/>
  <c r="Y19" i="17"/>
  <c r="J133" i="32" s="1"/>
  <c r="V19" i="17"/>
  <c r="I133" i="32" s="1"/>
  <c r="S19" i="17"/>
  <c r="H133" i="32" s="1"/>
  <c r="P19" i="17"/>
  <c r="G133" i="32" s="1"/>
  <c r="F133" i="32"/>
  <c r="E133" i="32"/>
  <c r="D133" i="32"/>
  <c r="C133" i="32"/>
  <c r="AO18" i="17"/>
  <c r="AK18" i="17"/>
  <c r="N132" i="32" s="1"/>
  <c r="AH18" i="17"/>
  <c r="M132" i="32" s="1"/>
  <c r="AE18" i="17"/>
  <c r="L132" i="32" s="1"/>
  <c r="AB18" i="17"/>
  <c r="K132" i="32" s="1"/>
  <c r="Y18" i="17"/>
  <c r="J132" i="32" s="1"/>
  <c r="V18" i="17"/>
  <c r="I132" i="32" s="1"/>
  <c r="S18" i="17"/>
  <c r="H132" i="32" s="1"/>
  <c r="P18" i="17"/>
  <c r="G132" i="32" s="1"/>
  <c r="F132" i="32"/>
  <c r="E132" i="32"/>
  <c r="D132" i="32"/>
  <c r="AO17" i="17"/>
  <c r="AK17" i="17"/>
  <c r="N131" i="32" s="1"/>
  <c r="AH17" i="17"/>
  <c r="M131" i="32" s="1"/>
  <c r="AE17" i="17"/>
  <c r="L131" i="32" s="1"/>
  <c r="AB17" i="17"/>
  <c r="K131" i="32" s="1"/>
  <c r="Y17" i="17"/>
  <c r="J131" i="32" s="1"/>
  <c r="V17" i="17"/>
  <c r="I131" i="32" s="1"/>
  <c r="S17" i="17"/>
  <c r="H131" i="32" s="1"/>
  <c r="P17" i="17"/>
  <c r="G131" i="32" s="1"/>
  <c r="F131" i="32"/>
  <c r="E131" i="32"/>
  <c r="D131" i="32"/>
  <c r="AO16" i="17"/>
  <c r="AK16" i="17"/>
  <c r="N130" i="32" s="1"/>
  <c r="AH16" i="17"/>
  <c r="M130" i="32" s="1"/>
  <c r="AE16" i="17"/>
  <c r="L130" i="32" s="1"/>
  <c r="AB16" i="17"/>
  <c r="K130" i="32" s="1"/>
  <c r="Y16" i="17"/>
  <c r="J130" i="32" s="1"/>
  <c r="V16" i="17"/>
  <c r="I130" i="32" s="1"/>
  <c r="S16" i="17"/>
  <c r="H130" i="32" s="1"/>
  <c r="P16" i="17"/>
  <c r="G130" i="32" s="1"/>
  <c r="F130" i="32"/>
  <c r="E130" i="32"/>
  <c r="D130" i="32"/>
  <c r="AO15" i="17"/>
  <c r="AK15" i="17"/>
  <c r="N129" i="32" s="1"/>
  <c r="AH15" i="17"/>
  <c r="M129" i="32" s="1"/>
  <c r="AE15" i="17"/>
  <c r="L129" i="32" s="1"/>
  <c r="AB15" i="17"/>
  <c r="K129" i="32" s="1"/>
  <c r="Y15" i="17"/>
  <c r="J129" i="32" s="1"/>
  <c r="V15" i="17"/>
  <c r="I129" i="32" s="1"/>
  <c r="S15" i="17"/>
  <c r="H129" i="32" s="1"/>
  <c r="P15" i="17"/>
  <c r="G129" i="32" s="1"/>
  <c r="F129" i="32"/>
  <c r="E129" i="32"/>
  <c r="D129" i="32"/>
  <c r="AO14" i="17"/>
  <c r="AK14" i="17"/>
  <c r="N128" i="32" s="1"/>
  <c r="AH14" i="17"/>
  <c r="M128" i="32" s="1"/>
  <c r="AE14" i="17"/>
  <c r="L128" i="32" s="1"/>
  <c r="AB14" i="17"/>
  <c r="K128" i="32" s="1"/>
  <c r="Y14" i="17"/>
  <c r="J128" i="32" s="1"/>
  <c r="V14" i="17"/>
  <c r="I128" i="32" s="1"/>
  <c r="S14" i="17"/>
  <c r="H128" i="32" s="1"/>
  <c r="P14" i="17"/>
  <c r="G128" i="32" s="1"/>
  <c r="F128" i="32"/>
  <c r="E128" i="32"/>
  <c r="D128" i="32"/>
  <c r="AO13" i="17"/>
  <c r="AK13" i="17"/>
  <c r="N127" i="32" s="1"/>
  <c r="AH13" i="17"/>
  <c r="M127" i="32" s="1"/>
  <c r="AE13" i="17"/>
  <c r="L127" i="32" s="1"/>
  <c r="AB13" i="17"/>
  <c r="K127" i="32" s="1"/>
  <c r="Y13" i="17"/>
  <c r="J127" i="32" s="1"/>
  <c r="V13" i="17"/>
  <c r="I127" i="32" s="1"/>
  <c r="S13" i="17"/>
  <c r="H127" i="32" s="1"/>
  <c r="P13" i="17"/>
  <c r="G127" i="32" s="1"/>
  <c r="F127" i="32"/>
  <c r="E127" i="32"/>
  <c r="D127" i="32"/>
  <c r="AO12" i="17"/>
  <c r="AK12" i="17"/>
  <c r="N126" i="32" s="1"/>
  <c r="AH12" i="17"/>
  <c r="M126" i="32" s="1"/>
  <c r="AE12" i="17"/>
  <c r="L126" i="32" s="1"/>
  <c r="AB12" i="17"/>
  <c r="K126" i="32" s="1"/>
  <c r="Y12" i="17"/>
  <c r="J126" i="32" s="1"/>
  <c r="V12" i="17"/>
  <c r="I126" i="32" s="1"/>
  <c r="S12" i="17"/>
  <c r="H126" i="32" s="1"/>
  <c r="P12" i="17"/>
  <c r="G126" i="32" s="1"/>
  <c r="F126" i="32"/>
  <c r="E126" i="32"/>
  <c r="D126" i="32"/>
  <c r="AO11" i="17"/>
  <c r="AK11" i="17"/>
  <c r="N125" i="32" s="1"/>
  <c r="AH11" i="17"/>
  <c r="M125" i="32" s="1"/>
  <c r="AE11" i="17"/>
  <c r="L125" i="32" s="1"/>
  <c r="AB11" i="17"/>
  <c r="K125" i="32" s="1"/>
  <c r="Y11" i="17"/>
  <c r="J125" i="32" s="1"/>
  <c r="V11" i="17"/>
  <c r="I125" i="32" s="1"/>
  <c r="S11" i="17"/>
  <c r="H125" i="32" s="1"/>
  <c r="P11" i="17"/>
  <c r="G125" i="32" s="1"/>
  <c r="F125" i="32"/>
  <c r="E125" i="32"/>
  <c r="D125" i="32"/>
  <c r="AO10" i="17"/>
  <c r="AK10" i="17"/>
  <c r="N124" i="32" s="1"/>
  <c r="AH10" i="17"/>
  <c r="M124" i="32" s="1"/>
  <c r="AE10" i="17"/>
  <c r="L124" i="32" s="1"/>
  <c r="AB10" i="17"/>
  <c r="K124" i="32" s="1"/>
  <c r="Y10" i="17"/>
  <c r="J124" i="32" s="1"/>
  <c r="V10" i="17"/>
  <c r="I124" i="32" s="1"/>
  <c r="S10" i="17"/>
  <c r="H124" i="32" s="1"/>
  <c r="P10" i="17"/>
  <c r="G124" i="32" s="1"/>
  <c r="F124" i="32"/>
  <c r="E124" i="32"/>
  <c r="D124" i="32"/>
  <c r="AO9" i="17"/>
  <c r="AK9" i="17"/>
  <c r="N123" i="32" s="1"/>
  <c r="AH9" i="17"/>
  <c r="M123" i="32" s="1"/>
  <c r="AE9" i="17"/>
  <c r="L123" i="32" s="1"/>
  <c r="AB9" i="17"/>
  <c r="K123" i="32" s="1"/>
  <c r="Y9" i="17"/>
  <c r="J123" i="32" s="1"/>
  <c r="V9" i="17"/>
  <c r="I123" i="32" s="1"/>
  <c r="S9" i="17"/>
  <c r="H123" i="32" s="1"/>
  <c r="P9" i="17"/>
  <c r="G123" i="32" s="1"/>
  <c r="F123" i="32"/>
  <c r="E123" i="32"/>
  <c r="D123" i="32"/>
  <c r="AO8" i="17"/>
  <c r="AK8" i="17"/>
  <c r="N122" i="32" s="1"/>
  <c r="AH8" i="17"/>
  <c r="M122" i="32" s="1"/>
  <c r="AE8" i="17"/>
  <c r="L122" i="32" s="1"/>
  <c r="AB8" i="17"/>
  <c r="K122" i="32" s="1"/>
  <c r="Y8" i="17"/>
  <c r="J122" i="32" s="1"/>
  <c r="V8" i="17"/>
  <c r="I122" i="32" s="1"/>
  <c r="S8" i="17"/>
  <c r="H122" i="32" s="1"/>
  <c r="P8" i="17"/>
  <c r="G122" i="32" s="1"/>
  <c r="F122" i="32"/>
  <c r="E122" i="32"/>
  <c r="D122" i="32"/>
  <c r="AO7" i="17"/>
  <c r="AK7" i="17"/>
  <c r="N121" i="32" s="1"/>
  <c r="AH7" i="17"/>
  <c r="M121" i="32" s="1"/>
  <c r="AE7" i="17"/>
  <c r="L121" i="32" s="1"/>
  <c r="AB7" i="17"/>
  <c r="K121" i="32" s="1"/>
  <c r="Y7" i="17"/>
  <c r="J121" i="32" s="1"/>
  <c r="V7" i="17"/>
  <c r="I121" i="32" s="1"/>
  <c r="S7" i="17"/>
  <c r="H121" i="32" s="1"/>
  <c r="P7" i="17"/>
  <c r="G121" i="32" s="1"/>
  <c r="F121" i="32"/>
  <c r="E121" i="32"/>
  <c r="D121" i="32"/>
  <c r="AO6" i="17"/>
  <c r="AK6" i="17"/>
  <c r="N120" i="32" s="1"/>
  <c r="AH6" i="17"/>
  <c r="M120" i="32" s="1"/>
  <c r="AE6" i="17"/>
  <c r="L120" i="32" s="1"/>
  <c r="AB6" i="17"/>
  <c r="K120" i="32" s="1"/>
  <c r="Y6" i="17"/>
  <c r="J120" i="32" s="1"/>
  <c r="V6" i="17"/>
  <c r="I120" i="32" s="1"/>
  <c r="S6" i="17"/>
  <c r="H120" i="32" s="1"/>
  <c r="P6" i="17"/>
  <c r="G120" i="32" s="1"/>
  <c r="F120" i="32"/>
  <c r="E120" i="32"/>
  <c r="D120" i="32"/>
  <c r="C120" i="32"/>
  <c r="AO5" i="17"/>
  <c r="AK5" i="17"/>
  <c r="N119" i="32" s="1"/>
  <c r="AH5" i="17"/>
  <c r="M119" i="32" s="1"/>
  <c r="AE5" i="17"/>
  <c r="L119" i="32" s="1"/>
  <c r="AB5" i="17"/>
  <c r="K119" i="32" s="1"/>
  <c r="Y5" i="17"/>
  <c r="J119" i="32" s="1"/>
  <c r="V5" i="17"/>
  <c r="I119" i="32" s="1"/>
  <c r="S5" i="17"/>
  <c r="H119" i="32" s="1"/>
  <c r="P5" i="17"/>
  <c r="G119" i="32" s="1"/>
  <c r="F119" i="32"/>
  <c r="E119" i="32"/>
  <c r="D119" i="32"/>
  <c r="AO4" i="17"/>
  <c r="AK4" i="17"/>
  <c r="N118" i="32" s="1"/>
  <c r="AH4" i="17"/>
  <c r="M118" i="32" s="1"/>
  <c r="AE4" i="17"/>
  <c r="L118" i="32" s="1"/>
  <c r="AB4" i="17"/>
  <c r="K118" i="32" s="1"/>
  <c r="Y4" i="17"/>
  <c r="J118" i="32" s="1"/>
  <c r="V4" i="17"/>
  <c r="I118" i="32" s="1"/>
  <c r="S4" i="17"/>
  <c r="H118" i="32" s="1"/>
  <c r="P4" i="17"/>
  <c r="G118" i="32" s="1"/>
  <c r="F118" i="32"/>
  <c r="E118" i="32"/>
  <c r="D118" i="32"/>
  <c r="AO3" i="17"/>
  <c r="AK3" i="17"/>
  <c r="N117" i="32" s="1"/>
  <c r="AH3" i="17"/>
  <c r="M117" i="32" s="1"/>
  <c r="AE3" i="17"/>
  <c r="L117" i="32" s="1"/>
  <c r="AB3" i="17"/>
  <c r="K117" i="32" s="1"/>
  <c r="Y3" i="17"/>
  <c r="J117" i="32" s="1"/>
  <c r="V3" i="17"/>
  <c r="I117" i="32" s="1"/>
  <c r="S3" i="17"/>
  <c r="H117" i="32" s="1"/>
  <c r="P3" i="17"/>
  <c r="G117" i="32" s="1"/>
  <c r="F117" i="32"/>
  <c r="E117" i="32"/>
  <c r="D117" i="32"/>
  <c r="C117" i="32"/>
  <c r="AK2" i="17"/>
  <c r="N116" i="32" s="1"/>
  <c r="AH2" i="17"/>
  <c r="M116" i="32" s="1"/>
  <c r="AE2" i="17"/>
  <c r="L116" i="32" s="1"/>
  <c r="AB2" i="17"/>
  <c r="K116" i="32" s="1"/>
  <c r="Y2" i="17"/>
  <c r="J116" i="32" s="1"/>
  <c r="V2" i="17"/>
  <c r="I116" i="32" s="1"/>
  <c r="S2" i="17"/>
  <c r="H116" i="32" s="1"/>
  <c r="P2" i="17"/>
  <c r="G116" i="32" s="1"/>
  <c r="F116" i="32"/>
  <c r="E116" i="32"/>
  <c r="D116" i="32"/>
  <c r="M57" i="17" l="1"/>
  <c r="F171" i="32" s="1"/>
  <c r="AN2" i="17"/>
  <c r="C116" i="32"/>
  <c r="AH57" i="17"/>
  <c r="M171" i="32" s="1"/>
  <c r="O156" i="32"/>
  <c r="O161" i="32"/>
  <c r="O166" i="32"/>
  <c r="O125" i="32"/>
  <c r="O138" i="32"/>
  <c r="O153" i="32"/>
  <c r="O148" i="32"/>
  <c r="O132" i="32"/>
  <c r="O145" i="32"/>
  <c r="O150" i="32"/>
  <c r="O168" i="32"/>
  <c r="O160" i="32"/>
  <c r="O165" i="32"/>
  <c r="O170" i="32"/>
  <c r="O135" i="32"/>
  <c r="O127" i="32"/>
  <c r="O140" i="32"/>
  <c r="O155" i="32"/>
  <c r="O142" i="32"/>
  <c r="O147" i="32"/>
  <c r="O152" i="32"/>
  <c r="O143" i="32"/>
  <c r="O119" i="32"/>
  <c r="O124" i="32"/>
  <c r="O137" i="32"/>
  <c r="O157" i="32"/>
  <c r="O162" i="32"/>
  <c r="O167" i="32"/>
  <c r="O163" i="32"/>
  <c r="O121" i="32"/>
  <c r="O126" i="32"/>
  <c r="O131" i="32"/>
  <c r="O139" i="32"/>
  <c r="O130" i="32"/>
  <c r="O117" i="32"/>
  <c r="O144" i="32"/>
  <c r="O149" i="32"/>
  <c r="O120" i="32"/>
  <c r="O122" i="32"/>
  <c r="O158" i="32"/>
  <c r="O129" i="32"/>
  <c r="O159" i="32"/>
  <c r="O164" i="32"/>
  <c r="O169" i="32"/>
  <c r="O134" i="32"/>
  <c r="O123" i="32"/>
  <c r="O136" i="32"/>
  <c r="O154" i="32"/>
  <c r="O118" i="32"/>
  <c r="O128" i="32"/>
  <c r="O133" i="32"/>
  <c r="O141" i="32"/>
  <c r="O146" i="32"/>
  <c r="O151" i="32"/>
  <c r="AB57" i="17"/>
  <c r="K171" i="32" s="1"/>
  <c r="V57" i="17"/>
  <c r="I171" i="32" s="1"/>
  <c r="J57" i="17"/>
  <c r="E171" i="32" s="1"/>
  <c r="AK57" i="17"/>
  <c r="N171" i="32" s="1"/>
  <c r="P57" i="17"/>
  <c r="G171" i="32" s="1"/>
  <c r="Y57" i="17"/>
  <c r="J171" i="32" s="1"/>
  <c r="G57" i="17"/>
  <c r="D171" i="32" s="1"/>
  <c r="AE57" i="17"/>
  <c r="L171" i="32" s="1"/>
  <c r="S57" i="17"/>
  <c r="H171" i="32" s="1"/>
  <c r="C57" i="17"/>
  <c r="D57" i="17" s="1"/>
  <c r="C171" i="32" l="1"/>
  <c r="C58" i="17"/>
  <c r="AM57" i="17"/>
  <c r="AJ57" i="16"/>
  <c r="AI57" i="16"/>
  <c r="AG57" i="16"/>
  <c r="AF57" i="16"/>
  <c r="AD57" i="16"/>
  <c r="AC57" i="16"/>
  <c r="AA57" i="16"/>
  <c r="Z57" i="16"/>
  <c r="X57" i="16"/>
  <c r="W57" i="16"/>
  <c r="U57" i="16"/>
  <c r="T57" i="16"/>
  <c r="R57" i="16"/>
  <c r="Q57" i="16"/>
  <c r="O57" i="16"/>
  <c r="N57" i="16"/>
  <c r="L57" i="16"/>
  <c r="K57" i="16"/>
  <c r="I57" i="16"/>
  <c r="H57" i="16"/>
  <c r="F57" i="16"/>
  <c r="E57" i="16"/>
  <c r="O113" i="32"/>
  <c r="AK56" i="16"/>
  <c r="N113" i="32" s="1"/>
  <c r="AH56" i="16"/>
  <c r="M113" i="32" s="1"/>
  <c r="AE56" i="16"/>
  <c r="L113" i="32" s="1"/>
  <c r="AB56" i="16"/>
  <c r="K113" i="32" s="1"/>
  <c r="Y56" i="16"/>
  <c r="J113" i="32" s="1"/>
  <c r="V56" i="16"/>
  <c r="I113" i="32" s="1"/>
  <c r="S56" i="16"/>
  <c r="H113" i="32" s="1"/>
  <c r="P56" i="16"/>
  <c r="G113" i="32" s="1"/>
  <c r="M56" i="16"/>
  <c r="F113" i="32" s="1"/>
  <c r="E113" i="32"/>
  <c r="D113" i="32"/>
  <c r="O112" i="32"/>
  <c r="AK55" i="16"/>
  <c r="N112" i="32" s="1"/>
  <c r="AH55" i="16"/>
  <c r="M112" i="32" s="1"/>
  <c r="AE55" i="16"/>
  <c r="L112" i="32" s="1"/>
  <c r="AB55" i="16"/>
  <c r="K112" i="32" s="1"/>
  <c r="Y55" i="16"/>
  <c r="J112" i="32" s="1"/>
  <c r="V55" i="16"/>
  <c r="I112" i="32" s="1"/>
  <c r="S55" i="16"/>
  <c r="H112" i="32" s="1"/>
  <c r="P55" i="16"/>
  <c r="G112" i="32" s="1"/>
  <c r="M55" i="16"/>
  <c r="F112" i="32" s="1"/>
  <c r="E112" i="32"/>
  <c r="D112" i="32"/>
  <c r="O111" i="32"/>
  <c r="AK54" i="16"/>
  <c r="N111" i="32" s="1"/>
  <c r="AH54" i="16"/>
  <c r="M111" i="32" s="1"/>
  <c r="AE54" i="16"/>
  <c r="L111" i="32" s="1"/>
  <c r="AB54" i="16"/>
  <c r="K111" i="32" s="1"/>
  <c r="Y54" i="16"/>
  <c r="J111" i="32" s="1"/>
  <c r="V54" i="16"/>
  <c r="I111" i="32" s="1"/>
  <c r="S54" i="16"/>
  <c r="H111" i="32" s="1"/>
  <c r="P54" i="16"/>
  <c r="G111" i="32" s="1"/>
  <c r="M54" i="16"/>
  <c r="F111" i="32" s="1"/>
  <c r="E111" i="32"/>
  <c r="D111" i="32"/>
  <c r="O110" i="32"/>
  <c r="AK53" i="16"/>
  <c r="N110" i="32" s="1"/>
  <c r="AH53" i="16"/>
  <c r="M110" i="32" s="1"/>
  <c r="AE53" i="16"/>
  <c r="L110" i="32" s="1"/>
  <c r="AB53" i="16"/>
  <c r="K110" i="32" s="1"/>
  <c r="Y53" i="16"/>
  <c r="J110" i="32" s="1"/>
  <c r="V53" i="16"/>
  <c r="I110" i="32" s="1"/>
  <c r="S53" i="16"/>
  <c r="H110" i="32" s="1"/>
  <c r="P53" i="16"/>
  <c r="G110" i="32" s="1"/>
  <c r="M53" i="16"/>
  <c r="F110" i="32" s="1"/>
  <c r="E110" i="32"/>
  <c r="D110" i="32"/>
  <c r="AK52" i="16"/>
  <c r="N109" i="32" s="1"/>
  <c r="AH52" i="16"/>
  <c r="M109" i="32" s="1"/>
  <c r="AE52" i="16"/>
  <c r="L109" i="32" s="1"/>
  <c r="AB52" i="16"/>
  <c r="K109" i="32" s="1"/>
  <c r="Y52" i="16"/>
  <c r="J109" i="32" s="1"/>
  <c r="V52" i="16"/>
  <c r="I109" i="32" s="1"/>
  <c r="S52" i="16"/>
  <c r="H109" i="32" s="1"/>
  <c r="P52" i="16"/>
  <c r="G109" i="32" s="1"/>
  <c r="M52" i="16"/>
  <c r="F109" i="32" s="1"/>
  <c r="E109" i="32"/>
  <c r="D109" i="32"/>
  <c r="AK51" i="16"/>
  <c r="N108" i="32" s="1"/>
  <c r="AH51" i="16"/>
  <c r="M108" i="32" s="1"/>
  <c r="AE51" i="16"/>
  <c r="L108" i="32" s="1"/>
  <c r="AB51" i="16"/>
  <c r="K108" i="32" s="1"/>
  <c r="Y51" i="16"/>
  <c r="J108" i="32" s="1"/>
  <c r="V51" i="16"/>
  <c r="I108" i="32" s="1"/>
  <c r="S51" i="16"/>
  <c r="H108" i="32" s="1"/>
  <c r="P51" i="16"/>
  <c r="G108" i="32" s="1"/>
  <c r="M51" i="16"/>
  <c r="F108" i="32" s="1"/>
  <c r="E108" i="32"/>
  <c r="D108" i="32"/>
  <c r="AK50" i="16"/>
  <c r="N107" i="32" s="1"/>
  <c r="AH50" i="16"/>
  <c r="M107" i="32" s="1"/>
  <c r="AE50" i="16"/>
  <c r="L107" i="32" s="1"/>
  <c r="AB50" i="16"/>
  <c r="K107" i="32" s="1"/>
  <c r="Y50" i="16"/>
  <c r="J107" i="32" s="1"/>
  <c r="V50" i="16"/>
  <c r="I107" i="32" s="1"/>
  <c r="S50" i="16"/>
  <c r="H107" i="32" s="1"/>
  <c r="P50" i="16"/>
  <c r="G107" i="32" s="1"/>
  <c r="M50" i="16"/>
  <c r="F107" i="32" s="1"/>
  <c r="E107" i="32"/>
  <c r="D107" i="32"/>
  <c r="AK49" i="16"/>
  <c r="N106" i="32" s="1"/>
  <c r="AH49" i="16"/>
  <c r="M106" i="32" s="1"/>
  <c r="AE49" i="16"/>
  <c r="L106" i="32" s="1"/>
  <c r="AB49" i="16"/>
  <c r="K106" i="32" s="1"/>
  <c r="Y49" i="16"/>
  <c r="J106" i="32" s="1"/>
  <c r="V49" i="16"/>
  <c r="I106" i="32" s="1"/>
  <c r="S49" i="16"/>
  <c r="H106" i="32" s="1"/>
  <c r="P49" i="16"/>
  <c r="G106" i="32" s="1"/>
  <c r="M49" i="16"/>
  <c r="F106" i="32" s="1"/>
  <c r="E106" i="32"/>
  <c r="D106" i="32"/>
  <c r="AK48" i="16"/>
  <c r="N105" i="32" s="1"/>
  <c r="AH48" i="16"/>
  <c r="M105" i="32" s="1"/>
  <c r="AE48" i="16"/>
  <c r="L105" i="32" s="1"/>
  <c r="AB48" i="16"/>
  <c r="K105" i="32" s="1"/>
  <c r="Y48" i="16"/>
  <c r="J105" i="32" s="1"/>
  <c r="V48" i="16"/>
  <c r="I105" i="32" s="1"/>
  <c r="S48" i="16"/>
  <c r="H105" i="32" s="1"/>
  <c r="P48" i="16"/>
  <c r="G105" i="32" s="1"/>
  <c r="M48" i="16"/>
  <c r="F105" i="32" s="1"/>
  <c r="E105" i="32"/>
  <c r="D105" i="32"/>
  <c r="O104" i="32"/>
  <c r="AK47" i="16"/>
  <c r="N104" i="32" s="1"/>
  <c r="AH47" i="16"/>
  <c r="M104" i="32" s="1"/>
  <c r="AE47" i="16"/>
  <c r="L104" i="32" s="1"/>
  <c r="AB47" i="16"/>
  <c r="K104" i="32" s="1"/>
  <c r="Y47" i="16"/>
  <c r="J104" i="32" s="1"/>
  <c r="V47" i="16"/>
  <c r="I104" i="32" s="1"/>
  <c r="S47" i="16"/>
  <c r="H104" i="32" s="1"/>
  <c r="P47" i="16"/>
  <c r="G104" i="32" s="1"/>
  <c r="M47" i="16"/>
  <c r="F104" i="32" s="1"/>
  <c r="E104" i="32"/>
  <c r="D104" i="32"/>
  <c r="O103" i="32"/>
  <c r="AK46" i="16"/>
  <c r="N103" i="32" s="1"/>
  <c r="AH46" i="16"/>
  <c r="M103" i="32" s="1"/>
  <c r="AE46" i="16"/>
  <c r="L103" i="32" s="1"/>
  <c r="AB46" i="16"/>
  <c r="K103" i="32" s="1"/>
  <c r="Y46" i="16"/>
  <c r="J103" i="32" s="1"/>
  <c r="V46" i="16"/>
  <c r="I103" i="32" s="1"/>
  <c r="S46" i="16"/>
  <c r="H103" i="32" s="1"/>
  <c r="P46" i="16"/>
  <c r="G103" i="32" s="1"/>
  <c r="M46" i="16"/>
  <c r="F103" i="32" s="1"/>
  <c r="E103" i="32"/>
  <c r="D103" i="32"/>
  <c r="AK45" i="16"/>
  <c r="N102" i="32" s="1"/>
  <c r="AH45" i="16"/>
  <c r="M102" i="32" s="1"/>
  <c r="AE45" i="16"/>
  <c r="L102" i="32" s="1"/>
  <c r="AB45" i="16"/>
  <c r="K102" i="32" s="1"/>
  <c r="Y45" i="16"/>
  <c r="J102" i="32" s="1"/>
  <c r="V45" i="16"/>
  <c r="I102" i="32" s="1"/>
  <c r="S45" i="16"/>
  <c r="H102" i="32" s="1"/>
  <c r="P45" i="16"/>
  <c r="G102" i="32" s="1"/>
  <c r="M45" i="16"/>
  <c r="F102" i="32" s="1"/>
  <c r="E102" i="32"/>
  <c r="D102" i="32"/>
  <c r="AK44" i="16"/>
  <c r="N101" i="32" s="1"/>
  <c r="AH44" i="16"/>
  <c r="M101" i="32" s="1"/>
  <c r="AE44" i="16"/>
  <c r="L101" i="32" s="1"/>
  <c r="AB44" i="16"/>
  <c r="K101" i="32" s="1"/>
  <c r="Y44" i="16"/>
  <c r="J101" i="32" s="1"/>
  <c r="V44" i="16"/>
  <c r="I101" i="32" s="1"/>
  <c r="S44" i="16"/>
  <c r="H101" i="32" s="1"/>
  <c r="P44" i="16"/>
  <c r="G101" i="32" s="1"/>
  <c r="M44" i="16"/>
  <c r="F101" i="32" s="1"/>
  <c r="E101" i="32"/>
  <c r="D101" i="32"/>
  <c r="O100" i="32"/>
  <c r="AK43" i="16"/>
  <c r="N100" i="32" s="1"/>
  <c r="AH43" i="16"/>
  <c r="M100" i="32" s="1"/>
  <c r="AE43" i="16"/>
  <c r="L100" i="32" s="1"/>
  <c r="AB43" i="16"/>
  <c r="K100" i="32" s="1"/>
  <c r="Y43" i="16"/>
  <c r="J100" i="32" s="1"/>
  <c r="V43" i="16"/>
  <c r="I100" i="32" s="1"/>
  <c r="S43" i="16"/>
  <c r="H100" i="32" s="1"/>
  <c r="P43" i="16"/>
  <c r="G100" i="32" s="1"/>
  <c r="M43" i="16"/>
  <c r="F100" i="32" s="1"/>
  <c r="E100" i="32"/>
  <c r="D100" i="32"/>
  <c r="O99" i="32"/>
  <c r="AK42" i="16"/>
  <c r="N99" i="32" s="1"/>
  <c r="AH42" i="16"/>
  <c r="M99" i="32" s="1"/>
  <c r="AE42" i="16"/>
  <c r="L99" i="32" s="1"/>
  <c r="AB42" i="16"/>
  <c r="K99" i="32" s="1"/>
  <c r="Y42" i="16"/>
  <c r="J99" i="32" s="1"/>
  <c r="V42" i="16"/>
  <c r="I99" i="32" s="1"/>
  <c r="S42" i="16"/>
  <c r="H99" i="32" s="1"/>
  <c r="P42" i="16"/>
  <c r="G99" i="32" s="1"/>
  <c r="M42" i="16"/>
  <c r="F99" i="32" s="1"/>
  <c r="E99" i="32"/>
  <c r="D99" i="32"/>
  <c r="O98" i="32"/>
  <c r="AK41" i="16"/>
  <c r="N98" i="32" s="1"/>
  <c r="AH41" i="16"/>
  <c r="M98" i="32" s="1"/>
  <c r="AE41" i="16"/>
  <c r="L98" i="32" s="1"/>
  <c r="AB41" i="16"/>
  <c r="K98" i="32" s="1"/>
  <c r="Y41" i="16"/>
  <c r="J98" i="32" s="1"/>
  <c r="V41" i="16"/>
  <c r="I98" i="32" s="1"/>
  <c r="S41" i="16"/>
  <c r="H98" i="32" s="1"/>
  <c r="P41" i="16"/>
  <c r="G98" i="32" s="1"/>
  <c r="M41" i="16"/>
  <c r="F98" i="32" s="1"/>
  <c r="E98" i="32"/>
  <c r="D98" i="32"/>
  <c r="O97" i="32"/>
  <c r="AK40" i="16"/>
  <c r="N97" i="32" s="1"/>
  <c r="AH40" i="16"/>
  <c r="M97" i="32" s="1"/>
  <c r="AE40" i="16"/>
  <c r="L97" i="32" s="1"/>
  <c r="AB40" i="16"/>
  <c r="K97" i="32" s="1"/>
  <c r="Y40" i="16"/>
  <c r="J97" i="32" s="1"/>
  <c r="V40" i="16"/>
  <c r="I97" i="32" s="1"/>
  <c r="S40" i="16"/>
  <c r="H97" i="32" s="1"/>
  <c r="P40" i="16"/>
  <c r="G97" i="32" s="1"/>
  <c r="M40" i="16"/>
  <c r="F97" i="32" s="1"/>
  <c r="E97" i="32"/>
  <c r="D97" i="32"/>
  <c r="AK39" i="16"/>
  <c r="N96" i="32" s="1"/>
  <c r="AH39" i="16"/>
  <c r="M96" i="32" s="1"/>
  <c r="AE39" i="16"/>
  <c r="L96" i="32" s="1"/>
  <c r="AB39" i="16"/>
  <c r="K96" i="32" s="1"/>
  <c r="Y39" i="16"/>
  <c r="J96" i="32" s="1"/>
  <c r="V39" i="16"/>
  <c r="I96" i="32" s="1"/>
  <c r="S39" i="16"/>
  <c r="H96" i="32" s="1"/>
  <c r="P39" i="16"/>
  <c r="G96" i="32" s="1"/>
  <c r="M39" i="16"/>
  <c r="F96" i="32" s="1"/>
  <c r="E96" i="32"/>
  <c r="D96" i="32"/>
  <c r="O95" i="32"/>
  <c r="AK38" i="16"/>
  <c r="N95" i="32" s="1"/>
  <c r="AH38" i="16"/>
  <c r="M95" i="32" s="1"/>
  <c r="AE38" i="16"/>
  <c r="L95" i="32" s="1"/>
  <c r="AB38" i="16"/>
  <c r="K95" i="32" s="1"/>
  <c r="Y38" i="16"/>
  <c r="J95" i="32" s="1"/>
  <c r="V38" i="16"/>
  <c r="I95" i="32" s="1"/>
  <c r="S38" i="16"/>
  <c r="H95" i="32" s="1"/>
  <c r="P38" i="16"/>
  <c r="G95" i="32" s="1"/>
  <c r="M38" i="16"/>
  <c r="F95" i="32" s="1"/>
  <c r="E95" i="32"/>
  <c r="D95" i="32"/>
  <c r="O94" i="32"/>
  <c r="AK37" i="16"/>
  <c r="N94" i="32" s="1"/>
  <c r="AH37" i="16"/>
  <c r="M94" i="32" s="1"/>
  <c r="AE37" i="16"/>
  <c r="L94" i="32" s="1"/>
  <c r="AB37" i="16"/>
  <c r="K94" i="32" s="1"/>
  <c r="Y37" i="16"/>
  <c r="J94" i="32" s="1"/>
  <c r="V37" i="16"/>
  <c r="I94" i="32" s="1"/>
  <c r="S37" i="16"/>
  <c r="H94" i="32" s="1"/>
  <c r="P37" i="16"/>
  <c r="G94" i="32" s="1"/>
  <c r="M37" i="16"/>
  <c r="F94" i="32" s="1"/>
  <c r="E94" i="32"/>
  <c r="D94" i="32"/>
  <c r="O93" i="32"/>
  <c r="AK36" i="16"/>
  <c r="N93" i="32" s="1"/>
  <c r="AH36" i="16"/>
  <c r="M93" i="32" s="1"/>
  <c r="AE36" i="16"/>
  <c r="L93" i="32" s="1"/>
  <c r="AB36" i="16"/>
  <c r="K93" i="32" s="1"/>
  <c r="Y36" i="16"/>
  <c r="J93" i="32" s="1"/>
  <c r="V36" i="16"/>
  <c r="I93" i="32" s="1"/>
  <c r="S36" i="16"/>
  <c r="H93" i="32" s="1"/>
  <c r="P36" i="16"/>
  <c r="G93" i="32" s="1"/>
  <c r="M36" i="16"/>
  <c r="F93" i="32" s="1"/>
  <c r="E93" i="32"/>
  <c r="D93" i="32"/>
  <c r="AK35" i="16"/>
  <c r="N92" i="32" s="1"/>
  <c r="AH35" i="16"/>
  <c r="M92" i="32" s="1"/>
  <c r="AE35" i="16"/>
  <c r="L92" i="32" s="1"/>
  <c r="AB35" i="16"/>
  <c r="K92" i="32" s="1"/>
  <c r="Y35" i="16"/>
  <c r="J92" i="32" s="1"/>
  <c r="V35" i="16"/>
  <c r="I92" i="32" s="1"/>
  <c r="S35" i="16"/>
  <c r="H92" i="32" s="1"/>
  <c r="P35" i="16"/>
  <c r="G92" i="32" s="1"/>
  <c r="M35" i="16"/>
  <c r="F92" i="32" s="1"/>
  <c r="E92" i="32"/>
  <c r="D92" i="32"/>
  <c r="AK34" i="16"/>
  <c r="N91" i="32" s="1"/>
  <c r="AH34" i="16"/>
  <c r="M91" i="32" s="1"/>
  <c r="AE34" i="16"/>
  <c r="L91" i="32" s="1"/>
  <c r="AB34" i="16"/>
  <c r="K91" i="32" s="1"/>
  <c r="Y34" i="16"/>
  <c r="J91" i="32" s="1"/>
  <c r="V34" i="16"/>
  <c r="I91" i="32" s="1"/>
  <c r="S34" i="16"/>
  <c r="H91" i="32" s="1"/>
  <c r="P34" i="16"/>
  <c r="G91" i="32" s="1"/>
  <c r="M34" i="16"/>
  <c r="F91" i="32" s="1"/>
  <c r="E91" i="32"/>
  <c r="D91" i="32"/>
  <c r="C91" i="32"/>
  <c r="AK33" i="16"/>
  <c r="N90" i="32" s="1"/>
  <c r="AH33" i="16"/>
  <c r="M90" i="32" s="1"/>
  <c r="AE33" i="16"/>
  <c r="L90" i="32" s="1"/>
  <c r="AB33" i="16"/>
  <c r="K90" i="32" s="1"/>
  <c r="Y33" i="16"/>
  <c r="J90" i="32" s="1"/>
  <c r="V33" i="16"/>
  <c r="I90" i="32" s="1"/>
  <c r="S33" i="16"/>
  <c r="H90" i="32" s="1"/>
  <c r="P33" i="16"/>
  <c r="G90" i="32" s="1"/>
  <c r="M33" i="16"/>
  <c r="F90" i="32" s="1"/>
  <c r="E90" i="32"/>
  <c r="D90" i="32"/>
  <c r="AK32" i="16"/>
  <c r="N89" i="32" s="1"/>
  <c r="AH32" i="16"/>
  <c r="M89" i="32" s="1"/>
  <c r="AE32" i="16"/>
  <c r="L89" i="32" s="1"/>
  <c r="AB32" i="16"/>
  <c r="K89" i="32" s="1"/>
  <c r="Y32" i="16"/>
  <c r="J89" i="32" s="1"/>
  <c r="V32" i="16"/>
  <c r="I89" i="32" s="1"/>
  <c r="S32" i="16"/>
  <c r="H89" i="32" s="1"/>
  <c r="P32" i="16"/>
  <c r="G89" i="32" s="1"/>
  <c r="M32" i="16"/>
  <c r="F89" i="32" s="1"/>
  <c r="E89" i="32"/>
  <c r="D89" i="32"/>
  <c r="AK31" i="16"/>
  <c r="N88" i="32" s="1"/>
  <c r="AH31" i="16"/>
  <c r="M88" i="32" s="1"/>
  <c r="AE31" i="16"/>
  <c r="L88" i="32" s="1"/>
  <c r="AB31" i="16"/>
  <c r="K88" i="32" s="1"/>
  <c r="Y31" i="16"/>
  <c r="J88" i="32" s="1"/>
  <c r="V31" i="16"/>
  <c r="I88" i="32" s="1"/>
  <c r="S31" i="16"/>
  <c r="H88" i="32" s="1"/>
  <c r="P31" i="16"/>
  <c r="G88" i="32" s="1"/>
  <c r="M31" i="16"/>
  <c r="F88" i="32" s="1"/>
  <c r="E88" i="32"/>
  <c r="D88" i="32"/>
  <c r="O87" i="32"/>
  <c r="AK30" i="16"/>
  <c r="N87" i="32" s="1"/>
  <c r="AH30" i="16"/>
  <c r="M87" i="32" s="1"/>
  <c r="AE30" i="16"/>
  <c r="L87" i="32" s="1"/>
  <c r="AB30" i="16"/>
  <c r="K87" i="32" s="1"/>
  <c r="Y30" i="16"/>
  <c r="J87" i="32" s="1"/>
  <c r="V30" i="16"/>
  <c r="I87" i="32" s="1"/>
  <c r="S30" i="16"/>
  <c r="H87" i="32" s="1"/>
  <c r="P30" i="16"/>
  <c r="G87" i="32" s="1"/>
  <c r="M30" i="16"/>
  <c r="F87" i="32" s="1"/>
  <c r="E87" i="32"/>
  <c r="D87" i="32"/>
  <c r="AK29" i="16"/>
  <c r="N86" i="32" s="1"/>
  <c r="AH29" i="16"/>
  <c r="M86" i="32" s="1"/>
  <c r="AE29" i="16"/>
  <c r="L86" i="32" s="1"/>
  <c r="AB29" i="16"/>
  <c r="K86" i="32" s="1"/>
  <c r="Y29" i="16"/>
  <c r="J86" i="32" s="1"/>
  <c r="V29" i="16"/>
  <c r="I86" i="32" s="1"/>
  <c r="S29" i="16"/>
  <c r="H86" i="32" s="1"/>
  <c r="P29" i="16"/>
  <c r="G86" i="32" s="1"/>
  <c r="M29" i="16"/>
  <c r="F86" i="32" s="1"/>
  <c r="E86" i="32"/>
  <c r="D86" i="32"/>
  <c r="AK28" i="16"/>
  <c r="N85" i="32" s="1"/>
  <c r="AH28" i="16"/>
  <c r="M85" i="32" s="1"/>
  <c r="AE28" i="16"/>
  <c r="L85" i="32" s="1"/>
  <c r="AB28" i="16"/>
  <c r="K85" i="32" s="1"/>
  <c r="Y28" i="16"/>
  <c r="J85" i="32" s="1"/>
  <c r="V28" i="16"/>
  <c r="I85" i="32" s="1"/>
  <c r="S28" i="16"/>
  <c r="H85" i="32" s="1"/>
  <c r="P28" i="16"/>
  <c r="G85" i="32" s="1"/>
  <c r="M28" i="16"/>
  <c r="F85" i="32" s="1"/>
  <c r="E85" i="32"/>
  <c r="D85" i="32"/>
  <c r="O84" i="32"/>
  <c r="AK27" i="16"/>
  <c r="N84" i="32" s="1"/>
  <c r="AH27" i="16"/>
  <c r="M84" i="32" s="1"/>
  <c r="AE27" i="16"/>
  <c r="L84" i="32" s="1"/>
  <c r="AB27" i="16"/>
  <c r="K84" i="32" s="1"/>
  <c r="Y27" i="16"/>
  <c r="J84" i="32" s="1"/>
  <c r="V27" i="16"/>
  <c r="I84" i="32" s="1"/>
  <c r="S27" i="16"/>
  <c r="H84" i="32" s="1"/>
  <c r="P27" i="16"/>
  <c r="G84" i="32" s="1"/>
  <c r="M27" i="16"/>
  <c r="F84" i="32" s="1"/>
  <c r="E84" i="32"/>
  <c r="D84" i="32"/>
  <c r="O83" i="32"/>
  <c r="AK26" i="16"/>
  <c r="N83" i="32" s="1"/>
  <c r="AH26" i="16"/>
  <c r="M83" i="32" s="1"/>
  <c r="AE26" i="16"/>
  <c r="L83" i="32" s="1"/>
  <c r="AB26" i="16"/>
  <c r="K83" i="32" s="1"/>
  <c r="Y26" i="16"/>
  <c r="J83" i="32" s="1"/>
  <c r="V26" i="16"/>
  <c r="I83" i="32" s="1"/>
  <c r="S26" i="16"/>
  <c r="H83" i="32" s="1"/>
  <c r="P26" i="16"/>
  <c r="G83" i="32" s="1"/>
  <c r="M26" i="16"/>
  <c r="F83" i="32" s="1"/>
  <c r="E83" i="32"/>
  <c r="D83" i="32"/>
  <c r="O82" i="32"/>
  <c r="AK25" i="16"/>
  <c r="N82" i="32" s="1"/>
  <c r="AH25" i="16"/>
  <c r="M82" i="32" s="1"/>
  <c r="AE25" i="16"/>
  <c r="L82" i="32" s="1"/>
  <c r="AB25" i="16"/>
  <c r="K82" i="32" s="1"/>
  <c r="Y25" i="16"/>
  <c r="J82" i="32" s="1"/>
  <c r="V25" i="16"/>
  <c r="I82" i="32" s="1"/>
  <c r="S25" i="16"/>
  <c r="H82" i="32" s="1"/>
  <c r="P25" i="16"/>
  <c r="G82" i="32" s="1"/>
  <c r="M25" i="16"/>
  <c r="F82" i="32" s="1"/>
  <c r="E82" i="32"/>
  <c r="D82" i="32"/>
  <c r="AK24" i="16"/>
  <c r="N81" i="32" s="1"/>
  <c r="AH24" i="16"/>
  <c r="M81" i="32" s="1"/>
  <c r="AE24" i="16"/>
  <c r="L81" i="32" s="1"/>
  <c r="AB24" i="16"/>
  <c r="K81" i="32" s="1"/>
  <c r="Y24" i="16"/>
  <c r="J81" i="32" s="1"/>
  <c r="V24" i="16"/>
  <c r="I81" i="32" s="1"/>
  <c r="S24" i="16"/>
  <c r="H81" i="32" s="1"/>
  <c r="P24" i="16"/>
  <c r="G81" i="32" s="1"/>
  <c r="M24" i="16"/>
  <c r="F81" i="32" s="1"/>
  <c r="E81" i="32"/>
  <c r="D81" i="32"/>
  <c r="O80" i="32"/>
  <c r="AK23" i="16"/>
  <c r="N80" i="32" s="1"/>
  <c r="AH23" i="16"/>
  <c r="M80" i="32" s="1"/>
  <c r="AE23" i="16"/>
  <c r="L80" i="32" s="1"/>
  <c r="AB23" i="16"/>
  <c r="K80" i="32" s="1"/>
  <c r="Y23" i="16"/>
  <c r="J80" i="32" s="1"/>
  <c r="V23" i="16"/>
  <c r="I80" i="32" s="1"/>
  <c r="S23" i="16"/>
  <c r="H80" i="32" s="1"/>
  <c r="P23" i="16"/>
  <c r="G80" i="32" s="1"/>
  <c r="M23" i="16"/>
  <c r="F80" i="32" s="1"/>
  <c r="E80" i="32"/>
  <c r="D80" i="32"/>
  <c r="AK22" i="16"/>
  <c r="N79" i="32" s="1"/>
  <c r="AH22" i="16"/>
  <c r="M79" i="32" s="1"/>
  <c r="AE22" i="16"/>
  <c r="L79" i="32" s="1"/>
  <c r="AB22" i="16"/>
  <c r="K79" i="32" s="1"/>
  <c r="Y22" i="16"/>
  <c r="J79" i="32" s="1"/>
  <c r="V22" i="16"/>
  <c r="I79" i="32" s="1"/>
  <c r="S22" i="16"/>
  <c r="H79" i="32" s="1"/>
  <c r="P22" i="16"/>
  <c r="G79" i="32" s="1"/>
  <c r="M22" i="16"/>
  <c r="F79" i="32" s="1"/>
  <c r="E79" i="32"/>
  <c r="D79" i="32"/>
  <c r="O78" i="32"/>
  <c r="AK21" i="16"/>
  <c r="N78" i="32" s="1"/>
  <c r="AH21" i="16"/>
  <c r="M78" i="32" s="1"/>
  <c r="AE21" i="16"/>
  <c r="L78" i="32" s="1"/>
  <c r="AB21" i="16"/>
  <c r="K78" i="32" s="1"/>
  <c r="Y21" i="16"/>
  <c r="J78" i="32" s="1"/>
  <c r="V21" i="16"/>
  <c r="I78" i="32" s="1"/>
  <c r="S21" i="16"/>
  <c r="H78" i="32" s="1"/>
  <c r="P21" i="16"/>
  <c r="G78" i="32" s="1"/>
  <c r="M21" i="16"/>
  <c r="F78" i="32" s="1"/>
  <c r="E78" i="32"/>
  <c r="D78" i="32"/>
  <c r="O77" i="32"/>
  <c r="AK20" i="16"/>
  <c r="N77" i="32" s="1"/>
  <c r="AH20" i="16"/>
  <c r="M77" i="32" s="1"/>
  <c r="AE20" i="16"/>
  <c r="L77" i="32" s="1"/>
  <c r="AB20" i="16"/>
  <c r="K77" i="32" s="1"/>
  <c r="Y20" i="16"/>
  <c r="J77" i="32" s="1"/>
  <c r="V20" i="16"/>
  <c r="I77" i="32" s="1"/>
  <c r="S20" i="16"/>
  <c r="H77" i="32" s="1"/>
  <c r="P20" i="16"/>
  <c r="G77" i="32" s="1"/>
  <c r="M20" i="16"/>
  <c r="F77" i="32" s="1"/>
  <c r="E77" i="32"/>
  <c r="D77" i="32"/>
  <c r="O76" i="32"/>
  <c r="AK19" i="16"/>
  <c r="N76" i="32" s="1"/>
  <c r="AH19" i="16"/>
  <c r="M76" i="32" s="1"/>
  <c r="AE19" i="16"/>
  <c r="L76" i="32" s="1"/>
  <c r="AB19" i="16"/>
  <c r="K76" i="32" s="1"/>
  <c r="Y19" i="16"/>
  <c r="J76" i="32" s="1"/>
  <c r="V19" i="16"/>
  <c r="I76" i="32" s="1"/>
  <c r="S19" i="16"/>
  <c r="H76" i="32" s="1"/>
  <c r="P19" i="16"/>
  <c r="G76" i="32" s="1"/>
  <c r="M19" i="16"/>
  <c r="F76" i="32" s="1"/>
  <c r="E76" i="32"/>
  <c r="D76" i="32"/>
  <c r="O75" i="32"/>
  <c r="AK18" i="16"/>
  <c r="N75" i="32" s="1"/>
  <c r="AH18" i="16"/>
  <c r="M75" i="32" s="1"/>
  <c r="AE18" i="16"/>
  <c r="L75" i="32" s="1"/>
  <c r="AB18" i="16"/>
  <c r="K75" i="32" s="1"/>
  <c r="Y18" i="16"/>
  <c r="J75" i="32" s="1"/>
  <c r="V18" i="16"/>
  <c r="I75" i="32" s="1"/>
  <c r="S18" i="16"/>
  <c r="H75" i="32" s="1"/>
  <c r="P18" i="16"/>
  <c r="G75" i="32" s="1"/>
  <c r="M18" i="16"/>
  <c r="F75" i="32" s="1"/>
  <c r="E75" i="32"/>
  <c r="D75" i="32"/>
  <c r="AK17" i="16"/>
  <c r="N74" i="32" s="1"/>
  <c r="AH17" i="16"/>
  <c r="M74" i="32" s="1"/>
  <c r="AE17" i="16"/>
  <c r="L74" i="32" s="1"/>
  <c r="AB17" i="16"/>
  <c r="K74" i="32" s="1"/>
  <c r="Y17" i="16"/>
  <c r="J74" i="32" s="1"/>
  <c r="V17" i="16"/>
  <c r="I74" i="32" s="1"/>
  <c r="S17" i="16"/>
  <c r="H74" i="32" s="1"/>
  <c r="P17" i="16"/>
  <c r="G74" i="32" s="1"/>
  <c r="M17" i="16"/>
  <c r="F74" i="32" s="1"/>
  <c r="E74" i="32"/>
  <c r="D74" i="32"/>
  <c r="O73" i="32"/>
  <c r="AK16" i="16"/>
  <c r="N73" i="32" s="1"/>
  <c r="AH16" i="16"/>
  <c r="M73" i="32" s="1"/>
  <c r="AE16" i="16"/>
  <c r="L73" i="32" s="1"/>
  <c r="AB16" i="16"/>
  <c r="K73" i="32" s="1"/>
  <c r="Y16" i="16"/>
  <c r="J73" i="32" s="1"/>
  <c r="V16" i="16"/>
  <c r="I73" i="32" s="1"/>
  <c r="S16" i="16"/>
  <c r="H73" i="32" s="1"/>
  <c r="P16" i="16"/>
  <c r="G73" i="32" s="1"/>
  <c r="M16" i="16"/>
  <c r="F73" i="32" s="1"/>
  <c r="E73" i="32"/>
  <c r="D73" i="32"/>
  <c r="O72" i="32"/>
  <c r="AK15" i="16"/>
  <c r="N72" i="32" s="1"/>
  <c r="AH15" i="16"/>
  <c r="M72" i="32" s="1"/>
  <c r="AE15" i="16"/>
  <c r="L72" i="32" s="1"/>
  <c r="AB15" i="16"/>
  <c r="K72" i="32" s="1"/>
  <c r="Y15" i="16"/>
  <c r="J72" i="32" s="1"/>
  <c r="V15" i="16"/>
  <c r="I72" i="32" s="1"/>
  <c r="S15" i="16"/>
  <c r="H72" i="32" s="1"/>
  <c r="P15" i="16"/>
  <c r="G72" i="32" s="1"/>
  <c r="M15" i="16"/>
  <c r="F72" i="32" s="1"/>
  <c r="E72" i="32"/>
  <c r="D72" i="32"/>
  <c r="O71" i="32"/>
  <c r="AK14" i="16"/>
  <c r="N71" i="32" s="1"/>
  <c r="AH14" i="16"/>
  <c r="M71" i="32" s="1"/>
  <c r="AE14" i="16"/>
  <c r="L71" i="32" s="1"/>
  <c r="AB14" i="16"/>
  <c r="K71" i="32" s="1"/>
  <c r="Y14" i="16"/>
  <c r="J71" i="32" s="1"/>
  <c r="V14" i="16"/>
  <c r="I71" i="32" s="1"/>
  <c r="S14" i="16"/>
  <c r="H71" i="32" s="1"/>
  <c r="P14" i="16"/>
  <c r="G71" i="32" s="1"/>
  <c r="M14" i="16"/>
  <c r="F71" i="32" s="1"/>
  <c r="E71" i="32"/>
  <c r="D71" i="32"/>
  <c r="O70" i="32"/>
  <c r="AK13" i="16"/>
  <c r="N70" i="32" s="1"/>
  <c r="AH13" i="16"/>
  <c r="M70" i="32" s="1"/>
  <c r="AE13" i="16"/>
  <c r="L70" i="32" s="1"/>
  <c r="AB13" i="16"/>
  <c r="K70" i="32" s="1"/>
  <c r="Y13" i="16"/>
  <c r="J70" i="32" s="1"/>
  <c r="V13" i="16"/>
  <c r="I70" i="32" s="1"/>
  <c r="S13" i="16"/>
  <c r="H70" i="32" s="1"/>
  <c r="P13" i="16"/>
  <c r="G70" i="32" s="1"/>
  <c r="M13" i="16"/>
  <c r="F70" i="32" s="1"/>
  <c r="E70" i="32"/>
  <c r="D70" i="32"/>
  <c r="AK12" i="16"/>
  <c r="N69" i="32" s="1"/>
  <c r="AH12" i="16"/>
  <c r="M69" i="32" s="1"/>
  <c r="AE12" i="16"/>
  <c r="L69" i="32" s="1"/>
  <c r="AB12" i="16"/>
  <c r="K69" i="32" s="1"/>
  <c r="Y12" i="16"/>
  <c r="J69" i="32" s="1"/>
  <c r="V12" i="16"/>
  <c r="I69" i="32" s="1"/>
  <c r="S12" i="16"/>
  <c r="H69" i="32" s="1"/>
  <c r="P12" i="16"/>
  <c r="G69" i="32" s="1"/>
  <c r="M12" i="16"/>
  <c r="F69" i="32" s="1"/>
  <c r="E69" i="32"/>
  <c r="D69" i="32"/>
  <c r="C69" i="32"/>
  <c r="O68" i="32"/>
  <c r="AK11" i="16"/>
  <c r="N68" i="32" s="1"/>
  <c r="AH11" i="16"/>
  <c r="M68" i="32" s="1"/>
  <c r="AE11" i="16"/>
  <c r="L68" i="32" s="1"/>
  <c r="AB11" i="16"/>
  <c r="K68" i="32" s="1"/>
  <c r="Y11" i="16"/>
  <c r="J68" i="32" s="1"/>
  <c r="V11" i="16"/>
  <c r="I68" i="32" s="1"/>
  <c r="S11" i="16"/>
  <c r="H68" i="32" s="1"/>
  <c r="P11" i="16"/>
  <c r="G68" i="32" s="1"/>
  <c r="M11" i="16"/>
  <c r="F68" i="32" s="1"/>
  <c r="E68" i="32"/>
  <c r="D68" i="32"/>
  <c r="O67" i="32"/>
  <c r="AK10" i="16"/>
  <c r="N67" i="32" s="1"/>
  <c r="AH10" i="16"/>
  <c r="M67" i="32" s="1"/>
  <c r="AE10" i="16"/>
  <c r="L67" i="32" s="1"/>
  <c r="AB10" i="16"/>
  <c r="K67" i="32" s="1"/>
  <c r="Y10" i="16"/>
  <c r="J67" i="32" s="1"/>
  <c r="V10" i="16"/>
  <c r="I67" i="32" s="1"/>
  <c r="S10" i="16"/>
  <c r="H67" i="32" s="1"/>
  <c r="P10" i="16"/>
  <c r="G67" i="32" s="1"/>
  <c r="M10" i="16"/>
  <c r="F67" i="32" s="1"/>
  <c r="E67" i="32"/>
  <c r="D67" i="32"/>
  <c r="AK9" i="16"/>
  <c r="N66" i="32" s="1"/>
  <c r="AH9" i="16"/>
  <c r="M66" i="32" s="1"/>
  <c r="AE9" i="16"/>
  <c r="L66" i="32" s="1"/>
  <c r="AB9" i="16"/>
  <c r="K66" i="32" s="1"/>
  <c r="Y9" i="16"/>
  <c r="J66" i="32" s="1"/>
  <c r="V9" i="16"/>
  <c r="I66" i="32" s="1"/>
  <c r="S9" i="16"/>
  <c r="H66" i="32" s="1"/>
  <c r="P9" i="16"/>
  <c r="G66" i="32" s="1"/>
  <c r="M9" i="16"/>
  <c r="F66" i="32" s="1"/>
  <c r="E66" i="32"/>
  <c r="D66" i="32"/>
  <c r="AK8" i="16"/>
  <c r="N65" i="32" s="1"/>
  <c r="AH8" i="16"/>
  <c r="M65" i="32" s="1"/>
  <c r="AE8" i="16"/>
  <c r="L65" i="32" s="1"/>
  <c r="AB8" i="16"/>
  <c r="K65" i="32" s="1"/>
  <c r="Y8" i="16"/>
  <c r="J65" i="32" s="1"/>
  <c r="V8" i="16"/>
  <c r="I65" i="32" s="1"/>
  <c r="S8" i="16"/>
  <c r="H65" i="32" s="1"/>
  <c r="P8" i="16"/>
  <c r="G65" i="32" s="1"/>
  <c r="M8" i="16"/>
  <c r="F65" i="32" s="1"/>
  <c r="E65" i="32"/>
  <c r="D65" i="32"/>
  <c r="AK7" i="16"/>
  <c r="N64" i="32" s="1"/>
  <c r="AH7" i="16"/>
  <c r="M64" i="32" s="1"/>
  <c r="AE7" i="16"/>
  <c r="L64" i="32" s="1"/>
  <c r="AB7" i="16"/>
  <c r="K64" i="32" s="1"/>
  <c r="Y7" i="16"/>
  <c r="J64" i="32" s="1"/>
  <c r="V7" i="16"/>
  <c r="I64" i="32" s="1"/>
  <c r="S7" i="16"/>
  <c r="H64" i="32" s="1"/>
  <c r="P7" i="16"/>
  <c r="G64" i="32" s="1"/>
  <c r="M7" i="16"/>
  <c r="F64" i="32" s="1"/>
  <c r="E64" i="32"/>
  <c r="D64" i="32"/>
  <c r="C64" i="32"/>
  <c r="O63" i="32"/>
  <c r="AK6" i="16"/>
  <c r="N63" i="32" s="1"/>
  <c r="AH6" i="16"/>
  <c r="M63" i="32" s="1"/>
  <c r="AE6" i="16"/>
  <c r="L63" i="32" s="1"/>
  <c r="AB6" i="16"/>
  <c r="K63" i="32" s="1"/>
  <c r="Y6" i="16"/>
  <c r="J63" i="32" s="1"/>
  <c r="V6" i="16"/>
  <c r="I63" i="32" s="1"/>
  <c r="S6" i="16"/>
  <c r="H63" i="32" s="1"/>
  <c r="P6" i="16"/>
  <c r="G63" i="32" s="1"/>
  <c r="M6" i="16"/>
  <c r="F63" i="32" s="1"/>
  <c r="E63" i="32"/>
  <c r="D63" i="32"/>
  <c r="O62" i="32"/>
  <c r="AK5" i="16"/>
  <c r="N62" i="32" s="1"/>
  <c r="AH5" i="16"/>
  <c r="M62" i="32" s="1"/>
  <c r="AE5" i="16"/>
  <c r="L62" i="32" s="1"/>
  <c r="AB5" i="16"/>
  <c r="K62" i="32" s="1"/>
  <c r="Y5" i="16"/>
  <c r="J62" i="32" s="1"/>
  <c r="V5" i="16"/>
  <c r="I62" i="32" s="1"/>
  <c r="S5" i="16"/>
  <c r="H62" i="32" s="1"/>
  <c r="P5" i="16"/>
  <c r="G62" i="32" s="1"/>
  <c r="M5" i="16"/>
  <c r="F62" i="32" s="1"/>
  <c r="E62" i="32"/>
  <c r="D62" i="32"/>
  <c r="O61" i="32"/>
  <c r="AK4" i="16"/>
  <c r="N61" i="32" s="1"/>
  <c r="AH4" i="16"/>
  <c r="M61" i="32" s="1"/>
  <c r="AE4" i="16"/>
  <c r="L61" i="32" s="1"/>
  <c r="AB4" i="16"/>
  <c r="K61" i="32" s="1"/>
  <c r="Y4" i="16"/>
  <c r="J61" i="32" s="1"/>
  <c r="V4" i="16"/>
  <c r="I61" i="32" s="1"/>
  <c r="S4" i="16"/>
  <c r="H61" i="32" s="1"/>
  <c r="P4" i="16"/>
  <c r="G61" i="32" s="1"/>
  <c r="M4" i="16"/>
  <c r="F61" i="32" s="1"/>
  <c r="E61" i="32"/>
  <c r="D61" i="32"/>
  <c r="C61" i="32"/>
  <c r="AK3" i="16"/>
  <c r="N60" i="32" s="1"/>
  <c r="AH3" i="16"/>
  <c r="M60" i="32" s="1"/>
  <c r="AE3" i="16"/>
  <c r="L60" i="32" s="1"/>
  <c r="AB3" i="16"/>
  <c r="K60" i="32" s="1"/>
  <c r="Y3" i="16"/>
  <c r="J60" i="32" s="1"/>
  <c r="V3" i="16"/>
  <c r="I60" i="32" s="1"/>
  <c r="S3" i="16"/>
  <c r="H60" i="32" s="1"/>
  <c r="P3" i="16"/>
  <c r="G60" i="32" s="1"/>
  <c r="M3" i="16"/>
  <c r="F60" i="32" s="1"/>
  <c r="E60" i="32"/>
  <c r="D60" i="32"/>
  <c r="AK2" i="16"/>
  <c r="N59" i="32" s="1"/>
  <c r="AH2" i="16"/>
  <c r="M59" i="32" s="1"/>
  <c r="AE2" i="16"/>
  <c r="L59" i="32" s="1"/>
  <c r="AB2" i="16"/>
  <c r="K59" i="32" s="1"/>
  <c r="Y2" i="16"/>
  <c r="J59" i="32" s="1"/>
  <c r="V2" i="16"/>
  <c r="I59" i="32" s="1"/>
  <c r="S2" i="16"/>
  <c r="H59" i="32" s="1"/>
  <c r="P2" i="16"/>
  <c r="G59" i="32" s="1"/>
  <c r="M2" i="16"/>
  <c r="F59" i="32" s="1"/>
  <c r="E59" i="32"/>
  <c r="D59" i="32"/>
  <c r="B57" i="16"/>
  <c r="C113" i="32"/>
  <c r="C112" i="32"/>
  <c r="C111" i="32"/>
  <c r="C110" i="32"/>
  <c r="C109" i="32"/>
  <c r="C108" i="32"/>
  <c r="C107" i="32"/>
  <c r="C106" i="32"/>
  <c r="C105" i="32"/>
  <c r="C104" i="32"/>
  <c r="C103" i="32"/>
  <c r="C102" i="32"/>
  <c r="C101" i="32"/>
  <c r="C100" i="32"/>
  <c r="C99" i="32"/>
  <c r="C98" i="32"/>
  <c r="C97" i="32"/>
  <c r="C96" i="32"/>
  <c r="C95" i="32"/>
  <c r="C94" i="32"/>
  <c r="C93" i="32"/>
  <c r="C92" i="32"/>
  <c r="C90" i="32"/>
  <c r="C89" i="32"/>
  <c r="C88" i="32"/>
  <c r="C87" i="32"/>
  <c r="C86" i="32"/>
  <c r="C85" i="32"/>
  <c r="C84" i="32"/>
  <c r="C83" i="32"/>
  <c r="C82" i="32"/>
  <c r="C81" i="32"/>
  <c r="C80" i="32"/>
  <c r="C79" i="32"/>
  <c r="C78" i="32"/>
  <c r="C77" i="32"/>
  <c r="C76" i="32"/>
  <c r="C75" i="32"/>
  <c r="C74" i="32"/>
  <c r="C73" i="32"/>
  <c r="C72" i="32"/>
  <c r="C71" i="32"/>
  <c r="C70" i="32"/>
  <c r="C68" i="32"/>
  <c r="C67" i="32"/>
  <c r="C66" i="32"/>
  <c r="C65" i="32"/>
  <c r="C63" i="32"/>
  <c r="C62" i="32"/>
  <c r="C60" i="32"/>
  <c r="C2" i="16"/>
  <c r="AM2" i="16" s="1"/>
  <c r="AN57" i="17" l="1"/>
  <c r="O171" i="32" s="1"/>
  <c r="AN2" i="16"/>
  <c r="D2" i="16"/>
  <c r="C59" i="32" s="1"/>
  <c r="O64" i="32"/>
  <c r="AO7" i="16"/>
  <c r="O65" i="32"/>
  <c r="AO8" i="16"/>
  <c r="O74" i="32"/>
  <c r="AO17" i="16"/>
  <c r="O69" i="32"/>
  <c r="AO12" i="16"/>
  <c r="AO45" i="16"/>
  <c r="O102" i="32"/>
  <c r="AO29" i="16"/>
  <c r="O86" i="32"/>
  <c r="AO32" i="16"/>
  <c r="O89" i="32"/>
  <c r="AO34" i="16"/>
  <c r="O91" i="32"/>
  <c r="AO39" i="16"/>
  <c r="O96" i="32"/>
  <c r="AO44" i="16"/>
  <c r="O101" i="32"/>
  <c r="AO49" i="16"/>
  <c r="O106" i="32"/>
  <c r="AO35" i="16"/>
  <c r="O92" i="32"/>
  <c r="AO31" i="16"/>
  <c r="O88" i="32"/>
  <c r="AO52" i="16"/>
  <c r="O109" i="32"/>
  <c r="AO9" i="16"/>
  <c r="O66" i="32"/>
  <c r="AO51" i="16"/>
  <c r="O108" i="32"/>
  <c r="AO50" i="16"/>
  <c r="O107" i="32"/>
  <c r="AO22" i="16"/>
  <c r="O79" i="32"/>
  <c r="AO24" i="16"/>
  <c r="O81" i="32"/>
  <c r="AO3" i="16"/>
  <c r="O60" i="32"/>
  <c r="AO28" i="16"/>
  <c r="O85" i="32"/>
  <c r="AO33" i="16"/>
  <c r="O90" i="32"/>
  <c r="AO2" i="17"/>
  <c r="O116" i="32"/>
  <c r="AO48" i="16"/>
  <c r="O105" i="32"/>
  <c r="V57" i="16"/>
  <c r="I114" i="32" s="1"/>
  <c r="AK57" i="16"/>
  <c r="N114" i="32" s="1"/>
  <c r="AE57" i="16"/>
  <c r="L114" i="32" s="1"/>
  <c r="S57" i="16"/>
  <c r="H114" i="32" s="1"/>
  <c r="P57" i="16"/>
  <c r="G114" i="32" s="1"/>
  <c r="Y57" i="16"/>
  <c r="J114" i="32" s="1"/>
  <c r="AB57" i="16"/>
  <c r="K114" i="32" s="1"/>
  <c r="AH57" i="16"/>
  <c r="M114" i="32" s="1"/>
  <c r="C57" i="16"/>
  <c r="D57" i="16" s="1"/>
  <c r="C114" i="32" s="1"/>
  <c r="M57" i="16"/>
  <c r="F114" i="32" s="1"/>
  <c r="G57" i="16"/>
  <c r="D114" i="32" s="1"/>
  <c r="J57" i="16"/>
  <c r="E114" i="32" s="1"/>
  <c r="AO57" i="17" l="1"/>
  <c r="AQ57" i="17" s="1"/>
  <c r="AS57" i="17" s="1"/>
  <c r="AT57" i="17" s="1"/>
  <c r="AM57" i="16"/>
  <c r="AN57" i="16" s="1"/>
  <c r="O114" i="32" s="1"/>
  <c r="J139" i="13"/>
  <c r="J122" i="13"/>
  <c r="J154" i="13"/>
  <c r="J98" i="13"/>
  <c r="J182" i="13"/>
  <c r="J153" i="13"/>
  <c r="J138" i="13"/>
  <c r="J121" i="13"/>
  <c r="J137" i="13"/>
  <c r="J120" i="13"/>
  <c r="J97" i="13"/>
  <c r="J136" i="13"/>
  <c r="J132" i="13"/>
  <c r="J133" i="13"/>
  <c r="J134" i="13"/>
  <c r="J118" i="13"/>
  <c r="J135" i="13"/>
  <c r="J119" i="13"/>
  <c r="J115" i="13"/>
  <c r="J93" i="13"/>
  <c r="J94" i="13"/>
  <c r="J95" i="13"/>
  <c r="J96" i="13"/>
  <c r="J92" i="13"/>
  <c r="J152" i="13"/>
  <c r="J151" i="13"/>
  <c r="J150" i="13"/>
  <c r="J149" i="13"/>
  <c r="AK25" i="3"/>
  <c r="N25" i="32" s="1"/>
  <c r="AO2" i="16" l="1"/>
  <c r="AO57" i="16" s="1"/>
  <c r="O59" i="32"/>
  <c r="AK2" i="3"/>
  <c r="N2" i="32" s="1"/>
  <c r="AK43" i="3"/>
  <c r="N43" i="32" s="1"/>
  <c r="AK23" i="3"/>
  <c r="N23" i="32" s="1"/>
  <c r="AK39" i="3"/>
  <c r="N39" i="32" s="1"/>
  <c r="AK37" i="3"/>
  <c r="N37" i="32" s="1"/>
  <c r="AK12" i="3"/>
  <c r="N12" i="32" s="1"/>
  <c r="AK10" i="3"/>
  <c r="N10" i="32" s="1"/>
  <c r="AK29" i="3"/>
  <c r="N29" i="32" s="1"/>
  <c r="AK24" i="3"/>
  <c r="N24" i="32" s="1"/>
  <c r="AK4" i="3"/>
  <c r="N4" i="32" s="1"/>
  <c r="AK49" i="3"/>
  <c r="N49" i="32" s="1"/>
  <c r="AK28" i="3"/>
  <c r="N28" i="32" s="1"/>
  <c r="AK9" i="3"/>
  <c r="N9" i="32" s="1"/>
  <c r="AK48" i="3"/>
  <c r="N48" i="32" s="1"/>
  <c r="AK8" i="3"/>
  <c r="N8" i="32" s="1"/>
  <c r="AK27" i="3"/>
  <c r="N27" i="32" s="1"/>
  <c r="AK38" i="3"/>
  <c r="N38" i="32" s="1"/>
  <c r="AK47" i="3"/>
  <c r="N47" i="32" s="1"/>
  <c r="AK46" i="3"/>
  <c r="N46" i="32" s="1"/>
  <c r="AK55" i="3"/>
  <c r="N55" i="32" s="1"/>
  <c r="AK54" i="3"/>
  <c r="N54" i="32" s="1"/>
  <c r="AK7" i="3"/>
  <c r="N7" i="32" s="1"/>
  <c r="AK44" i="3"/>
  <c r="N44" i="32" s="1"/>
  <c r="AK26" i="3"/>
  <c r="N26" i="32" s="1"/>
  <c r="AK45" i="3"/>
  <c r="N45" i="32" s="1"/>
  <c r="AK3" i="3"/>
  <c r="N3" i="32" s="1"/>
  <c r="AK56" i="3"/>
  <c r="N56" i="32" s="1"/>
  <c r="AK36" i="3"/>
  <c r="N36" i="32" s="1"/>
  <c r="AK35" i="3"/>
  <c r="N35" i="32" s="1"/>
  <c r="AK53" i="3"/>
  <c r="N53" i="32" s="1"/>
  <c r="AK33" i="3"/>
  <c r="N33" i="32" s="1"/>
  <c r="AK31" i="3"/>
  <c r="N31" i="32" s="1"/>
  <c r="AK6" i="3"/>
  <c r="N6" i="32" s="1"/>
  <c r="AK41" i="3"/>
  <c r="N41" i="32" s="1"/>
  <c r="AK21" i="3"/>
  <c r="N21" i="32" s="1"/>
  <c r="AK20" i="3"/>
  <c r="N20" i="32" s="1"/>
  <c r="AK18" i="3"/>
  <c r="N18" i="32" s="1"/>
  <c r="AK15" i="3"/>
  <c r="N15" i="32" s="1"/>
  <c r="AK13" i="3"/>
  <c r="N13" i="32" s="1"/>
  <c r="AK40" i="3"/>
  <c r="N40" i="32" s="1"/>
  <c r="AK19" i="3"/>
  <c r="N19" i="32" s="1"/>
  <c r="AK17" i="3"/>
  <c r="N17" i="32" s="1"/>
  <c r="AK51" i="3"/>
  <c r="N51" i="32" s="1"/>
  <c r="AK11" i="3"/>
  <c r="N11" i="32" s="1"/>
  <c r="AK50" i="3"/>
  <c r="N50" i="32" s="1"/>
  <c r="AK30" i="3"/>
  <c r="N30" i="32" s="1"/>
  <c r="AK22" i="3"/>
  <c r="N22" i="32" s="1"/>
  <c r="AK14" i="3"/>
  <c r="N14" i="32" s="1"/>
  <c r="AK16" i="3"/>
  <c r="N16" i="32" s="1"/>
  <c r="AK32" i="3"/>
  <c r="N32" i="32" s="1"/>
  <c r="AK34" i="3"/>
  <c r="N34" i="32" s="1"/>
  <c r="AK42" i="3"/>
  <c r="N42" i="32" s="1"/>
  <c r="AK5" i="3"/>
  <c r="N5" i="32" s="1"/>
  <c r="AK52" i="3"/>
  <c r="N52" i="32" s="1"/>
  <c r="O75" i="13"/>
  <c r="O74" i="13"/>
  <c r="O73" i="13"/>
  <c r="O40" i="13"/>
  <c r="O72" i="13"/>
  <c r="O71" i="13"/>
  <c r="O39" i="13"/>
  <c r="O38" i="13"/>
  <c r="O70" i="13"/>
  <c r="O37" i="13"/>
  <c r="O69" i="13"/>
  <c r="O36" i="13"/>
  <c r="O68" i="13"/>
  <c r="AQ57" i="16" l="1"/>
  <c r="O67" i="13"/>
  <c r="O66" i="13" l="1"/>
  <c r="O65" i="13" l="1"/>
  <c r="O64" i="13" l="1"/>
  <c r="O62" i="13" l="1"/>
  <c r="O63" i="13"/>
  <c r="O61" i="13" l="1"/>
  <c r="O59" i="13" l="1"/>
  <c r="O58" i="13"/>
  <c r="E14" i="8" l="1"/>
  <c r="C14" i="47" s="1"/>
  <c r="F14" i="8" l="1"/>
  <c r="H14" i="8" l="1"/>
  <c r="E14" i="47" s="1"/>
  <c r="D14" i="47"/>
  <c r="G14" i="5"/>
  <c r="H13" i="5"/>
  <c r="H12" i="5"/>
  <c r="H11" i="5"/>
  <c r="H10" i="5"/>
  <c r="H9" i="5"/>
  <c r="H8" i="5"/>
  <c r="H7" i="5"/>
  <c r="H6" i="5"/>
  <c r="H5" i="5"/>
  <c r="H4" i="5"/>
  <c r="H3" i="5"/>
  <c r="F14" i="5"/>
  <c r="J14" i="5" s="1"/>
  <c r="AJ57" i="3"/>
  <c r="AI57" i="3"/>
  <c r="AG57" i="3"/>
  <c r="AF57" i="3"/>
  <c r="AD57" i="3"/>
  <c r="AC57" i="3"/>
  <c r="AH56" i="3"/>
  <c r="M56" i="32" s="1"/>
  <c r="AE56" i="3"/>
  <c r="L56" i="32" s="1"/>
  <c r="AB56" i="3"/>
  <c r="K56" i="32" s="1"/>
  <c r="Y56" i="3"/>
  <c r="J56" i="32" s="1"/>
  <c r="V56" i="3"/>
  <c r="I56" i="32" s="1"/>
  <c r="S56" i="3"/>
  <c r="H56" i="32" s="1"/>
  <c r="P56" i="3"/>
  <c r="G56" i="32" s="1"/>
  <c r="F56" i="32"/>
  <c r="E56" i="32"/>
  <c r="D56" i="32"/>
  <c r="C56" i="32"/>
  <c r="AH55" i="3"/>
  <c r="M55" i="32" s="1"/>
  <c r="AE55" i="3"/>
  <c r="L55" i="32" s="1"/>
  <c r="AB55" i="3"/>
  <c r="K55" i="32" s="1"/>
  <c r="Y55" i="3"/>
  <c r="J55" i="32" s="1"/>
  <c r="V55" i="3"/>
  <c r="I55" i="32" s="1"/>
  <c r="S55" i="3"/>
  <c r="H55" i="32" s="1"/>
  <c r="P55" i="3"/>
  <c r="G55" i="32" s="1"/>
  <c r="F55" i="32"/>
  <c r="E55" i="32"/>
  <c r="D55" i="32"/>
  <c r="C55" i="32"/>
  <c r="AH54" i="3"/>
  <c r="M54" i="32" s="1"/>
  <c r="AE54" i="3"/>
  <c r="L54" i="32" s="1"/>
  <c r="V54" i="3"/>
  <c r="I54" i="32" s="1"/>
  <c r="S54" i="3"/>
  <c r="H54" i="32" s="1"/>
  <c r="P54" i="3"/>
  <c r="G54" i="32" s="1"/>
  <c r="F54" i="32"/>
  <c r="E54" i="32"/>
  <c r="D54" i="32"/>
  <c r="C54" i="32"/>
  <c r="AH53" i="3"/>
  <c r="M53" i="32" s="1"/>
  <c r="AE53" i="3"/>
  <c r="L53" i="32" s="1"/>
  <c r="AB53" i="3"/>
  <c r="K53" i="32" s="1"/>
  <c r="Y53" i="3"/>
  <c r="J53" i="32" s="1"/>
  <c r="V53" i="3"/>
  <c r="I53" i="32" s="1"/>
  <c r="S53" i="3"/>
  <c r="H53" i="32" s="1"/>
  <c r="P53" i="3"/>
  <c r="G53" i="32" s="1"/>
  <c r="F53" i="32"/>
  <c r="E53" i="32"/>
  <c r="D53" i="32"/>
  <c r="C53" i="32"/>
  <c r="AH52" i="3"/>
  <c r="M52" i="32" s="1"/>
  <c r="AE52" i="3"/>
  <c r="L52" i="32" s="1"/>
  <c r="AB52" i="3"/>
  <c r="K52" i="32" s="1"/>
  <c r="Y52" i="3"/>
  <c r="J52" i="32" s="1"/>
  <c r="V52" i="3"/>
  <c r="I52" i="32" s="1"/>
  <c r="S52" i="3"/>
  <c r="H52" i="32" s="1"/>
  <c r="P52" i="3"/>
  <c r="G52" i="32" s="1"/>
  <c r="F52" i="32"/>
  <c r="E52" i="32"/>
  <c r="D52" i="32"/>
  <c r="C52" i="32"/>
  <c r="AH51" i="3"/>
  <c r="M51" i="32" s="1"/>
  <c r="AE51" i="3"/>
  <c r="L51" i="32" s="1"/>
  <c r="AO51" i="3"/>
  <c r="V51" i="3"/>
  <c r="I51" i="32" s="1"/>
  <c r="S51" i="3"/>
  <c r="H51" i="32" s="1"/>
  <c r="P51" i="3"/>
  <c r="G51" i="32" s="1"/>
  <c r="F51" i="32"/>
  <c r="E51" i="32"/>
  <c r="D51" i="32"/>
  <c r="C51" i="32"/>
  <c r="AH50" i="3"/>
  <c r="M50" i="32" s="1"/>
  <c r="AE50" i="3"/>
  <c r="L50" i="32" s="1"/>
  <c r="AB50" i="3"/>
  <c r="K50" i="32" s="1"/>
  <c r="Y50" i="3"/>
  <c r="J50" i="32" s="1"/>
  <c r="V50" i="3"/>
  <c r="I50" i="32" s="1"/>
  <c r="S50" i="3"/>
  <c r="H50" i="32" s="1"/>
  <c r="P50" i="3"/>
  <c r="G50" i="32" s="1"/>
  <c r="F50" i="32"/>
  <c r="E50" i="32"/>
  <c r="D50" i="32"/>
  <c r="C50" i="32"/>
  <c r="AH49" i="3"/>
  <c r="M49" i="32" s="1"/>
  <c r="AE49" i="3"/>
  <c r="L49" i="32" s="1"/>
  <c r="AB49" i="3"/>
  <c r="K49" i="32" s="1"/>
  <c r="Y49" i="3"/>
  <c r="J49" i="32" s="1"/>
  <c r="V49" i="3"/>
  <c r="I49" i="32" s="1"/>
  <c r="S49" i="3"/>
  <c r="H49" i="32" s="1"/>
  <c r="P49" i="3"/>
  <c r="G49" i="32" s="1"/>
  <c r="F49" i="32"/>
  <c r="E49" i="32"/>
  <c r="D49" i="32"/>
  <c r="C49" i="32"/>
  <c r="AH48" i="3"/>
  <c r="M48" i="32" s="1"/>
  <c r="AE48" i="3"/>
  <c r="L48" i="32" s="1"/>
  <c r="AO48" i="3"/>
  <c r="V48" i="3"/>
  <c r="I48" i="32" s="1"/>
  <c r="S48" i="3"/>
  <c r="H48" i="32" s="1"/>
  <c r="P48" i="3"/>
  <c r="G48" i="32" s="1"/>
  <c r="F48" i="32"/>
  <c r="E48" i="32"/>
  <c r="D48" i="32"/>
  <c r="C48" i="32"/>
  <c r="AH47" i="3"/>
  <c r="M47" i="32" s="1"/>
  <c r="AE47" i="3"/>
  <c r="L47" i="32" s="1"/>
  <c r="AB47" i="3"/>
  <c r="K47" i="32" s="1"/>
  <c r="Y47" i="3"/>
  <c r="J47" i="32" s="1"/>
  <c r="V47" i="3"/>
  <c r="I47" i="32" s="1"/>
  <c r="S47" i="3"/>
  <c r="H47" i="32" s="1"/>
  <c r="P47" i="3"/>
  <c r="G47" i="32" s="1"/>
  <c r="F47" i="32"/>
  <c r="E47" i="32"/>
  <c r="D47" i="32"/>
  <c r="C47" i="32"/>
  <c r="AH46" i="3"/>
  <c r="M46" i="32" s="1"/>
  <c r="AE46" i="3"/>
  <c r="L46" i="32" s="1"/>
  <c r="AB46" i="3"/>
  <c r="K46" i="32" s="1"/>
  <c r="Y46" i="3"/>
  <c r="J46" i="32" s="1"/>
  <c r="V46" i="3"/>
  <c r="I46" i="32" s="1"/>
  <c r="S46" i="3"/>
  <c r="H46" i="32" s="1"/>
  <c r="P46" i="3"/>
  <c r="G46" i="32" s="1"/>
  <c r="F46" i="32"/>
  <c r="E46" i="32"/>
  <c r="D46" i="32"/>
  <c r="C46" i="32"/>
  <c r="AH45" i="3"/>
  <c r="M45" i="32" s="1"/>
  <c r="AE45" i="3"/>
  <c r="L45" i="32" s="1"/>
  <c r="V45" i="3"/>
  <c r="I45" i="32" s="1"/>
  <c r="S45" i="3"/>
  <c r="H45" i="32" s="1"/>
  <c r="P45" i="3"/>
  <c r="G45" i="32" s="1"/>
  <c r="F45" i="32"/>
  <c r="E45" i="32"/>
  <c r="D45" i="32"/>
  <c r="C45" i="32"/>
  <c r="AH44" i="3"/>
  <c r="M44" i="32" s="1"/>
  <c r="AE44" i="3"/>
  <c r="L44" i="32" s="1"/>
  <c r="AB44" i="3"/>
  <c r="K44" i="32" s="1"/>
  <c r="V44" i="3"/>
  <c r="I44" i="32" s="1"/>
  <c r="S44" i="3"/>
  <c r="H44" i="32" s="1"/>
  <c r="P44" i="3"/>
  <c r="G44" i="32" s="1"/>
  <c r="F44" i="32"/>
  <c r="E44" i="32"/>
  <c r="D44" i="32"/>
  <c r="C44" i="32"/>
  <c r="AH43" i="3"/>
  <c r="M43" i="32" s="1"/>
  <c r="AE43" i="3"/>
  <c r="L43" i="32" s="1"/>
  <c r="Y43" i="3"/>
  <c r="J43" i="32" s="1"/>
  <c r="V43" i="3"/>
  <c r="I43" i="32" s="1"/>
  <c r="S43" i="3"/>
  <c r="H43" i="32" s="1"/>
  <c r="P43" i="3"/>
  <c r="G43" i="32" s="1"/>
  <c r="F43" i="32"/>
  <c r="E43" i="32"/>
  <c r="D43" i="32"/>
  <c r="C43" i="32"/>
  <c r="AH42" i="3"/>
  <c r="M42" i="32" s="1"/>
  <c r="AE42" i="3"/>
  <c r="L42" i="32" s="1"/>
  <c r="AB42" i="3"/>
  <c r="K42" i="32" s="1"/>
  <c r="V42" i="3"/>
  <c r="I42" i="32" s="1"/>
  <c r="S42" i="3"/>
  <c r="H42" i="32" s="1"/>
  <c r="P42" i="3"/>
  <c r="G42" i="32" s="1"/>
  <c r="F42" i="32"/>
  <c r="E42" i="32"/>
  <c r="D42" i="32"/>
  <c r="C42" i="32"/>
  <c r="AH41" i="3"/>
  <c r="M41" i="32" s="1"/>
  <c r="AE41" i="3"/>
  <c r="L41" i="32" s="1"/>
  <c r="Y41" i="3"/>
  <c r="J41" i="32" s="1"/>
  <c r="V41" i="3"/>
  <c r="I41" i="32" s="1"/>
  <c r="S41" i="3"/>
  <c r="H41" i="32" s="1"/>
  <c r="P41" i="3"/>
  <c r="G41" i="32" s="1"/>
  <c r="F41" i="32"/>
  <c r="E41" i="32"/>
  <c r="D41" i="32"/>
  <c r="C41" i="32"/>
  <c r="AH40" i="3"/>
  <c r="M40" i="32" s="1"/>
  <c r="AE40" i="3"/>
  <c r="L40" i="32" s="1"/>
  <c r="AB40" i="3"/>
  <c r="K40" i="32" s="1"/>
  <c r="Y40" i="3"/>
  <c r="J40" i="32" s="1"/>
  <c r="V40" i="3"/>
  <c r="I40" i="32" s="1"/>
  <c r="S40" i="3"/>
  <c r="H40" i="32" s="1"/>
  <c r="P40" i="3"/>
  <c r="G40" i="32" s="1"/>
  <c r="F40" i="32"/>
  <c r="E40" i="32"/>
  <c r="D40" i="32"/>
  <c r="C40" i="32"/>
  <c r="AH39" i="3"/>
  <c r="M39" i="32" s="1"/>
  <c r="AE39" i="3"/>
  <c r="L39" i="32" s="1"/>
  <c r="AB39" i="3"/>
  <c r="K39" i="32" s="1"/>
  <c r="Y39" i="3"/>
  <c r="J39" i="32" s="1"/>
  <c r="V39" i="3"/>
  <c r="I39" i="32" s="1"/>
  <c r="S39" i="3"/>
  <c r="H39" i="32" s="1"/>
  <c r="P39" i="3"/>
  <c r="G39" i="32" s="1"/>
  <c r="F39" i="32"/>
  <c r="E39" i="32"/>
  <c r="D39" i="32"/>
  <c r="C39" i="32"/>
  <c r="AH38" i="3"/>
  <c r="M38" i="32" s="1"/>
  <c r="AE38" i="3"/>
  <c r="L38" i="32" s="1"/>
  <c r="AB38" i="3"/>
  <c r="K38" i="32" s="1"/>
  <c r="Y38" i="3"/>
  <c r="J38" i="32" s="1"/>
  <c r="V38" i="3"/>
  <c r="I38" i="32" s="1"/>
  <c r="S38" i="3"/>
  <c r="H38" i="32" s="1"/>
  <c r="P38" i="3"/>
  <c r="G38" i="32" s="1"/>
  <c r="F38" i="32"/>
  <c r="E38" i="32"/>
  <c r="D38" i="32"/>
  <c r="C38" i="32"/>
  <c r="AH37" i="3"/>
  <c r="M37" i="32" s="1"/>
  <c r="AE37" i="3"/>
  <c r="L37" i="32" s="1"/>
  <c r="Y37" i="3"/>
  <c r="J37" i="32" s="1"/>
  <c r="V37" i="3"/>
  <c r="I37" i="32" s="1"/>
  <c r="S37" i="3"/>
  <c r="H37" i="32" s="1"/>
  <c r="P37" i="3"/>
  <c r="G37" i="32" s="1"/>
  <c r="F37" i="32"/>
  <c r="E37" i="32"/>
  <c r="D37" i="32"/>
  <c r="C37" i="32"/>
  <c r="AH36" i="3"/>
  <c r="M36" i="32" s="1"/>
  <c r="AE36" i="3"/>
  <c r="L36" i="32" s="1"/>
  <c r="Y36" i="3"/>
  <c r="J36" i="32" s="1"/>
  <c r="V36" i="3"/>
  <c r="I36" i="32" s="1"/>
  <c r="S36" i="3"/>
  <c r="H36" i="32" s="1"/>
  <c r="P36" i="3"/>
  <c r="G36" i="32" s="1"/>
  <c r="F36" i="32"/>
  <c r="E36" i="32"/>
  <c r="D36" i="32"/>
  <c r="C36" i="32"/>
  <c r="AH35" i="3"/>
  <c r="M35" i="32" s="1"/>
  <c r="AE35" i="3"/>
  <c r="L35" i="32" s="1"/>
  <c r="AB35" i="3"/>
  <c r="K35" i="32" s="1"/>
  <c r="Y35" i="3"/>
  <c r="J35" i="32" s="1"/>
  <c r="V35" i="3"/>
  <c r="I35" i="32" s="1"/>
  <c r="S35" i="3"/>
  <c r="H35" i="32" s="1"/>
  <c r="P35" i="3"/>
  <c r="G35" i="32" s="1"/>
  <c r="F35" i="32"/>
  <c r="E35" i="32"/>
  <c r="D35" i="32"/>
  <c r="C35" i="32"/>
  <c r="AH34" i="3"/>
  <c r="M34" i="32" s="1"/>
  <c r="AE34" i="3"/>
  <c r="L34" i="32" s="1"/>
  <c r="Y34" i="3"/>
  <c r="J34" i="32" s="1"/>
  <c r="V34" i="3"/>
  <c r="I34" i="32" s="1"/>
  <c r="S34" i="3"/>
  <c r="H34" i="32" s="1"/>
  <c r="P34" i="3"/>
  <c r="G34" i="32" s="1"/>
  <c r="F34" i="32"/>
  <c r="E34" i="32"/>
  <c r="D34" i="32"/>
  <c r="C34" i="32"/>
  <c r="AH33" i="3"/>
  <c r="M33" i="32" s="1"/>
  <c r="AE33" i="3"/>
  <c r="L33" i="32" s="1"/>
  <c r="Y33" i="3"/>
  <c r="J33" i="32" s="1"/>
  <c r="V33" i="3"/>
  <c r="I33" i="32" s="1"/>
  <c r="S33" i="3"/>
  <c r="H33" i="32" s="1"/>
  <c r="P33" i="3"/>
  <c r="G33" i="32" s="1"/>
  <c r="F33" i="32"/>
  <c r="E33" i="32"/>
  <c r="D33" i="32"/>
  <c r="C33" i="32"/>
  <c r="AH32" i="3"/>
  <c r="M32" i="32" s="1"/>
  <c r="AE32" i="3"/>
  <c r="L32" i="32" s="1"/>
  <c r="AB32" i="3"/>
  <c r="K32" i="32" s="1"/>
  <c r="Y32" i="3"/>
  <c r="J32" i="32" s="1"/>
  <c r="V32" i="3"/>
  <c r="I32" i="32" s="1"/>
  <c r="S32" i="3"/>
  <c r="H32" i="32" s="1"/>
  <c r="P32" i="3"/>
  <c r="G32" i="32" s="1"/>
  <c r="F32" i="32"/>
  <c r="E32" i="32"/>
  <c r="D32" i="32"/>
  <c r="C32" i="32"/>
  <c r="AH31" i="3"/>
  <c r="M31" i="32" s="1"/>
  <c r="AE31" i="3"/>
  <c r="L31" i="32" s="1"/>
  <c r="Y31" i="3"/>
  <c r="J31" i="32" s="1"/>
  <c r="V31" i="3"/>
  <c r="I31" i="32" s="1"/>
  <c r="S31" i="3"/>
  <c r="H31" i="32" s="1"/>
  <c r="P31" i="3"/>
  <c r="G31" i="32" s="1"/>
  <c r="F31" i="32"/>
  <c r="E31" i="32"/>
  <c r="D31" i="32"/>
  <c r="C31" i="32"/>
  <c r="AH30" i="3"/>
  <c r="M30" i="32" s="1"/>
  <c r="AE30" i="3"/>
  <c r="L30" i="32" s="1"/>
  <c r="Y30" i="3"/>
  <c r="J30" i="32" s="1"/>
  <c r="V30" i="3"/>
  <c r="I30" i="32" s="1"/>
  <c r="S30" i="3"/>
  <c r="H30" i="32" s="1"/>
  <c r="P30" i="3"/>
  <c r="G30" i="32" s="1"/>
  <c r="F30" i="32"/>
  <c r="E30" i="32"/>
  <c r="D30" i="32"/>
  <c r="C30" i="32"/>
  <c r="AH29" i="3"/>
  <c r="M29" i="32" s="1"/>
  <c r="AE29" i="3"/>
  <c r="L29" i="32" s="1"/>
  <c r="AB29" i="3"/>
  <c r="K29" i="32" s="1"/>
  <c r="Y29" i="3"/>
  <c r="J29" i="32" s="1"/>
  <c r="V29" i="3"/>
  <c r="I29" i="32" s="1"/>
  <c r="S29" i="3"/>
  <c r="H29" i="32" s="1"/>
  <c r="P29" i="3"/>
  <c r="G29" i="32" s="1"/>
  <c r="F29" i="32"/>
  <c r="E29" i="32"/>
  <c r="D29" i="32"/>
  <c r="C29" i="32"/>
  <c r="AH28" i="3"/>
  <c r="M28" i="32" s="1"/>
  <c r="AE28" i="3"/>
  <c r="L28" i="32" s="1"/>
  <c r="Y28" i="3"/>
  <c r="J28" i="32" s="1"/>
  <c r="V28" i="3"/>
  <c r="I28" i="32" s="1"/>
  <c r="S28" i="3"/>
  <c r="H28" i="32" s="1"/>
  <c r="P28" i="3"/>
  <c r="G28" i="32" s="1"/>
  <c r="F28" i="32"/>
  <c r="E28" i="32"/>
  <c r="D28" i="32"/>
  <c r="C28" i="32"/>
  <c r="AH27" i="3"/>
  <c r="M27" i="32" s="1"/>
  <c r="AE27" i="3"/>
  <c r="L27" i="32" s="1"/>
  <c r="Y27" i="3"/>
  <c r="J27" i="32" s="1"/>
  <c r="V27" i="3"/>
  <c r="I27" i="32" s="1"/>
  <c r="S27" i="3"/>
  <c r="H27" i="32" s="1"/>
  <c r="P27" i="3"/>
  <c r="G27" i="32" s="1"/>
  <c r="F27" i="32"/>
  <c r="E27" i="32"/>
  <c r="D27" i="32"/>
  <c r="C27" i="32"/>
  <c r="AH26" i="3"/>
  <c r="M26" i="32" s="1"/>
  <c r="AE26" i="3"/>
  <c r="L26" i="32" s="1"/>
  <c r="AB26" i="3"/>
  <c r="K26" i="32" s="1"/>
  <c r="Y26" i="3"/>
  <c r="J26" i="32" s="1"/>
  <c r="V26" i="3"/>
  <c r="I26" i="32" s="1"/>
  <c r="S26" i="3"/>
  <c r="H26" i="32" s="1"/>
  <c r="P26" i="3"/>
  <c r="G26" i="32" s="1"/>
  <c r="F26" i="32"/>
  <c r="E26" i="32"/>
  <c r="D26" i="32"/>
  <c r="C26" i="32"/>
  <c r="AH25" i="3"/>
  <c r="M25" i="32" s="1"/>
  <c r="AE25" i="3"/>
  <c r="L25" i="32" s="1"/>
  <c r="Y25" i="3"/>
  <c r="J25" i="32" s="1"/>
  <c r="V25" i="3"/>
  <c r="I25" i="32" s="1"/>
  <c r="S25" i="3"/>
  <c r="H25" i="32" s="1"/>
  <c r="P25" i="3"/>
  <c r="G25" i="32" s="1"/>
  <c r="F25" i="32"/>
  <c r="E25" i="32"/>
  <c r="D25" i="32"/>
  <c r="C25" i="32"/>
  <c r="AH24" i="3"/>
  <c r="M24" i="32" s="1"/>
  <c r="AE24" i="3"/>
  <c r="L24" i="32" s="1"/>
  <c r="Y24" i="3"/>
  <c r="J24" i="32" s="1"/>
  <c r="V24" i="3"/>
  <c r="I24" i="32" s="1"/>
  <c r="S24" i="3"/>
  <c r="H24" i="32" s="1"/>
  <c r="P24" i="3"/>
  <c r="G24" i="32" s="1"/>
  <c r="F24" i="32"/>
  <c r="E24" i="32"/>
  <c r="D24" i="32"/>
  <c r="C24" i="32"/>
  <c r="AH23" i="3"/>
  <c r="M23" i="32" s="1"/>
  <c r="AE23" i="3"/>
  <c r="L23" i="32" s="1"/>
  <c r="AB23" i="3"/>
  <c r="K23" i="32" s="1"/>
  <c r="Y23" i="3"/>
  <c r="J23" i="32" s="1"/>
  <c r="V23" i="3"/>
  <c r="I23" i="32" s="1"/>
  <c r="S23" i="3"/>
  <c r="H23" i="32" s="1"/>
  <c r="P23" i="3"/>
  <c r="G23" i="32" s="1"/>
  <c r="F23" i="32"/>
  <c r="E23" i="32"/>
  <c r="D23" i="32"/>
  <c r="C23" i="32"/>
  <c r="AH22" i="3"/>
  <c r="M22" i="32" s="1"/>
  <c r="AE22" i="3"/>
  <c r="L22" i="32" s="1"/>
  <c r="Y22" i="3"/>
  <c r="J22" i="32" s="1"/>
  <c r="V22" i="3"/>
  <c r="I22" i="32" s="1"/>
  <c r="S22" i="3"/>
  <c r="H22" i="32" s="1"/>
  <c r="P22" i="3"/>
  <c r="G22" i="32" s="1"/>
  <c r="F22" i="32"/>
  <c r="E22" i="32"/>
  <c r="D22" i="32"/>
  <c r="C22" i="32"/>
  <c r="AH21" i="3"/>
  <c r="M21" i="32" s="1"/>
  <c r="AE21" i="3"/>
  <c r="L21" i="32" s="1"/>
  <c r="Y21" i="3"/>
  <c r="J21" i="32" s="1"/>
  <c r="V21" i="3"/>
  <c r="I21" i="32" s="1"/>
  <c r="S21" i="3"/>
  <c r="H21" i="32" s="1"/>
  <c r="P21" i="3"/>
  <c r="G21" i="32" s="1"/>
  <c r="F21" i="32"/>
  <c r="E21" i="32"/>
  <c r="D21" i="32"/>
  <c r="C21" i="32"/>
  <c r="AH20" i="3"/>
  <c r="M20" i="32" s="1"/>
  <c r="AE20" i="3"/>
  <c r="L20" i="32" s="1"/>
  <c r="AB20" i="3"/>
  <c r="K20" i="32" s="1"/>
  <c r="Y20" i="3"/>
  <c r="J20" i="32" s="1"/>
  <c r="V20" i="3"/>
  <c r="I20" i="32" s="1"/>
  <c r="S20" i="3"/>
  <c r="H20" i="32" s="1"/>
  <c r="P20" i="3"/>
  <c r="G20" i="32" s="1"/>
  <c r="F20" i="32"/>
  <c r="E20" i="32"/>
  <c r="D20" i="32"/>
  <c r="C20" i="32"/>
  <c r="AH19" i="3"/>
  <c r="M19" i="32" s="1"/>
  <c r="AE19" i="3"/>
  <c r="L19" i="32" s="1"/>
  <c r="Y19" i="3"/>
  <c r="J19" i="32" s="1"/>
  <c r="V19" i="3"/>
  <c r="I19" i="32" s="1"/>
  <c r="S19" i="3"/>
  <c r="H19" i="32" s="1"/>
  <c r="P19" i="3"/>
  <c r="G19" i="32" s="1"/>
  <c r="F19" i="32"/>
  <c r="E19" i="32"/>
  <c r="D19" i="32"/>
  <c r="C19" i="32"/>
  <c r="AH18" i="3"/>
  <c r="M18" i="32" s="1"/>
  <c r="AE18" i="3"/>
  <c r="L18" i="32" s="1"/>
  <c r="Y18" i="3"/>
  <c r="J18" i="32" s="1"/>
  <c r="V18" i="3"/>
  <c r="I18" i="32" s="1"/>
  <c r="S18" i="3"/>
  <c r="H18" i="32" s="1"/>
  <c r="P18" i="3"/>
  <c r="G18" i="32" s="1"/>
  <c r="F18" i="32"/>
  <c r="E18" i="32"/>
  <c r="D18" i="32"/>
  <c r="C18" i="32"/>
  <c r="AH17" i="3"/>
  <c r="M17" i="32" s="1"/>
  <c r="AE17" i="3"/>
  <c r="L17" i="32" s="1"/>
  <c r="AB17" i="3"/>
  <c r="K17" i="32" s="1"/>
  <c r="Y17" i="3"/>
  <c r="J17" i="32" s="1"/>
  <c r="V17" i="3"/>
  <c r="I17" i="32" s="1"/>
  <c r="S17" i="3"/>
  <c r="H17" i="32" s="1"/>
  <c r="P17" i="3"/>
  <c r="G17" i="32" s="1"/>
  <c r="F17" i="32"/>
  <c r="E17" i="32"/>
  <c r="D17" i="32"/>
  <c r="C17" i="32"/>
  <c r="AH16" i="3"/>
  <c r="M16" i="32" s="1"/>
  <c r="AE16" i="3"/>
  <c r="L16" i="32" s="1"/>
  <c r="Y16" i="3"/>
  <c r="J16" i="32" s="1"/>
  <c r="V16" i="3"/>
  <c r="I16" i="32" s="1"/>
  <c r="S16" i="3"/>
  <c r="H16" i="32" s="1"/>
  <c r="P16" i="3"/>
  <c r="G16" i="32" s="1"/>
  <c r="F16" i="32"/>
  <c r="E16" i="32"/>
  <c r="D16" i="32"/>
  <c r="C16" i="32"/>
  <c r="AH15" i="3"/>
  <c r="M15" i="32" s="1"/>
  <c r="AE15" i="3"/>
  <c r="L15" i="32" s="1"/>
  <c r="Y15" i="3"/>
  <c r="J15" i="32" s="1"/>
  <c r="V15" i="3"/>
  <c r="I15" i="32" s="1"/>
  <c r="S15" i="3"/>
  <c r="H15" i="32" s="1"/>
  <c r="P15" i="3"/>
  <c r="G15" i="32" s="1"/>
  <c r="F15" i="32"/>
  <c r="E15" i="32"/>
  <c r="D15" i="32"/>
  <c r="C15" i="32"/>
  <c r="AH14" i="3"/>
  <c r="M14" i="32" s="1"/>
  <c r="AE14" i="3"/>
  <c r="L14" i="32" s="1"/>
  <c r="AB14" i="3"/>
  <c r="K14" i="32" s="1"/>
  <c r="Y14" i="3"/>
  <c r="J14" i="32" s="1"/>
  <c r="V14" i="3"/>
  <c r="I14" i="32" s="1"/>
  <c r="S14" i="3"/>
  <c r="H14" i="32" s="1"/>
  <c r="P14" i="3"/>
  <c r="G14" i="32" s="1"/>
  <c r="F14" i="32"/>
  <c r="E14" i="32"/>
  <c r="D14" i="32"/>
  <c r="C14" i="32"/>
  <c r="AH13" i="3"/>
  <c r="M13" i="32" s="1"/>
  <c r="AE13" i="3"/>
  <c r="L13" i="32" s="1"/>
  <c r="Y13" i="3"/>
  <c r="J13" i="32" s="1"/>
  <c r="V13" i="3"/>
  <c r="I13" i="32" s="1"/>
  <c r="S13" i="3"/>
  <c r="H13" i="32" s="1"/>
  <c r="P13" i="3"/>
  <c r="G13" i="32" s="1"/>
  <c r="F13" i="32"/>
  <c r="E13" i="32"/>
  <c r="D13" i="32"/>
  <c r="C13" i="32"/>
  <c r="AH12" i="3"/>
  <c r="M12" i="32" s="1"/>
  <c r="AE12" i="3"/>
  <c r="L12" i="32" s="1"/>
  <c r="Y12" i="3"/>
  <c r="J12" i="32" s="1"/>
  <c r="V12" i="3"/>
  <c r="I12" i="32" s="1"/>
  <c r="S12" i="3"/>
  <c r="H12" i="32" s="1"/>
  <c r="P12" i="3"/>
  <c r="G12" i="32" s="1"/>
  <c r="F12" i="32"/>
  <c r="E12" i="32"/>
  <c r="D12" i="32"/>
  <c r="C12" i="32"/>
  <c r="AH11" i="3"/>
  <c r="M11" i="32" s="1"/>
  <c r="AE11" i="3"/>
  <c r="L11" i="32" s="1"/>
  <c r="AB11" i="3"/>
  <c r="K11" i="32" s="1"/>
  <c r="Y11" i="3"/>
  <c r="J11" i="32" s="1"/>
  <c r="V11" i="3"/>
  <c r="I11" i="32" s="1"/>
  <c r="S11" i="3"/>
  <c r="H11" i="32" s="1"/>
  <c r="P11" i="3"/>
  <c r="G11" i="32" s="1"/>
  <c r="F11" i="32"/>
  <c r="E11" i="32"/>
  <c r="D11" i="32"/>
  <c r="C11" i="32"/>
  <c r="AH10" i="3"/>
  <c r="M10" i="32" s="1"/>
  <c r="AE10" i="3"/>
  <c r="L10" i="32" s="1"/>
  <c r="Y10" i="3"/>
  <c r="J10" i="32" s="1"/>
  <c r="V10" i="3"/>
  <c r="I10" i="32" s="1"/>
  <c r="S10" i="3"/>
  <c r="H10" i="32" s="1"/>
  <c r="P10" i="3"/>
  <c r="G10" i="32" s="1"/>
  <c r="F10" i="32"/>
  <c r="E10" i="32"/>
  <c r="D10" i="32"/>
  <c r="C10" i="32"/>
  <c r="AH9" i="3"/>
  <c r="M9" i="32" s="1"/>
  <c r="AE9" i="3"/>
  <c r="L9" i="32" s="1"/>
  <c r="Y9" i="3"/>
  <c r="J9" i="32" s="1"/>
  <c r="V9" i="3"/>
  <c r="I9" i="32" s="1"/>
  <c r="S9" i="3"/>
  <c r="H9" i="32" s="1"/>
  <c r="P9" i="3"/>
  <c r="G9" i="32" s="1"/>
  <c r="F9" i="32"/>
  <c r="E9" i="32"/>
  <c r="D9" i="32"/>
  <c r="C9" i="32"/>
  <c r="AH8" i="3"/>
  <c r="M8" i="32" s="1"/>
  <c r="AE8" i="3"/>
  <c r="L8" i="32" s="1"/>
  <c r="AB8" i="3"/>
  <c r="K8" i="32" s="1"/>
  <c r="Y8" i="3"/>
  <c r="J8" i="32" s="1"/>
  <c r="V8" i="3"/>
  <c r="I8" i="32" s="1"/>
  <c r="S8" i="3"/>
  <c r="H8" i="32" s="1"/>
  <c r="P8" i="3"/>
  <c r="G8" i="32" s="1"/>
  <c r="F8" i="32"/>
  <c r="E8" i="32"/>
  <c r="D8" i="32"/>
  <c r="C8" i="32"/>
  <c r="AH7" i="3"/>
  <c r="M7" i="32" s="1"/>
  <c r="AE7" i="3"/>
  <c r="L7" i="32" s="1"/>
  <c r="AB7" i="3"/>
  <c r="K7" i="32" s="1"/>
  <c r="Y7" i="3"/>
  <c r="J7" i="32" s="1"/>
  <c r="V7" i="3"/>
  <c r="I7" i="32" s="1"/>
  <c r="S7" i="3"/>
  <c r="H7" i="32" s="1"/>
  <c r="P7" i="3"/>
  <c r="G7" i="32" s="1"/>
  <c r="F7" i="32"/>
  <c r="E7" i="32"/>
  <c r="D7" i="32"/>
  <c r="C7" i="32"/>
  <c r="AH6" i="3"/>
  <c r="M6" i="32" s="1"/>
  <c r="AE6" i="3"/>
  <c r="L6" i="32" s="1"/>
  <c r="Y6" i="3"/>
  <c r="J6" i="32" s="1"/>
  <c r="V6" i="3"/>
  <c r="I6" i="32" s="1"/>
  <c r="S6" i="3"/>
  <c r="H6" i="32" s="1"/>
  <c r="P6" i="3"/>
  <c r="G6" i="32" s="1"/>
  <c r="F6" i="32"/>
  <c r="E6" i="32"/>
  <c r="D6" i="32"/>
  <c r="C6" i="32"/>
  <c r="AH5" i="3"/>
  <c r="M5" i="32" s="1"/>
  <c r="AE5" i="3"/>
  <c r="L5" i="32" s="1"/>
  <c r="AB5" i="3"/>
  <c r="K5" i="32" s="1"/>
  <c r="Y5" i="3"/>
  <c r="J5" i="32" s="1"/>
  <c r="V5" i="3"/>
  <c r="I5" i="32" s="1"/>
  <c r="S5" i="3"/>
  <c r="H5" i="32" s="1"/>
  <c r="P5" i="3"/>
  <c r="G5" i="32" s="1"/>
  <c r="F5" i="32"/>
  <c r="E5" i="32"/>
  <c r="D5" i="32"/>
  <c r="AH4" i="3"/>
  <c r="M4" i="32" s="1"/>
  <c r="AE4" i="3"/>
  <c r="L4" i="32" s="1"/>
  <c r="Y4" i="3"/>
  <c r="J4" i="32" s="1"/>
  <c r="V4" i="3"/>
  <c r="I4" i="32" s="1"/>
  <c r="S4" i="3"/>
  <c r="H4" i="32" s="1"/>
  <c r="P4" i="3"/>
  <c r="G4" i="32" s="1"/>
  <c r="F4" i="32"/>
  <c r="E4" i="32"/>
  <c r="D4" i="32"/>
  <c r="AH3" i="3"/>
  <c r="M3" i="32" s="1"/>
  <c r="AE3" i="3"/>
  <c r="L3" i="32" s="1"/>
  <c r="AB3" i="3"/>
  <c r="K3" i="32" s="1"/>
  <c r="Y3" i="3"/>
  <c r="J3" i="32" s="1"/>
  <c r="S3" i="3"/>
  <c r="H3" i="32" s="1"/>
  <c r="P3" i="3"/>
  <c r="G3" i="32" s="1"/>
  <c r="L57" i="3"/>
  <c r="F3" i="32"/>
  <c r="E3" i="32"/>
  <c r="D3" i="32"/>
  <c r="C3" i="32"/>
  <c r="AH2" i="3"/>
  <c r="M2" i="32" s="1"/>
  <c r="AE2" i="3"/>
  <c r="L2" i="32" s="1"/>
  <c r="AB2" i="3"/>
  <c r="K2" i="32" s="1"/>
  <c r="O57" i="3"/>
  <c r="K57" i="3"/>
  <c r="F57" i="3"/>
  <c r="E57" i="3"/>
  <c r="C2" i="32"/>
  <c r="O40" i="32" l="1"/>
  <c r="O54" i="32"/>
  <c r="O6" i="32"/>
  <c r="O48" i="32"/>
  <c r="O51" i="32"/>
  <c r="AO3" i="3"/>
  <c r="O3" i="32"/>
  <c r="AH57" i="3"/>
  <c r="M57" i="32" s="1"/>
  <c r="AE57" i="3"/>
  <c r="L57" i="32" s="1"/>
  <c r="H14" i="5"/>
  <c r="G57" i="3"/>
  <c r="D57" i="32" s="1"/>
  <c r="H2" i="5"/>
  <c r="T57" i="3"/>
  <c r="V2" i="3"/>
  <c r="I2" i="32" s="1"/>
  <c r="B57" i="3"/>
  <c r="D2" i="32"/>
  <c r="AO24" i="3"/>
  <c r="AO33" i="3"/>
  <c r="AA57" i="3"/>
  <c r="AB10" i="3"/>
  <c r="K10" i="32" s="1"/>
  <c r="AB19" i="3"/>
  <c r="K19" i="32" s="1"/>
  <c r="AB37" i="3"/>
  <c r="K37" i="32" s="1"/>
  <c r="H57" i="3"/>
  <c r="F2" i="32"/>
  <c r="R57" i="3"/>
  <c r="W57" i="3"/>
  <c r="V3" i="3"/>
  <c r="I3" i="32" s="1"/>
  <c r="AB13" i="3"/>
  <c r="K13" i="32" s="1"/>
  <c r="AO22" i="3"/>
  <c r="AB22" i="3"/>
  <c r="K22" i="32" s="1"/>
  <c r="AO31" i="3"/>
  <c r="AB31" i="3"/>
  <c r="K31" i="32" s="1"/>
  <c r="M57" i="3"/>
  <c r="F57" i="32" s="1"/>
  <c r="P2" i="3"/>
  <c r="G2" i="32" s="1"/>
  <c r="X57" i="3"/>
  <c r="AB6" i="3"/>
  <c r="K6" i="32" s="1"/>
  <c r="AO9" i="3"/>
  <c r="AB48" i="3"/>
  <c r="K48" i="32" s="1"/>
  <c r="AO28" i="3"/>
  <c r="AB28" i="3"/>
  <c r="K28" i="32" s="1"/>
  <c r="I57" i="3"/>
  <c r="S2" i="3"/>
  <c r="H2" i="32" s="1"/>
  <c r="E2" i="32"/>
  <c r="N57" i="3"/>
  <c r="P57" i="3" s="1"/>
  <c r="G57" i="32" s="1"/>
  <c r="Y2" i="3"/>
  <c r="J2" i="32" s="1"/>
  <c r="AB4" i="3"/>
  <c r="K4" i="32" s="1"/>
  <c r="AB16" i="3"/>
  <c r="K16" i="32" s="1"/>
  <c r="AB25" i="3"/>
  <c r="K25" i="32" s="1"/>
  <c r="AO34" i="3"/>
  <c r="AB34" i="3"/>
  <c r="K34" i="32" s="1"/>
  <c r="C57" i="3"/>
  <c r="U57" i="3"/>
  <c r="AO17" i="3"/>
  <c r="AO29" i="3"/>
  <c r="AO32" i="3"/>
  <c r="AO35" i="3"/>
  <c r="Q57" i="3"/>
  <c r="Z57" i="3"/>
  <c r="AB9" i="3"/>
  <c r="K9" i="32" s="1"/>
  <c r="AB12" i="3"/>
  <c r="K12" i="32" s="1"/>
  <c r="AB15" i="3"/>
  <c r="K15" i="32" s="1"/>
  <c r="AB18" i="3"/>
  <c r="K18" i="32" s="1"/>
  <c r="AB21" i="3"/>
  <c r="K21" i="32" s="1"/>
  <c r="AB24" i="3"/>
  <c r="K24" i="32" s="1"/>
  <c r="AB27" i="3"/>
  <c r="K27" i="32" s="1"/>
  <c r="AB30" i="3"/>
  <c r="K30" i="32" s="1"/>
  <c r="AB33" i="3"/>
  <c r="K33" i="32" s="1"/>
  <c r="AB36" i="3"/>
  <c r="K36" i="32" s="1"/>
  <c r="AB41" i="3"/>
  <c r="K41" i="32" s="1"/>
  <c r="Y42" i="3"/>
  <c r="J42" i="32" s="1"/>
  <c r="AB43" i="3"/>
  <c r="K43" i="32" s="1"/>
  <c r="Y44" i="3"/>
  <c r="J44" i="32" s="1"/>
  <c r="AO45" i="3"/>
  <c r="Y45" i="3"/>
  <c r="J45" i="32" s="1"/>
  <c r="AK57" i="3"/>
  <c r="N57" i="32" s="1"/>
  <c r="AB45" i="3"/>
  <c r="K45" i="32" s="1"/>
  <c r="AB54" i="3"/>
  <c r="K54" i="32" s="1"/>
  <c r="AO39" i="3"/>
  <c r="AO44" i="3"/>
  <c r="AB51" i="3"/>
  <c r="K51" i="32" s="1"/>
  <c r="AO50" i="3"/>
  <c r="AO49" i="3"/>
  <c r="AO52" i="3"/>
  <c r="Y48" i="3"/>
  <c r="J48" i="32" s="1"/>
  <c r="Y51" i="3"/>
  <c r="J51" i="32" s="1"/>
  <c r="Y54" i="3"/>
  <c r="J54" i="32" s="1"/>
  <c r="O46" i="32" l="1"/>
  <c r="O26" i="32"/>
  <c r="O17" i="32"/>
  <c r="O27" i="32"/>
  <c r="O19" i="32"/>
  <c r="O15" i="32"/>
  <c r="O56" i="32"/>
  <c r="O53" i="32"/>
  <c r="O36" i="32"/>
  <c r="O5" i="32"/>
  <c r="O41" i="32"/>
  <c r="O16" i="32"/>
  <c r="O30" i="32"/>
  <c r="O12" i="32"/>
  <c r="AO12" i="3"/>
  <c r="O55" i="32"/>
  <c r="O25" i="32"/>
  <c r="O21" i="32"/>
  <c r="O23" i="32"/>
  <c r="O20" i="32"/>
  <c r="O13" i="32"/>
  <c r="O14" i="32"/>
  <c r="O11" i="32"/>
  <c r="O8" i="32"/>
  <c r="AO8" i="3"/>
  <c r="O47" i="32"/>
  <c r="O18" i="32"/>
  <c r="O37" i="32"/>
  <c r="O4" i="32"/>
  <c r="O43" i="32"/>
  <c r="O10" i="32"/>
  <c r="O42" i="32"/>
  <c r="O38" i="32"/>
  <c r="O7" i="32"/>
  <c r="AO7" i="3"/>
  <c r="O29" i="32"/>
  <c r="O31" i="32"/>
  <c r="O33" i="32"/>
  <c r="O52" i="32"/>
  <c r="O32" i="32"/>
  <c r="O22" i="32"/>
  <c r="O49" i="32"/>
  <c r="O24" i="32"/>
  <c r="O9" i="32"/>
  <c r="O45" i="32"/>
  <c r="O28" i="32"/>
  <c r="O50" i="32"/>
  <c r="O44" i="32"/>
  <c r="O34" i="32"/>
  <c r="O35" i="32"/>
  <c r="O39" i="32"/>
  <c r="V57" i="3"/>
  <c r="I57" i="32" s="1"/>
  <c r="S57" i="3"/>
  <c r="H57" i="32" s="1"/>
  <c r="J57" i="3"/>
  <c r="E57" i="32" s="1"/>
  <c r="AB57" i="3"/>
  <c r="K57" i="32" s="1"/>
  <c r="AN57" i="3"/>
  <c r="O57" i="32" s="1"/>
  <c r="Y57" i="3"/>
  <c r="J57" i="32" s="1"/>
  <c r="D57" i="3"/>
  <c r="C57" i="32" s="1"/>
  <c r="AO2" i="3" l="1"/>
  <c r="AO57" i="3" s="1"/>
  <c r="AQ57" i="3" s="1"/>
  <c r="O2" i="32"/>
  <c r="Q2" i="32" s="1" a="1"/>
  <c r="I116" i="13"/>
  <c r="J116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<sst xmlns="http://schemas.openxmlformats.org/spreadsheetml/2006/main" count="2700" uniqueCount="356">
  <si>
    <t>% CUMPLIMIENTO</t>
  </si>
  <si>
    <t>TOTAL ESPECIALIDADES</t>
  </si>
  <si>
    <t>NUMERADOR</t>
  </si>
  <si>
    <t>DENOMINADOR</t>
  </si>
  <si>
    <t>TOTAL AÑO</t>
  </si>
  <si>
    <t>META</t>
  </si>
  <si>
    <t>MES</t>
  </si>
  <si>
    <t>TOTAL</t>
  </si>
  <si>
    <t>N° TOTAL CMA</t>
  </si>
  <si>
    <t>N° TOTAL CM ELECTIVA</t>
  </si>
  <si>
    <t>Resultado indicador</t>
  </si>
  <si>
    <t>N° COMGES</t>
  </si>
  <si>
    <t>INDICADOR</t>
  </si>
  <si>
    <t>N° INDICADOR</t>
  </si>
  <si>
    <t>LINEA BASE</t>
  </si>
  <si>
    <t>% Total suspension</t>
  </si>
  <si>
    <t>Meta Total suspensión</t>
  </si>
  <si>
    <t>&lt;=6,5%</t>
  </si>
  <si>
    <t>N° TOTAL CX suspendidas</t>
  </si>
  <si>
    <t>Compromiso de Gestión</t>
  </si>
  <si>
    <t>META ESPERADA</t>
  </si>
  <si>
    <t>1.1</t>
  </si>
  <si>
    <t>DIAS A DISMINUIR</t>
  </si>
  <si>
    <t>% AVANCE</t>
  </si>
  <si>
    <t>Porcentaje de cumplimiento de la meta de disminución de días de mediana de espera para Consulta nueva de especialidad médica.</t>
  </si>
  <si>
    <t>45% I CORTE - 100% II CORTE</t>
  </si>
  <si>
    <t>LISTA ESPERA</t>
  </si>
  <si>
    <t>ATENCIONES +EGRESOS</t>
  </si>
  <si>
    <t>70% I CORTE - 100% II CORTE</t>
  </si>
  <si>
    <t>Porcentaje de reducción de los casos sobre el percentil 75 de días de espera para Consulta nueva de especialidad al 31 de diciembre del año 2023.</t>
  </si>
  <si>
    <t>45% I CORTE - 90% II CORTE</t>
  </si>
  <si>
    <t>Porcentaje de cumplimiento de la meta de disminución de días de mediana de espera para Intervenciones Quirúrgicas.</t>
  </si>
  <si>
    <t>Porcentaje de cumplimiento de la meta de disminución de días de mediana de espera para Consulta nueva de especialidad odontológicas.</t>
  </si>
  <si>
    <t>Porcentaje de reducción de casos en Lista de espera de Intervenciones quirúrgicas de incontinencia urinaria femenina.</t>
  </si>
  <si>
    <t xml:space="preserve">N° </t>
  </si>
  <si>
    <t>Indicador</t>
  </si>
  <si>
    <t>FECHA CORTE</t>
  </si>
  <si>
    <t xml:space="preserve">45% I CORTE - 90% II CORTE, </t>
  </si>
  <si>
    <t>45% I CORTE - 100% II CORTE,</t>
  </si>
  <si>
    <t>MEDIANA DIAS DE ESPERA</t>
  </si>
  <si>
    <t>% AVANCE MEDIANA</t>
  </si>
  <si>
    <t>% CUMPLIMIENTO MEDIANA</t>
  </si>
  <si>
    <t>I CORTE 40%, II CORTE 80%</t>
  </si>
  <si>
    <t>Número CG</t>
  </si>
  <si>
    <t>3,3</t>
  </si>
  <si>
    <t>3,4</t>
  </si>
  <si>
    <t>3,5</t>
  </si>
  <si>
    <t>3,6</t>
  </si>
  <si>
    <t>RESULTADO ENERO</t>
  </si>
  <si>
    <t>NUMERADOR ENERO</t>
  </si>
  <si>
    <t>DENOMINADOR ENERO</t>
  </si>
  <si>
    <t>NUMERADOR FEBRERO</t>
  </si>
  <si>
    <t>DENOMINADOR FEBRERO</t>
  </si>
  <si>
    <t>RESULTADO FEBRERO</t>
  </si>
  <si>
    <t>DENOMINADOR MARZO</t>
  </si>
  <si>
    <t>RESULTADO MARZO</t>
  </si>
  <si>
    <t>NUMERADOR MARZO</t>
  </si>
  <si>
    <t>NUMERADOR ABRIL</t>
  </si>
  <si>
    <t>DENOMINADOR ABRIL</t>
  </si>
  <si>
    <t>RESULTADO ABRIL</t>
  </si>
  <si>
    <t>NUMERADOR MAYO</t>
  </si>
  <si>
    <t>DENOMINADOR MAYO</t>
  </si>
  <si>
    <t>RESULTADO MAYO</t>
  </si>
  <si>
    <t>NUMERADOR JUNIO</t>
  </si>
  <si>
    <t>DENOMINADOR JUNIO</t>
  </si>
  <si>
    <t>RESULTADO JUNIO</t>
  </si>
  <si>
    <t>NUMERADOR JULIO</t>
  </si>
  <si>
    <t>DENOMINADOR JULIO</t>
  </si>
  <si>
    <t>RESULTADO JULIO</t>
  </si>
  <si>
    <t>NUMERADOR AGOSTO</t>
  </si>
  <si>
    <t>DENOMINADOR AGOSTO</t>
  </si>
  <si>
    <t>RESULTADO AGOSTO</t>
  </si>
  <si>
    <t>NUMERADOR SEPT</t>
  </si>
  <si>
    <t>DENOMINADOR SEPT</t>
  </si>
  <si>
    <t>RESULTADO SEPT</t>
  </si>
  <si>
    <t>NUMERADOR OCT</t>
  </si>
  <si>
    <t>DENOMINADOR OCT</t>
  </si>
  <si>
    <t>RESULTADO OCT</t>
  </si>
  <si>
    <t>NUMERADOR NOV</t>
  </si>
  <si>
    <t>DENOMINADOR NOV</t>
  </si>
  <si>
    <t>RESULTADO NOV</t>
  </si>
  <si>
    <t>NUMERADOR DIC</t>
  </si>
  <si>
    <t>DENOMINADOR DIC</t>
  </si>
  <si>
    <t>RESULTADO DIC</t>
  </si>
  <si>
    <t>NUMERADOR ANUAL</t>
  </si>
  <si>
    <t>DENOMINADOR ANUAL</t>
  </si>
  <si>
    <t>RESULTADO ANUAL</t>
  </si>
  <si>
    <t>Pediatría</t>
  </si>
  <si>
    <t>Medicina Interna</t>
  </si>
  <si>
    <t>Neonatología</t>
  </si>
  <si>
    <t>Enfermedad Respiratoria Pediátrica (Broncopulmonar Infantil)</t>
  </si>
  <si>
    <t>Enfermedad Respiratoria de Adulto (Broncopulmonar)</t>
  </si>
  <si>
    <t>Cardiología</t>
  </si>
  <si>
    <t>Mastología</t>
  </si>
  <si>
    <t>Endocrinología Pediátrica</t>
  </si>
  <si>
    <t>Endocrinología Adulto</t>
  </si>
  <si>
    <t>Gastroenterología Pediátrica</t>
  </si>
  <si>
    <t>Gastroenterología Adulto</t>
  </si>
  <si>
    <t>Genética Clínica</t>
  </si>
  <si>
    <t>Hematología</t>
  </si>
  <si>
    <t>Medicina del adolescente</t>
  </si>
  <si>
    <t>Nefrología Pediátrica</t>
  </si>
  <si>
    <t>Nefrología Adulto</t>
  </si>
  <si>
    <t>Nutrición clínica</t>
  </si>
  <si>
    <t>Medicina Materno Infantil</t>
  </si>
  <si>
    <t>Reumatología</t>
  </si>
  <si>
    <t>Medicina Paliativa y de Manejo del Dolor</t>
  </si>
  <si>
    <t>Dermatología</t>
  </si>
  <si>
    <t xml:space="preserve">Infectología </t>
  </si>
  <si>
    <t>Inmunología</t>
  </si>
  <si>
    <t>Geriatría</t>
  </si>
  <si>
    <t>Medicina Física y Rehabilitación</t>
  </si>
  <si>
    <t>Medicina Reproductiva e Infertilidad</t>
  </si>
  <si>
    <t>Neurología Pediátrica</t>
  </si>
  <si>
    <t>Neurología Adulto</t>
  </si>
  <si>
    <t>Oncología Médica</t>
  </si>
  <si>
    <t>Psiquiatría Pediátrica y de La Adolescencia</t>
  </si>
  <si>
    <t>Psiquiatría Adulto</t>
  </si>
  <si>
    <t>Cirugía Pediátrica</t>
  </si>
  <si>
    <t xml:space="preserve">Cirugía General </t>
  </si>
  <si>
    <t>Cirugía Digestiva (Alta)</t>
  </si>
  <si>
    <t>Cirugía de Cabeza, Cuello y Maxilofacial</t>
  </si>
  <si>
    <t xml:space="preserve">Cirugía Plástica y Reparadora </t>
  </si>
  <si>
    <t>Medicina del Deporte</t>
  </si>
  <si>
    <t>Coloproctología (Cirugía Digestiva Baja)</t>
  </si>
  <si>
    <t>Cirugía Tórax</t>
  </si>
  <si>
    <t>Cirugía Vascular Periférica</t>
  </si>
  <si>
    <t>Neurocirugía</t>
  </si>
  <si>
    <t>Cirugía Cardiovascular</t>
  </si>
  <si>
    <t>Anestesiología</t>
  </si>
  <si>
    <t>Obstetricia y Ginecología</t>
  </si>
  <si>
    <t xml:space="preserve">Ginecología oncológica </t>
  </si>
  <si>
    <t>Neurorradiologia</t>
  </si>
  <si>
    <t>Oftalmología</t>
  </si>
  <si>
    <t>Otorrinolaringología</t>
  </si>
  <si>
    <t>Traumatología y Ortopedia</t>
  </si>
  <si>
    <t>Urología</t>
  </si>
  <si>
    <t>Medicina Familiar</t>
  </si>
  <si>
    <t>Diabetología</t>
  </si>
  <si>
    <t>Medicina Nuclear (Excluye Informes)</t>
  </si>
  <si>
    <t>Imagenología</t>
  </si>
  <si>
    <t>Radioterapia Oncológica</t>
  </si>
  <si>
    <t>1.- Mejorar la eficiencia en la gestión de procesos asistenciales.</t>
  </si>
  <si>
    <t>1.1 Ambulatorización de cirugías mayores electivas</t>
  </si>
  <si>
    <t>1.2 Suspensiones quirúrgicas en cirugía mayores electivas.</t>
  </si>
  <si>
    <t>1.2</t>
  </si>
  <si>
    <t>1.9</t>
  </si>
  <si>
    <t>1.10</t>
  </si>
  <si>
    <t>1.11</t>
  </si>
  <si>
    <t>CX PROGRAMADAS</t>
  </si>
  <si>
    <t>1.11 Personas con indicación de hospitalización desde UEH, que acceden a cama de dotación en menos de 12 horas</t>
  </si>
  <si>
    <t xml:space="preserve">Meta </t>
  </si>
  <si>
    <t>1.10 Personas categorizadas C2 atendidos oportunamente en las UEH adulto y pediátrico.</t>
  </si>
  <si>
    <t>1.9 Personas que abandonan durante el Proceso de Atención de Urgencia en las Unidades de Emergencia Hospitalaria Adulto y Pediátrica.</t>
  </si>
  <si>
    <t>1.14 Camas disponibles respecto de la dotación vigente.</t>
  </si>
  <si>
    <t>1.16 Días de estada en Hospitalización Domiciliaria.</t>
  </si>
  <si>
    <t>2.3 Tasa global de cesárea.</t>
  </si>
  <si>
    <t>2.- Reducir las complicaciones de salud mediante estrategias de prevención, diagnóstico y tratamiento.</t>
  </si>
  <si>
    <t>2.3</t>
  </si>
  <si>
    <t>3.- Mejora de los tiempos de espera.</t>
  </si>
  <si>
    <t>3.2 Resolución de garantías exceptuadas transitorias acumuladas sin prestación otorgada.</t>
  </si>
  <si>
    <t>3.1 Cumplimiento de Garantías explícitas en Salud (GES) en la red.</t>
  </si>
  <si>
    <t>CUMPLIMIENTO</t>
  </si>
  <si>
    <t>META INDICADOR</t>
  </si>
  <si>
    <t>CUMPLIMIENTO INDICADOR</t>
  </si>
  <si>
    <t>&lt;10%</t>
  </si>
  <si>
    <t>&gt;85%</t>
  </si>
  <si>
    <t>&gt;95%</t>
  </si>
  <si>
    <t>&lt;8,5%</t>
  </si>
  <si>
    <t>ESPECIALIDAD</t>
  </si>
  <si>
    <t>% CONSULTA NUEVA ESPERADO</t>
  </si>
  <si>
    <t>% ALTAS ESPERADO</t>
  </si>
  <si>
    <t>&gt;20%</t>
  </si>
  <si>
    <t>&gt;25%</t>
  </si>
  <si>
    <t>&gt;33%</t>
  </si>
  <si>
    <t>&gt;40%</t>
  </si>
  <si>
    <t>&gt;45%</t>
  </si>
  <si>
    <t>&gt;75%</t>
  </si>
  <si>
    <t>&gt;5%</t>
  </si>
  <si>
    <t>&gt;7%</t>
  </si>
  <si>
    <t>&gt;10%</t>
  </si>
  <si>
    <t>&gt;14%</t>
  </si>
  <si>
    <t>&gt;18%</t>
  </si>
  <si>
    <t>&gt;70%</t>
  </si>
  <si>
    <t>% NSP</t>
  </si>
  <si>
    <t>&lt;12%</t>
  </si>
  <si>
    <t>z5%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</si>
  <si>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</si>
  <si>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</si>
  <si>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</si>
  <si>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</si>
  <si>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</si>
  <si>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</si>
  <si>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</si>
  <si>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</si>
  <si>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</si>
  <si>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</si>
  <si>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</si>
  <si>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</si>
  <si>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CONSULTA NUEVA</t>
  </si>
  <si>
    <t>Total especialidades</t>
  </si>
  <si>
    <t>ALTAS</t>
  </si>
  <si>
    <t>&gt;90%</t>
  </si>
  <si>
    <t>CAMAS DISPONIBLES</t>
  </si>
  <si>
    <t>CAMAS POR RESOLUCION*DIAS CALENDARIO</t>
  </si>
  <si>
    <t>Porcentaje de reducción de los casos sobre el percentil 75 de días de espera para Consulta nueva de especialidad al 31 de diciembre del año 2024.</t>
  </si>
  <si>
    <t>3,81</t>
  </si>
  <si>
    <t>3,82</t>
  </si>
  <si>
    <t>3,10</t>
  </si>
  <si>
    <t>Mejora de los tiempos de espera.</t>
  </si>
  <si>
    <t>Pacientes SENAME Consulta Medica</t>
  </si>
  <si>
    <t>Pacientes PRAIS Consulta Medica</t>
  </si>
  <si>
    <t>Pacientes SENAME Consulta Odontologica</t>
  </si>
  <si>
    <t>Pacientes PRAIS Consulta Odontolçogica</t>
  </si>
  <si>
    <t>Pacientes SENAME Intervencion Quirúrgica</t>
  </si>
  <si>
    <t>Pacientes PRAIS Intervencion Quirurgica</t>
  </si>
  <si>
    <t>Porcentaje de reducción de los casos sobre el percentil 75 de días de espera para Intervención quirúrgica al 31 de diciembre del año 2024.</t>
  </si>
  <si>
    <t>3,11</t>
  </si>
  <si>
    <t>Resolución de Lista de espera por intervenciones quirúrgicas menores electivas en establecimientos de baja complejidad al 31 de diciembre 2024</t>
  </si>
  <si>
    <t>Resolución de Lista de espera por intervenciones quirúrgicas menores electivas en establecimientos de baja complejidad al 31 de diciembre 2025</t>
  </si>
  <si>
    <t>Resolución de Lista de espera por intervenciones quirúrgicas menores electivas en establecimientos de baja complejidad al 31 de diciembre 2026</t>
  </si>
  <si>
    <t>Resolución de Lista de espera por intervenciones quirúrgicas menores electivas en establecimientos de baja complejidad al 31 de diciembre 2027</t>
  </si>
  <si>
    <t>Resolución de Lista de espera por intervenciones quirúrgicas menores electivas en establecimientos de baja complejidad al 31 de diciembre 2028</t>
  </si>
  <si>
    <t>Resolución de Lista de espera por intervenciones quirúrgicas menores electivas en establecimientos de baja complejidad al 31 de diciembre 2029</t>
  </si>
  <si>
    <t>Resolución de Lista de espera por intervenciones quirúrgicas menores electivas en establecimientos de baja complejidad al 31 de diciembre 2030</t>
  </si>
  <si>
    <t>Resolución de Lista de espera por intervenciones quirúrgicas menores electivas en establecimientos de baja complejidad al 31 de diciembre 2031</t>
  </si>
  <si>
    <t>Resolución de Lista de espera por intervenciones quirúrgicas menores electivas en establecimientos de baja complejidad al 31 de diciembre 2032</t>
  </si>
  <si>
    <t>Resolución de Lista de espera por intervenciones quirúrgicas menores electivas en establecimientos de baja complejidad al 31 de diciembre 2033</t>
  </si>
  <si>
    <t>Resolución de Lista de espera por intervenciones quirúrgicas menores electivas en establecimientos de baja complejidad al 31 de diciembre 2034</t>
  </si>
  <si>
    <t>Resolución de Lista de espera por intervenciones quirúrgicas menores electivas en establecimientos de baja complejidad al 31 de diciembre 2035</t>
  </si>
  <si>
    <t>2</t>
  </si>
  <si>
    <t>2,4</t>
  </si>
  <si>
    <t>Reducir las complicaciones de salud mediante estrategias de prevención, diagnóstico y tratamiento.</t>
  </si>
  <si>
    <t>MEDIANA DIC 2024</t>
  </si>
  <si>
    <t>celdas</t>
  </si>
  <si>
    <t>CUMPLE SI O NO</t>
  </si>
  <si>
    <t>DIAS CALENDARIO</t>
  </si>
  <si>
    <t>CAMAS DOTACION</t>
  </si>
  <si>
    <t>Número de procedimientos VALS cerrados en plazo legal</t>
  </si>
  <si>
    <t>Número total de procedimientos VALS</t>
  </si>
  <si>
    <t>4,6 Indice de ausentismo laboral por Licencia medica curativa</t>
  </si>
  <si>
    <t>4,7 Procedimientos disciplinarios por violencia, acoso laboral y sexual cerrados en los plazos estipulados por ley</t>
  </si>
  <si>
    <t>META:50%</t>
  </si>
  <si>
    <t xml:space="preserve">META: </t>
  </si>
  <si>
    <t>META: 66,6%</t>
  </si>
  <si>
    <t>1.</t>
  </si>
  <si>
    <t>Hospitales con Plan de Telecomunicaciones de emergencia actualizado</t>
  </si>
  <si>
    <t>2.</t>
  </si>
  <si>
    <t>Encargados de gestión del riesgo con acceso a Módulo de Emergencia MIDAS</t>
  </si>
  <si>
    <t>3.</t>
  </si>
  <si>
    <t>Hospitales con fichas de capacidades identificadas y actualizadas</t>
  </si>
  <si>
    <t>Requisito: Cumplir con el 100% de las siguientes 2 acciones tanto en el Servicio de Salud como en los hospitales.</t>
  </si>
  <si>
    <t>Servicios de Salud y Hospitales con Encargado de Gestión del Riesgo de Desastre</t>
  </si>
  <si>
    <t>Servicios de Salud y Hospitales con Plan de Respuesta actualizado</t>
  </si>
  <si>
    <t>Verificables</t>
  </si>
  <si>
    <t>⁻</t>
  </si>
  <si>
    <t>Las acciones solicitadas son para verificar el nivel de compromiso con la GRD en los SS.</t>
  </si>
  <si>
    <t>Se deben remitir las resoluciones con nombramientos para GRD y MIDAS.</t>
  </si>
  <si>
    <t>Relleno de las fichas de capacidades de los Hospitales en la plataforma MIDAS.</t>
  </si>
  <si>
    <t>Recepción de Resoluciones con planes de Respuesta y plan de telecomunicaciones.</t>
  </si>
  <si>
    <t>Al final del periodo se remitirá a los Servicios de Salud el nivel de cumplimiento de las distintas acciones solicitadas.</t>
  </si>
  <si>
    <t>2 de 3 de las siguientes acciones:</t>
  </si>
  <si>
    <t>3,7</t>
  </si>
  <si>
    <t>Porcentaje de reducción de los casos sobre el percentil 75 de días de espera para Consulta nueva de especialidad destino APS</t>
  </si>
  <si>
    <t>cumplido</t>
  </si>
  <si>
    <t>en proceso</t>
  </si>
  <si>
    <t>ECPRI REPORTADOS</t>
  </si>
  <si>
    <t>ECPRI SUPERVISADOS</t>
  </si>
  <si>
    <t>&gt;80%</t>
  </si>
  <si>
    <t xml:space="preserve">Consulta nueva de especialidad odontológica </t>
  </si>
  <si>
    <t>Consulta nueva de especialidad odontológica ORTODONCIA</t>
  </si>
  <si>
    <t>SENAME</t>
  </si>
  <si>
    <t>PRAIS</t>
  </si>
  <si>
    <t>INDICE AUSENTISMO 2025</t>
  </si>
  <si>
    <t>VARIACION</t>
  </si>
  <si>
    <t xml:space="preserve">META </t>
  </si>
  <si>
    <t>DISMINUIR O MANTENER 21,2</t>
  </si>
  <si>
    <t>3</t>
  </si>
  <si>
    <t>4</t>
  </si>
  <si>
    <t>5</t>
  </si>
  <si>
    <t>6</t>
  </si>
  <si>
    <t>7</t>
  </si>
  <si>
    <t>6,2</t>
  </si>
  <si>
    <t xml:space="preserve">Lista de Espera de Intervención Quirúrgica por problemas de salud oncológicos No GES menor a 90 días. </t>
  </si>
  <si>
    <t>&lt;1</t>
  </si>
  <si>
    <t>GASTO CONVENIO PERSONAS NATURALES</t>
  </si>
  <si>
    <t>GLOSA CONVENIO PERSONAS NATURALES</t>
  </si>
  <si>
    <t>num</t>
  </si>
  <si>
    <t>cumplidas</t>
  </si>
  <si>
    <t>eg</t>
  </si>
  <si>
    <t>incumplidas at</t>
  </si>
  <si>
    <t>retrasadas</t>
  </si>
  <si>
    <t>incumplidas no at</t>
  </si>
  <si>
    <t>denomi</t>
  </si>
  <si>
    <t>Cumplimiento total NSP</t>
  </si>
  <si>
    <t>1.13</t>
  </si>
  <si>
    <t>1.15</t>
  </si>
  <si>
    <t>&lt;39,3%</t>
  </si>
  <si>
    <t>% Cesareas 2025</t>
  </si>
  <si>
    <t>4,4 Hospitales con implementación de Gestión de Riesgo de Desastres</t>
  </si>
  <si>
    <t>NSP CN</t>
  </si>
  <si>
    <t>NSP CONTROL</t>
  </si>
  <si>
    <t>CM</t>
  </si>
  <si>
    <t>CO</t>
  </si>
  <si>
    <t>IQ</t>
  </si>
  <si>
    <t>Numerador 1,1 Suspensión Quirurgica</t>
  </si>
  <si>
    <t>Resultado Indicador 1,1 Suspensión Quirurgica</t>
  </si>
  <si>
    <t>Numerador 3,1 Cumplimiento GES</t>
  </si>
  <si>
    <t>Denominador 1,1 Suspensión Quirurgica</t>
  </si>
  <si>
    <t>Denominador 3,1 Cumplimiento GES</t>
  </si>
  <si>
    <t>Resultado indicador 3,1 Cumplimiento GES</t>
  </si>
  <si>
    <t>Meta GES</t>
  </si>
  <si>
    <t>Meta Suspension Quirurgica</t>
  </si>
  <si>
    <t>Resultado Indicador 3,2 P75 Consulta Nueva Especialidad Medica</t>
  </si>
  <si>
    <t>Lista de espera 3,2 P75 Consulta Nueva Especialidad Medica</t>
  </si>
  <si>
    <t>Linea base 3,2 P75 Consulta Nueva Especialidad Medica</t>
  </si>
  <si>
    <t>Egresos 3,2 P75 Consulta Nueva Especialidad Medica</t>
  </si>
  <si>
    <t>Meta 3,2 P75 Consulta Nueva Especialidad Medica</t>
  </si>
  <si>
    <t>Meta 3,3 P75 Consulta Nueva Odontologica</t>
  </si>
  <si>
    <t>Meta 3,4 P75 Lista de espera quirurgica</t>
  </si>
  <si>
    <t>Linea base 3,4 P75 Lista espera quirurgica</t>
  </si>
  <si>
    <t>Lista de espera 3,4 P75 Lista Espera Quirurgica</t>
  </si>
  <si>
    <t>Egresos 3,3 P75 Lista espera Quirurgica</t>
  </si>
  <si>
    <t>Resultado Indicador 3,4 P75 Lista Espera Quirurgica</t>
  </si>
  <si>
    <t>Meta GES oncologico</t>
  </si>
  <si>
    <t>Numerador 5,1 Cumplimiento GES oncologico</t>
  </si>
  <si>
    <t>Denominador 5,1 Cumplimiento GES oncologico</t>
  </si>
  <si>
    <t>Resultado indicador 5,1 Cumplimiento GES oncologicop</t>
  </si>
  <si>
    <t>Meta LE qca no GES oncologico</t>
  </si>
  <si>
    <t>Numerador 5,2 LE qca no GES oncologico</t>
  </si>
  <si>
    <t>Denominador 5,2 LE qca no GES oncologico</t>
  </si>
  <si>
    <t>Resultado indicador 5,2 LE qca no  GES oncologicop</t>
  </si>
  <si>
    <t>1.1. Suspensiones quirúrgicas en cirugía mayores electivas.</t>
  </si>
  <si>
    <t>2.2. Tasa de donantes efectivos en muerte encefálica por millón de población (PMP) generados por Servicio de Salud.</t>
  </si>
  <si>
    <t>3.2. Monitoreo del percentil 75 de la lista de espera de consulta nueva de especialidad médica.</t>
  </si>
  <si>
    <t>3.4. Monitoreo del percentil 75 de la lista de espera de intervenciones quirúrgicas mayores y menores.</t>
  </si>
  <si>
    <t>4.2. Implementación del plan gestión del riesgo de desastres.</t>
  </si>
  <si>
    <t>5.2. Casos oncológicos No GES en lista de espera quirúrgica con espera menor a 90 días.</t>
  </si>
  <si>
    <t>6.1. Nivel de implementación de estrategias y/o células de Hospital Digital en establecimientos del Servicio de Salud.</t>
  </si>
  <si>
    <t>3.3 Monitoreo del percentil 75 de la lista de espera de consulta nueva de especialidad odontológica.</t>
  </si>
  <si>
    <t>4.3 Índice del gasto en convenio con personas naturales respecto a la glosa autorizada vigente.</t>
  </si>
  <si>
    <t>5.1 Nivel de cumplimiento efectivo de garantías GES en problemas de salud oncológicos.</t>
  </si>
  <si>
    <t>Linea base 3,3 P75 Consulta Nueva Odontologica ex ortod</t>
  </si>
  <si>
    <t>Lista de espera 3,3 P75 Consulta Nueva Odontologica ex ortod</t>
  </si>
  <si>
    <t>Egresos 3,3 P75 Consulta Nueva Odontologica ex ortod</t>
  </si>
  <si>
    <t>Resultado Indicador 3,3 P75 Consulta Nueva Odontologica ex ortod</t>
  </si>
  <si>
    <t>Linea base 3,3 P75 Consulta Nueva Odontologica Ortod</t>
  </si>
  <si>
    <t>Lista de espera 3,3 P75 Consulta Nueva Odontologica Ortod</t>
  </si>
  <si>
    <t>Egresos 3,3 P75 Consulta Nueva Odontologica Ortod</t>
  </si>
  <si>
    <t>Resultado Indicador 3,3 P75 Consulta Nueva Odontologica Ortod</t>
  </si>
  <si>
    <t>Meta 4.3 Índice del gasto en convenio con personas naturales respecto a la glosa autorizada vigente.</t>
  </si>
  <si>
    <t>Resultado 4.3 Índice del gasto en convenio con personas naturales respecto a la glosa autorizada vigente.</t>
  </si>
  <si>
    <t>Numerador 4.3 Índice del gasto en convenio con personas naturales respecto a la glosa autorizada vigente.</t>
  </si>
  <si>
    <t>Denominador 4.3 Índice del gasto en convenio con personas naturales respecto a la glosa autorizada vigente.</t>
  </si>
  <si>
    <t>INDICE AUSENTISMO 2026</t>
  </si>
  <si>
    <t>&gt;=20%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</si>
</sst>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&quot;$&quot;* #,##0_ ;_ &quot;$&quot;* \-#,##0_ ;_ &quot;$&quot;* &quot;-&quot;_ ;_ @_ "/>
    <numFmt numFmtId="165" formatCode="_ * #,##0_ ;_ * \-#,##0_ ;_ * &quot;-&quot;_ ;_ @_ "/>
    <numFmt numFmtId="166" formatCode="0.0%"/>
    <numFmt numFmtId="167" formatCode="_ * #,##0.0_ ;_ * \-#,##0.0_ ;_ * &quot;-&quot;_ ;_ @_ "/>
    <numFmt numFmtId="168" formatCode="0.0"/>
    <numFmt numFmtId="169" formatCode="_ * #,##0.00_ ;_ * \-#,##0.00_ ;_ * &quot;-&quot;_ ;_ @_ "/>
    <numFmt numFmtId="170" formatCode="0.000%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b/>
      <sz val="10"/>
      <color theme="0"/>
      <name val="Courier New"/>
      <family val="3"/>
    </font>
    <font>
      <sz val="10"/>
      <name val="Courier New"/>
      <family val="3"/>
    </font>
    <font>
      <b/>
      <sz val="10"/>
      <name val="Courier New"/>
      <family val="3"/>
    </font>
    <font>
      <b/>
      <sz val="10"/>
      <color theme="1"/>
      <name val="Courier New"/>
      <family val="3"/>
    </font>
    <font>
      <b/>
      <sz val="10"/>
      <color theme="1"/>
      <name val="Century Gothic"/>
      <family val="2"/>
    </font>
    <font>
      <sz val="10"/>
      <color theme="0"/>
      <name val="Century Gothic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0"/>
      <color theme="0"/>
      <name val="Calibri"/>
      <family val="2"/>
      <scheme val="minor"/>
    </font>
    <font>
      <sz val="9"/>
      <color rgb="FF595959"/>
      <name val="Calibri Light"/>
      <family val="2"/>
    </font>
    <font>
      <b/>
      <sz val="10"/>
      <color rgb="FF17365D"/>
      <name val="Calibri Light"/>
      <family val="2"/>
    </font>
    <font>
      <b/>
      <sz val="12"/>
      <color theme="0"/>
      <name val="Calibri Light"/>
      <family val="2"/>
    </font>
    <font>
      <b/>
      <sz val="9"/>
      <color theme="0"/>
      <name val="Calibri Light"/>
      <family val="2"/>
    </font>
    <font>
      <b/>
      <sz val="12"/>
      <color rgb="FF595959"/>
      <name val="Calibri Light"/>
      <family val="2"/>
    </font>
    <font>
      <b/>
      <sz val="12"/>
      <color rgb="FFFF0000"/>
      <name val="Calibri Light"/>
      <family val="2"/>
    </font>
    <font>
      <b/>
      <sz val="9"/>
      <color rgb="FF595959"/>
      <name val="Calibri Light"/>
      <family val="2"/>
    </font>
    <font>
      <b/>
      <sz val="11"/>
      <color theme="1"/>
      <name val="Calibri"/>
      <family val="2"/>
      <scheme val="minor"/>
    </font>
    <font>
      <b/>
      <sz val="12"/>
      <name val="Calibri Light"/>
      <family val="2"/>
    </font>
    <font>
      <sz val="12"/>
      <color rgb="FF595959"/>
      <name val="Calibri Light"/>
      <family val="2"/>
    </font>
    <font>
      <sz val="8"/>
      <name val="Calibri"/>
      <family val="2"/>
      <scheme val="minor"/>
    </font>
    <font>
      <sz val="8"/>
      <color theme="1"/>
      <name val="Verdana"/>
      <family val="2"/>
    </font>
    <font>
      <sz val="9"/>
      <color theme="1"/>
      <name val="Segoe UI"/>
      <family val="2"/>
    </font>
    <font>
      <sz val="9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sz val="9"/>
      <color rgb="FF000000"/>
      <name val="Arial"/>
      <family val="2"/>
    </font>
    <font>
      <b/>
      <u/>
      <sz val="11"/>
      <color theme="1"/>
      <name val="Century Gothic"/>
      <family val="2"/>
    </font>
    <font>
      <sz val="9"/>
      <color rgb="FF006100"/>
      <name val="Calibri Light"/>
      <family val="2"/>
      <scheme val="major"/>
    </font>
    <font>
      <b/>
      <sz val="14"/>
      <color theme="0"/>
      <name val="Courier New"/>
      <family val="3"/>
    </font>
    <font>
      <sz val="11"/>
      <color rgb="FFFF0000"/>
      <name val="Century Gothic"/>
      <family val="2"/>
    </font>
    <font>
      <sz val="12"/>
      <color theme="1"/>
      <name val="Aptos Narrow"/>
    </font>
    <font>
      <sz val="11"/>
      <color theme="0"/>
      <name val="Century Gothic"/>
      <family val="2"/>
    </font>
    <font>
      <sz val="9"/>
      <name val="Calibri Light"/>
      <family val="2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D3DFEE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9EDFD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theme="0"/>
      </right>
      <top style="medium">
        <color theme="4"/>
      </top>
      <bottom/>
      <diagonal/>
    </border>
    <border>
      <left/>
      <right style="medium">
        <color rgb="FF4F81BD"/>
      </right>
      <top/>
      <bottom style="medium">
        <color rgb="FF4F81BD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thin">
        <color theme="4"/>
      </bottom>
      <diagonal/>
    </border>
    <border>
      <left style="medium">
        <color rgb="FF4F81BD"/>
      </left>
      <right style="medium">
        <color rgb="FF4F81BD"/>
      </right>
      <top style="medium">
        <color rgb="FF4F81BD"/>
      </top>
      <bottom/>
      <diagonal/>
    </border>
    <border>
      <left style="medium">
        <color rgb="FF4F81BD"/>
      </left>
      <right style="medium">
        <color rgb="FF4F81BD"/>
      </right>
      <top/>
      <bottom style="medium">
        <color rgb="FF4F81BD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0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6" fontId="2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wrapText="1"/>
    </xf>
    <xf numFmtId="0" fontId="0" fillId="0" borderId="0" xfId="0" applyAlignment="1">
      <alignment wrapText="1"/>
    </xf>
    <xf numFmtId="9" fontId="9" fillId="0" borderId="1" xfId="1" applyFont="1" applyBorder="1"/>
    <xf numFmtId="0" fontId="10" fillId="0" borderId="1" xfId="0" applyFont="1" applyBorder="1"/>
    <xf numFmtId="1" fontId="10" fillId="0" borderId="1" xfId="0" applyNumberFormat="1" applyFont="1" applyBorder="1"/>
    <xf numFmtId="9" fontId="10" fillId="0" borderId="1" xfId="1" applyFont="1" applyBorder="1"/>
    <xf numFmtId="0" fontId="9" fillId="0" borderId="0" xfId="0" applyFont="1"/>
    <xf numFmtId="0" fontId="9" fillId="0" borderId="0" xfId="0" applyFont="1" applyAlignment="1">
      <alignment wrapText="1"/>
    </xf>
    <xf numFmtId="166" fontId="9" fillId="0" borderId="1" xfId="1" applyNumberFormat="1" applyFont="1" applyBorder="1"/>
    <xf numFmtId="166" fontId="10" fillId="0" borderId="1" xfId="1" applyNumberFormat="1" applyFont="1" applyBorder="1"/>
    <xf numFmtId="0" fontId="5" fillId="7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167" fontId="9" fillId="0" borderId="0" xfId="2" applyNumberFormat="1" applyFont="1"/>
    <xf numFmtId="0" fontId="8" fillId="3" borderId="1" xfId="0" applyFont="1" applyFill="1" applyBorder="1" applyAlignment="1">
      <alignment horizontal="center" vertical="center" wrapText="1"/>
    </xf>
    <xf numFmtId="9" fontId="7" fillId="0" borderId="2" xfId="0" applyNumberFormat="1" applyFont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11" fillId="8" borderId="4" xfId="0" applyFont="1" applyFill="1" applyBorder="1" applyAlignment="1">
      <alignment horizontal="center" vertical="center"/>
    </xf>
    <xf numFmtId="0" fontId="15" fillId="8" borderId="5" xfId="0" applyFont="1" applyFill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4" fillId="8" borderId="5" xfId="0" applyFont="1" applyFill="1" applyBorder="1" applyAlignment="1">
      <alignment vertical="center" wrapText="1"/>
    </xf>
    <xf numFmtId="9" fontId="17" fillId="0" borderId="5" xfId="0" applyNumberFormat="1" applyFont="1" applyBorder="1" applyAlignment="1">
      <alignment vertical="center" wrapText="1"/>
    </xf>
    <xf numFmtId="166" fontId="16" fillId="0" borderId="5" xfId="1" applyNumberFormat="1" applyFont="1" applyBorder="1" applyAlignment="1">
      <alignment vertical="center" wrapText="1"/>
    </xf>
    <xf numFmtId="0" fontId="16" fillId="0" borderId="5" xfId="0" applyFont="1" applyBorder="1" applyAlignment="1">
      <alignment vertical="center" wrapText="1"/>
    </xf>
    <xf numFmtId="0" fontId="13" fillId="9" borderId="6" xfId="0" applyFont="1" applyFill="1" applyBorder="1" applyAlignment="1">
      <alignment vertical="center" wrapText="1"/>
    </xf>
    <xf numFmtId="0" fontId="13" fillId="9" borderId="0" xfId="0" applyFont="1" applyFill="1" applyAlignment="1">
      <alignment vertical="center" wrapText="1"/>
    </xf>
    <xf numFmtId="14" fontId="14" fillId="8" borderId="5" xfId="0" applyNumberFormat="1" applyFont="1" applyFill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166" fontId="16" fillId="0" borderId="5" xfId="1" applyNumberFormat="1" applyFont="1" applyFill="1" applyBorder="1" applyAlignment="1">
      <alignment vertical="center" wrapText="1"/>
    </xf>
    <xf numFmtId="9" fontId="20" fillId="0" borderId="5" xfId="0" applyNumberFormat="1" applyFont="1" applyBorder="1" applyAlignment="1">
      <alignment vertical="center" wrapText="1"/>
    </xf>
    <xf numFmtId="165" fontId="16" fillId="0" borderId="5" xfId="2" applyFont="1" applyFill="1" applyBorder="1" applyAlignment="1">
      <alignment vertical="center" wrapText="1"/>
    </xf>
    <xf numFmtId="166" fontId="16" fillId="6" borderId="5" xfId="1" applyNumberFormat="1" applyFont="1" applyFill="1" applyBorder="1" applyAlignment="1">
      <alignment vertical="center" wrapText="1"/>
    </xf>
    <xf numFmtId="9" fontId="20" fillId="6" borderId="5" xfId="0" applyNumberFormat="1" applyFont="1" applyFill="1" applyBorder="1" applyAlignment="1">
      <alignment vertical="center" wrapText="1"/>
    </xf>
    <xf numFmtId="0" fontId="19" fillId="0" borderId="0" xfId="0" applyFont="1"/>
    <xf numFmtId="165" fontId="20" fillId="0" borderId="5" xfId="2" applyFont="1" applyBorder="1" applyAlignment="1">
      <alignment vertical="center" wrapText="1"/>
    </xf>
    <xf numFmtId="166" fontId="16" fillId="11" borderId="5" xfId="1" applyNumberFormat="1" applyFont="1" applyFill="1" applyBorder="1" applyAlignment="1">
      <alignment vertical="center" wrapText="1"/>
    </xf>
    <xf numFmtId="0" fontId="21" fillId="0" borderId="5" xfId="0" applyFont="1" applyBorder="1" applyAlignment="1">
      <alignment vertical="center" wrapText="1"/>
    </xf>
    <xf numFmtId="10" fontId="21" fillId="0" borderId="5" xfId="0" applyNumberFormat="1" applyFont="1" applyBorder="1" applyAlignment="1">
      <alignment vertical="center" wrapText="1"/>
    </xf>
    <xf numFmtId="165" fontId="21" fillId="0" borderId="5" xfId="2" applyFont="1" applyBorder="1" applyAlignment="1">
      <alignment vertical="center" wrapText="1"/>
    </xf>
    <xf numFmtId="165" fontId="21" fillId="0" borderId="5" xfId="2" applyFont="1" applyFill="1" applyBorder="1" applyAlignment="1">
      <alignment vertical="center" wrapText="1"/>
    </xf>
    <xf numFmtId="49" fontId="13" fillId="9" borderId="6" xfId="0" applyNumberFormat="1" applyFont="1" applyFill="1" applyBorder="1" applyAlignment="1">
      <alignment vertical="center" wrapText="1"/>
    </xf>
    <xf numFmtId="49" fontId="14" fillId="8" borderId="8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1" fontId="0" fillId="0" borderId="0" xfId="0" applyNumberFormat="1"/>
    <xf numFmtId="1" fontId="15" fillId="8" borderId="5" xfId="0" applyNumberFormat="1" applyFont="1" applyFill="1" applyBorder="1" applyAlignment="1">
      <alignment vertical="center" wrapText="1"/>
    </xf>
    <xf numFmtId="1" fontId="21" fillId="0" borderId="5" xfId="0" applyNumberFormat="1" applyFont="1" applyBorder="1" applyAlignment="1">
      <alignment vertical="center" wrapText="1"/>
    </xf>
    <xf numFmtId="1" fontId="21" fillId="11" borderId="5" xfId="0" applyNumberFormat="1" applyFont="1" applyFill="1" applyBorder="1" applyAlignment="1">
      <alignment vertical="center" wrapText="1"/>
    </xf>
    <xf numFmtId="0" fontId="9" fillId="6" borderId="1" xfId="0" applyFont="1" applyFill="1" applyBorder="1" applyAlignment="1">
      <alignment wrapText="1"/>
    </xf>
    <xf numFmtId="0" fontId="10" fillId="6" borderId="1" xfId="0" applyFont="1" applyFill="1" applyBorder="1" applyAlignment="1">
      <alignment wrapText="1"/>
    </xf>
    <xf numFmtId="1" fontId="9" fillId="6" borderId="1" xfId="0" applyNumberFormat="1" applyFont="1" applyFill="1" applyBorder="1"/>
    <xf numFmtId="165" fontId="9" fillId="6" borderId="1" xfId="2" applyFont="1" applyFill="1" applyBorder="1"/>
    <xf numFmtId="166" fontId="10" fillId="6" borderId="1" xfId="1" applyNumberFormat="1" applyFont="1" applyFill="1" applyBorder="1"/>
    <xf numFmtId="1" fontId="10" fillId="6" borderId="1" xfId="0" applyNumberFormat="1" applyFont="1" applyFill="1" applyBorder="1"/>
    <xf numFmtId="165" fontId="10" fillId="6" borderId="1" xfId="2" applyFont="1" applyFill="1" applyBorder="1"/>
    <xf numFmtId="1" fontId="21" fillId="12" borderId="5" xfId="0" applyNumberFormat="1" applyFont="1" applyFill="1" applyBorder="1" applyAlignment="1">
      <alignment vertical="center" wrapText="1"/>
    </xf>
    <xf numFmtId="10" fontId="21" fillId="12" borderId="5" xfId="0" applyNumberFormat="1" applyFont="1" applyFill="1" applyBorder="1" applyAlignment="1">
      <alignment vertical="center" wrapText="1"/>
    </xf>
    <xf numFmtId="9" fontId="17" fillId="12" borderId="5" xfId="0" applyNumberFormat="1" applyFont="1" applyFill="1" applyBorder="1" applyAlignment="1">
      <alignment vertical="center" wrapText="1"/>
    </xf>
    <xf numFmtId="166" fontId="16" fillId="12" borderId="5" xfId="1" applyNumberFormat="1" applyFont="1" applyFill="1" applyBorder="1" applyAlignment="1">
      <alignment vertical="center" wrapText="1"/>
    </xf>
    <xf numFmtId="49" fontId="14" fillId="8" borderId="8" xfId="0" applyNumberFormat="1" applyFont="1" applyFill="1" applyBorder="1" applyAlignment="1">
      <alignment horizontal="center" wrapText="1"/>
    </xf>
    <xf numFmtId="49" fontId="18" fillId="10" borderId="8" xfId="0" applyNumberFormat="1" applyFont="1" applyFill="1" applyBorder="1" applyAlignment="1">
      <alignment horizontal="center" wrapText="1"/>
    </xf>
    <xf numFmtId="49" fontId="18" fillId="10" borderId="7" xfId="0" applyNumberFormat="1" applyFont="1" applyFill="1" applyBorder="1" applyAlignment="1">
      <alignment horizontal="center" wrapText="1"/>
    </xf>
    <xf numFmtId="49" fontId="0" fillId="0" borderId="0" xfId="0" applyNumberFormat="1" applyAlignment="1">
      <alignment horizontal="center"/>
    </xf>
    <xf numFmtId="17" fontId="9" fillId="0" borderId="1" xfId="0" applyNumberFormat="1" applyFont="1" applyBorder="1"/>
    <xf numFmtId="10" fontId="21" fillId="11" borderId="5" xfId="0" applyNumberFormat="1" applyFont="1" applyFill="1" applyBorder="1" applyAlignment="1">
      <alignment vertical="center" wrapText="1"/>
    </xf>
    <xf numFmtId="9" fontId="17" fillId="11" borderId="5" xfId="0" applyNumberFormat="1" applyFont="1" applyFill="1" applyBorder="1" applyAlignment="1">
      <alignment vertical="center" wrapText="1"/>
    </xf>
    <xf numFmtId="1" fontId="21" fillId="14" borderId="5" xfId="0" applyNumberFormat="1" applyFont="1" applyFill="1" applyBorder="1" applyAlignment="1">
      <alignment vertical="center" wrapText="1"/>
    </xf>
    <xf numFmtId="166" fontId="16" fillId="14" borderId="5" xfId="1" applyNumberFormat="1" applyFont="1" applyFill="1" applyBorder="1" applyAlignment="1">
      <alignment vertical="center" wrapText="1"/>
    </xf>
    <xf numFmtId="1" fontId="23" fillId="0" borderId="9" xfId="0" applyNumberFormat="1" applyFont="1" applyBorder="1"/>
    <xf numFmtId="1" fontId="23" fillId="0" borderId="10" xfId="0" applyNumberFormat="1" applyFont="1" applyBorder="1"/>
    <xf numFmtId="1" fontId="23" fillId="0" borderId="11" xfId="0" applyNumberFormat="1" applyFont="1" applyBorder="1"/>
    <xf numFmtId="0" fontId="24" fillId="0" borderId="0" xfId="0" applyFont="1"/>
    <xf numFmtId="1" fontId="23" fillId="2" borderId="10" xfId="0" applyNumberFormat="1" applyFont="1" applyFill="1" applyBorder="1"/>
    <xf numFmtId="1" fontId="23" fillId="0" borderId="0" xfId="0" applyNumberFormat="1" applyFont="1"/>
    <xf numFmtId="1" fontId="23" fillId="0" borderId="10" xfId="0" applyNumberFormat="1" applyFont="1" applyBorder="1" applyAlignment="1">
      <alignment wrapText="1"/>
    </xf>
    <xf numFmtId="1" fontId="2" fillId="5" borderId="1" xfId="0" applyNumberFormat="1" applyFont="1" applyFill="1" applyBorder="1" applyAlignment="1">
      <alignment horizontal="center" vertical="center" wrapText="1"/>
    </xf>
    <xf numFmtId="1" fontId="2" fillId="7" borderId="1" xfId="0" applyNumberFormat="1" applyFont="1" applyFill="1" applyBorder="1" applyAlignment="1">
      <alignment horizontal="center" vertical="center" wrapText="1"/>
    </xf>
    <xf numFmtId="1" fontId="9" fillId="15" borderId="1" xfId="0" applyNumberFormat="1" applyFont="1" applyFill="1" applyBorder="1"/>
    <xf numFmtId="0" fontId="0" fillId="0" borderId="0" xfId="0" applyAlignment="1">
      <alignment vertical="center" wrapText="1"/>
    </xf>
    <xf numFmtId="165" fontId="9" fillId="15" borderId="1" xfId="2" applyFont="1" applyFill="1" applyBorder="1"/>
    <xf numFmtId="0" fontId="0" fillId="16" borderId="1" xfId="0" applyFill="1" applyBorder="1" applyAlignment="1">
      <alignment wrapText="1"/>
    </xf>
    <xf numFmtId="167" fontId="9" fillId="6" borderId="1" xfId="2" applyNumberFormat="1" applyFont="1" applyFill="1" applyBorder="1"/>
    <xf numFmtId="166" fontId="9" fillId="6" borderId="1" xfId="1" applyNumberFormat="1" applyFont="1" applyFill="1" applyBorder="1"/>
    <xf numFmtId="0" fontId="2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vertical="center" wrapText="1"/>
    </xf>
    <xf numFmtId="1" fontId="2" fillId="13" borderId="1" xfId="0" applyNumberFormat="1" applyFont="1" applyFill="1" applyBorder="1" applyAlignment="1">
      <alignment horizontal="center" vertical="center" wrapText="1"/>
    </xf>
    <xf numFmtId="1" fontId="2" fillId="15" borderId="1" xfId="0" applyNumberFormat="1" applyFont="1" applyFill="1" applyBorder="1" applyAlignment="1">
      <alignment horizontal="center" vertical="center" wrapText="1"/>
    </xf>
    <xf numFmtId="1" fontId="2" fillId="6" borderId="1" xfId="0" applyNumberFormat="1" applyFont="1" applyFill="1" applyBorder="1" applyAlignment="1">
      <alignment horizontal="center" vertical="center" wrapText="1"/>
    </xf>
    <xf numFmtId="166" fontId="2" fillId="0" borderId="0" xfId="1" applyNumberFormat="1" applyFont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1" fontId="2" fillId="17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9" fontId="3" fillId="4" borderId="1" xfId="1" applyFont="1" applyFill="1" applyBorder="1" applyAlignment="1">
      <alignment horizontal="center" vertical="center" wrapText="1"/>
    </xf>
    <xf numFmtId="166" fontId="2" fillId="5" borderId="1" xfId="1" applyNumberFormat="1" applyFont="1" applyFill="1" applyBorder="1" applyAlignment="1">
      <alignment horizontal="center" vertical="center" wrapText="1"/>
    </xf>
    <xf numFmtId="167" fontId="10" fillId="6" borderId="1" xfId="2" applyNumberFormat="1" applyFont="1" applyFill="1" applyBorder="1"/>
    <xf numFmtId="49" fontId="18" fillId="18" borderId="8" xfId="0" applyNumberFormat="1" applyFont="1" applyFill="1" applyBorder="1" applyAlignment="1">
      <alignment horizontal="center" wrapText="1"/>
    </xf>
    <xf numFmtId="0" fontId="25" fillId="0" borderId="0" xfId="0" applyFont="1" applyAlignment="1">
      <alignment wrapText="1"/>
    </xf>
    <xf numFmtId="1" fontId="2" fillId="18" borderId="1" xfId="0" applyNumberFormat="1" applyFont="1" applyFill="1" applyBorder="1" applyAlignment="1">
      <alignment horizontal="center" vertical="center" wrapText="1"/>
    </xf>
    <xf numFmtId="1" fontId="26" fillId="0" borderId="1" xfId="0" applyNumberFormat="1" applyFont="1" applyBorder="1" applyAlignment="1">
      <alignment wrapText="1"/>
    </xf>
    <xf numFmtId="1" fontId="9" fillId="0" borderId="0" xfId="0" applyNumberFormat="1" applyFont="1"/>
    <xf numFmtId="0" fontId="2" fillId="18" borderId="1" xfId="0" applyFont="1" applyFill="1" applyBorder="1" applyAlignment="1">
      <alignment horizontal="center" vertical="center" wrapText="1"/>
    </xf>
    <xf numFmtId="0" fontId="4" fillId="18" borderId="0" xfId="0" applyFont="1" applyFill="1" applyAlignment="1">
      <alignment horizontal="center" vertical="center" wrapText="1"/>
    </xf>
    <xf numFmtId="9" fontId="3" fillId="4" borderId="2" xfId="1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 wrapText="1"/>
    </xf>
    <xf numFmtId="166" fontId="6" fillId="18" borderId="1" xfId="1" applyNumberFormat="1" applyFont="1" applyFill="1" applyBorder="1" applyAlignment="1">
      <alignment horizontal="center" vertical="center" wrapText="1"/>
    </xf>
    <xf numFmtId="0" fontId="10" fillId="6" borderId="1" xfId="1" applyNumberFormat="1" applyFont="1" applyFill="1" applyBorder="1"/>
    <xf numFmtId="9" fontId="10" fillId="6" borderId="1" xfId="1" applyFont="1" applyFill="1" applyBorder="1"/>
    <xf numFmtId="10" fontId="10" fillId="6" borderId="1" xfId="1" applyNumberFormat="1" applyFont="1" applyFill="1" applyBorder="1"/>
    <xf numFmtId="0" fontId="27" fillId="19" borderId="12" xfId="0" applyFont="1" applyFill="1" applyBorder="1" applyAlignment="1">
      <alignment horizontal="right" wrapText="1" readingOrder="1"/>
    </xf>
    <xf numFmtId="0" fontId="10" fillId="0" borderId="1" xfId="0" applyFont="1" applyBorder="1" applyAlignment="1">
      <alignment wrapText="1"/>
    </xf>
    <xf numFmtId="0" fontId="28" fillId="0" borderId="0" xfId="0" applyFont="1" applyAlignment="1">
      <alignment vertical="center"/>
    </xf>
    <xf numFmtId="0" fontId="28" fillId="2" borderId="0" xfId="0" applyFont="1" applyFill="1" applyAlignment="1">
      <alignment vertical="center"/>
    </xf>
    <xf numFmtId="0" fontId="9" fillId="2" borderId="0" xfId="0" applyFont="1" applyFill="1"/>
    <xf numFmtId="0" fontId="10" fillId="2" borderId="0" xfId="0" applyFont="1" applyFill="1"/>
    <xf numFmtId="17" fontId="9" fillId="2" borderId="1" xfId="0" applyNumberFormat="1" applyFont="1" applyFill="1" applyBorder="1"/>
    <xf numFmtId="0" fontId="9" fillId="2" borderId="1" xfId="0" applyFont="1" applyFill="1" applyBorder="1"/>
    <xf numFmtId="165" fontId="20" fillId="6" borderId="5" xfId="2" applyFont="1" applyFill="1" applyBorder="1" applyAlignment="1">
      <alignment vertical="center" wrapText="1"/>
    </xf>
    <xf numFmtId="165" fontId="16" fillId="6" borderId="5" xfId="2" applyFont="1" applyFill="1" applyBorder="1" applyAlignment="1">
      <alignment vertical="center" wrapText="1"/>
    </xf>
    <xf numFmtId="2" fontId="8" fillId="3" borderId="3" xfId="0" applyNumberFormat="1" applyFont="1" applyFill="1" applyBorder="1" applyAlignment="1">
      <alignment vertical="center" wrapText="1"/>
    </xf>
    <xf numFmtId="168" fontId="8" fillId="3" borderId="3" xfId="0" applyNumberFormat="1" applyFont="1" applyFill="1" applyBorder="1" applyAlignment="1">
      <alignment vertical="center" wrapText="1"/>
    </xf>
    <xf numFmtId="0" fontId="19" fillId="0" borderId="1" xfId="0" applyFont="1" applyBorder="1" applyAlignment="1">
      <alignment wrapText="1"/>
    </xf>
    <xf numFmtId="166" fontId="20" fillId="0" borderId="5" xfId="0" applyNumberFormat="1" applyFont="1" applyBorder="1" applyAlignment="1">
      <alignment vertical="center" wrapText="1"/>
    </xf>
    <xf numFmtId="168" fontId="9" fillId="6" borderId="1" xfId="0" applyNumberFormat="1" applyFont="1" applyFill="1" applyBorder="1"/>
    <xf numFmtId="168" fontId="9" fillId="6" borderId="1" xfId="2" applyNumberFormat="1" applyFont="1" applyFill="1" applyBorder="1"/>
    <xf numFmtId="0" fontId="29" fillId="0" borderId="0" xfId="0" applyFont="1" applyAlignment="1">
      <alignment wrapText="1"/>
    </xf>
    <xf numFmtId="164" fontId="9" fillId="6" borderId="1" xfId="3" applyFont="1" applyFill="1" applyBorder="1"/>
    <xf numFmtId="169" fontId="9" fillId="6" borderId="1" xfId="2" applyNumberFormat="1" applyFont="1" applyFill="1" applyBorder="1"/>
    <xf numFmtId="164" fontId="10" fillId="6" borderId="1" xfId="3" applyFont="1" applyFill="1" applyBorder="1"/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9" fillId="0" borderId="18" xfId="0" applyFont="1" applyBorder="1"/>
    <xf numFmtId="0" fontId="9" fillId="0" borderId="19" xfId="0" applyFont="1" applyBorder="1"/>
    <xf numFmtId="0" fontId="9" fillId="0" borderId="20" xfId="0" applyFont="1" applyBorder="1"/>
    <xf numFmtId="0" fontId="9" fillId="0" borderId="21" xfId="0" applyFont="1" applyBorder="1"/>
    <xf numFmtId="0" fontId="9" fillId="0" borderId="14" xfId="0" applyFont="1" applyBorder="1"/>
    <xf numFmtId="0" fontId="9" fillId="0" borderId="22" xfId="0" applyFont="1" applyBorder="1"/>
    <xf numFmtId="0" fontId="9" fillId="0" borderId="13" xfId="0" applyFont="1" applyBorder="1"/>
    <xf numFmtId="1" fontId="23" fillId="18" borderId="10" xfId="0" applyNumberFormat="1" applyFont="1" applyFill="1" applyBorder="1"/>
    <xf numFmtId="14" fontId="9" fillId="0" borderId="0" xfId="0" applyNumberFormat="1" applyFont="1"/>
    <xf numFmtId="0" fontId="2" fillId="18" borderId="1" xfId="0" applyFont="1" applyFill="1" applyBorder="1" applyAlignment="1">
      <alignment vertical="center" wrapText="1"/>
    </xf>
    <xf numFmtId="166" fontId="2" fillId="0" borderId="1" xfId="1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5" borderId="0" xfId="0" applyFont="1" applyFill="1" applyAlignment="1">
      <alignment horizontal="center" vertical="center" wrapText="1"/>
    </xf>
    <xf numFmtId="0" fontId="2" fillId="13" borderId="0" xfId="0" applyFont="1" applyFill="1" applyAlignment="1">
      <alignment horizontal="center" vertical="center" wrapText="1"/>
    </xf>
    <xf numFmtId="1" fontId="2" fillId="20" borderId="1" xfId="0" applyNumberFormat="1" applyFont="1" applyFill="1" applyBorder="1" applyAlignment="1">
      <alignment horizontal="center" vertical="center" wrapText="1"/>
    </xf>
    <xf numFmtId="167" fontId="2" fillId="0" borderId="1" xfId="2" applyNumberFormat="1" applyFont="1" applyBorder="1" applyAlignment="1">
      <alignment horizontal="center" vertical="center" wrapText="1"/>
    </xf>
    <xf numFmtId="166" fontId="30" fillId="21" borderId="0" xfId="0" applyNumberFormat="1" applyFont="1" applyFill="1" applyAlignment="1">
      <alignment horizontal="center" vertical="center" wrapText="1"/>
    </xf>
    <xf numFmtId="10" fontId="9" fillId="0" borderId="0" xfId="0" applyNumberFormat="1" applyFont="1"/>
    <xf numFmtId="9" fontId="9" fillId="0" borderId="0" xfId="0" applyNumberFormat="1" applyFont="1"/>
    <xf numFmtId="166" fontId="2" fillId="18" borderId="1" xfId="1" applyNumberFormat="1" applyFont="1" applyFill="1" applyBorder="1" applyAlignment="1">
      <alignment horizontal="center" vertical="center" wrapText="1"/>
    </xf>
    <xf numFmtId="165" fontId="9" fillId="18" borderId="0" xfId="2" applyFont="1" applyFill="1"/>
    <xf numFmtId="165" fontId="9" fillId="18" borderId="14" xfId="2" applyFont="1" applyFill="1" applyBorder="1"/>
    <xf numFmtId="166" fontId="9" fillId="18" borderId="14" xfId="1" applyNumberFormat="1" applyFont="1" applyFill="1" applyBorder="1"/>
    <xf numFmtId="165" fontId="10" fillId="18" borderId="14" xfId="2" applyFont="1" applyFill="1" applyBorder="1"/>
    <xf numFmtId="0" fontId="9" fillId="0" borderId="14" xfId="0" applyFont="1" applyBorder="1" applyAlignment="1">
      <alignment wrapText="1"/>
    </xf>
    <xf numFmtId="166" fontId="9" fillId="0" borderId="14" xfId="1" applyNumberFormat="1" applyFont="1" applyBorder="1"/>
    <xf numFmtId="166" fontId="10" fillId="0" borderId="14" xfId="1" applyNumberFormat="1" applyFont="1" applyBorder="1"/>
    <xf numFmtId="167" fontId="31" fillId="0" borderId="0" xfId="2" applyNumberFormat="1" applyFont="1"/>
    <xf numFmtId="170" fontId="10" fillId="6" borderId="1" xfId="1" applyNumberFormat="1" applyFont="1" applyFill="1" applyBorder="1"/>
    <xf numFmtId="0" fontId="9" fillId="18" borderId="1" xfId="0" applyFont="1" applyFill="1" applyBorder="1" applyAlignment="1">
      <alignment wrapText="1"/>
    </xf>
    <xf numFmtId="0" fontId="9" fillId="17" borderId="1" xfId="0" applyFont="1" applyFill="1" applyBorder="1" applyAlignment="1">
      <alignment wrapText="1"/>
    </xf>
    <xf numFmtId="0" fontId="9" fillId="5" borderId="1" xfId="0" applyFont="1" applyFill="1" applyBorder="1" applyAlignment="1">
      <alignment wrapText="1"/>
    </xf>
    <xf numFmtId="0" fontId="9" fillId="22" borderId="1" xfId="0" applyFont="1" applyFill="1" applyBorder="1" applyAlignment="1">
      <alignment wrapText="1"/>
    </xf>
    <xf numFmtId="0" fontId="9" fillId="23" borderId="1" xfId="0" applyFont="1" applyFill="1" applyBorder="1" applyAlignment="1">
      <alignment wrapText="1"/>
    </xf>
    <xf numFmtId="0" fontId="9" fillId="24" borderId="1" xfId="0" applyFont="1" applyFill="1" applyBorder="1" applyAlignment="1">
      <alignment wrapText="1"/>
    </xf>
    <xf numFmtId="0" fontId="0" fillId="0" borderId="1" xfId="0" applyBorder="1"/>
    <xf numFmtId="1" fontId="0" fillId="0" borderId="1" xfId="0" applyNumberFormat="1" applyBorder="1"/>
    <xf numFmtId="10" fontId="0" fillId="0" borderId="1" xfId="1" applyNumberFormat="1" applyFont="1" applyBorder="1"/>
    <xf numFmtId="10" fontId="9" fillId="0" borderId="1" xfId="0" applyNumberFormat="1" applyFont="1" applyBorder="1"/>
    <xf numFmtId="10" fontId="0" fillId="0" borderId="1" xfId="0" applyNumberFormat="1" applyBorder="1"/>
    <xf numFmtId="1" fontId="0" fillId="6" borderId="1" xfId="0" applyNumberFormat="1" applyFill="1" applyBorder="1"/>
    <xf numFmtId="10" fontId="0" fillId="6" borderId="1" xfId="1" applyNumberFormat="1" applyFont="1" applyFill="1" applyBorder="1"/>
    <xf numFmtId="1" fontId="0" fillId="11" borderId="1" xfId="0" applyNumberFormat="1" applyFill="1" applyBorder="1"/>
    <xf numFmtId="0" fontId="0" fillId="11" borderId="1" xfId="0" applyFill="1" applyBorder="1"/>
    <xf numFmtId="0" fontId="15" fillId="11" borderId="1" xfId="0" applyFont="1" applyFill="1" applyBorder="1" applyAlignment="1">
      <alignment vertical="center" wrapText="1"/>
    </xf>
    <xf numFmtId="0" fontId="33" fillId="25" borderId="1" xfId="0" applyFont="1" applyFill="1" applyBorder="1" applyAlignment="1">
      <alignment wrapText="1"/>
    </xf>
    <xf numFmtId="10" fontId="1" fillId="0" borderId="1" xfId="1" applyNumberFormat="1" applyFont="1" applyBorder="1"/>
    <xf numFmtId="1" fontId="34" fillId="0" borderId="1" xfId="0" applyNumberFormat="1" applyFont="1" applyBorder="1" applyAlignment="1">
      <alignment vertical="center" wrapText="1"/>
    </xf>
    <xf numFmtId="10" fontId="34" fillId="0" borderId="1" xfId="1" applyNumberFormat="1" applyFont="1" applyFill="1" applyBorder="1" applyAlignment="1">
      <alignment vertical="center" wrapText="1"/>
    </xf>
    <xf numFmtId="165" fontId="9" fillId="0" borderId="0" xfId="0" applyNumberFormat="1" applyFont="1"/>
    <xf numFmtId="9" fontId="0" fillId="0" borderId="1" xfId="0" applyNumberFormat="1" applyBorder="1"/>
    <xf numFmtId="0" fontId="9" fillId="15" borderId="1" xfId="0" applyFont="1" applyFill="1" applyBorder="1" applyAlignment="1">
      <alignment wrapText="1"/>
    </xf>
    <xf numFmtId="164" fontId="0" fillId="0" borderId="1" xfId="0" applyNumberFormat="1" applyBorder="1"/>
    <xf numFmtId="169" fontId="10" fillId="6" borderId="1" xfId="2" applyNumberFormat="1" applyFont="1" applyFill="1" applyBorder="1"/>
    <xf numFmtId="165" fontId="0" fillId="0" borderId="1" xfId="2" applyFont="1" applyBorder="1"/>
    <xf numFmtId="169" fontId="0" fillId="0" borderId="1" xfId="2" applyNumberFormat="1" applyFont="1" applyBorder="1"/>
    <xf numFmtId="165" fontId="20" fillId="6" borderId="5" xfId="0" applyNumberFormat="1" applyFont="1" applyFill="1" applyBorder="1" applyAlignment="1">
      <alignment vertical="center" wrapText="1"/>
    </xf>
    <xf numFmtId="0" fontId="9" fillId="2" borderId="0" xfId="0" applyFont="1" applyFill="1" applyAlignment="1">
      <alignment horizontal="left"/>
    </xf>
    <xf numFmtId="0" fontId="10" fillId="2" borderId="0" xfId="0" applyFont="1" applyFill="1" applyAlignment="1">
      <alignment horizontal="left" vertical="center" wrapText="1"/>
    </xf>
    <xf numFmtId="0" fontId="32" fillId="0" borderId="1" xfId="0" applyFont="1" applyBorder="1" applyAlignment="1">
      <alignment horizontal="left" vertical="center" wrapText="1"/>
    </xf>
    <xf numFmtId="0" fontId="32" fillId="6" borderId="1" xfId="0" applyFont="1" applyFill="1" applyBorder="1" applyAlignment="1">
      <alignment horizontal="left" vertical="center" wrapText="1"/>
    </xf>
    <xf numFmtId="1" fontId="9" fillId="6" borderId="1" xfId="0" applyNumberFormat="1" applyFont="1" applyFill="1" applyBorder="1" applyAlignment="1">
      <alignment horizontal="center"/>
    </xf>
    <xf numFmtId="165" fontId="9" fillId="6" borderId="1" xfId="2" applyFont="1" applyFill="1" applyBorder="1" applyAlignment="1">
      <alignment horizontal="center"/>
    </xf>
  </cellXfs>
  <cellStyles count="4">
    <cellStyle name="Millares [0]" xfId="2" builtinId="6"/>
    <cellStyle name="Moneda [0]" xfId="3" builtinId="7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42" Type="http://schemas.openxmlformats.org/officeDocument/2006/relationships/externalLink" Target="externalLinks/externalLink14.xml"/><Relationship Id="rId47" Type="http://schemas.openxmlformats.org/officeDocument/2006/relationships/externalLink" Target="externalLinks/externalLink19.xml"/><Relationship Id="rId50" Type="http://schemas.openxmlformats.org/officeDocument/2006/relationships/externalLink" Target="externalLinks/externalLink22.xml"/><Relationship Id="rId55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externalLink" Target="externalLinks/externalLink12.xml"/><Relationship Id="rId45" Type="http://schemas.openxmlformats.org/officeDocument/2006/relationships/externalLink" Target="externalLinks/externalLink17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4" Type="http://schemas.openxmlformats.org/officeDocument/2006/relationships/externalLink" Target="externalLinks/externalLink16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43" Type="http://schemas.openxmlformats.org/officeDocument/2006/relationships/externalLink" Target="externalLinks/externalLink15.xml"/><Relationship Id="rId48" Type="http://schemas.openxmlformats.org/officeDocument/2006/relationships/externalLink" Target="externalLinks/externalLink20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externalLink" Target="externalLinks/externalLink10.xml"/><Relationship Id="rId46" Type="http://schemas.openxmlformats.org/officeDocument/2006/relationships/externalLink" Target="externalLinks/externalLink1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3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49" Type="http://schemas.openxmlformats.org/officeDocument/2006/relationships/externalLink" Target="externalLinks/externalLink2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15</xdr:col>
      <xdr:colOff>183445</xdr:colOff>
      <xdr:row>15</xdr:row>
      <xdr:rowOff>236502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6C81832-0555-4B7B-96A5-B375A98EC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26580" y="1638300"/>
          <a:ext cx="6523285" cy="325402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Users\Sebasti&#225;n%20Cid\Desktop\Evaluaci&#243;n%20COMGES\1.%20Planilla%20Evaluaci&#243;n%20Preliminar%20COMGES%20201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icenciasminsal.sharepoint.com/sites/DepartamentoControldeGestinSRA/Documentos%20compartidos/EAR%20-%20COMGES/Formulaci&#243;n%20Instrumentos%20CG/Formulaci&#243;n%202025/Indicadores%20Instrumentos%202025%20formulaci&#243;n%20revisi&#243;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ETAS%202026/Ley%2018.834/RESULTADO%20METAS%2018834%202026%20OK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3.76.26\Estadistica\Rem%202026\(1)%20Enero\121121A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3.76.26\Estadistica\Rem%202026\(2)%20Febrero\121121A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3.76.26\Estadistica\Rem%202026\(3)%20Marzo\121121A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3.76.26\Estadistica\Rem%202026\(4)%20Abril\121121A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3.76.26\Estadistica\Rem%202026\(5)%20Mayo\121121A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3.76.26\Estadistica\Rem%202026\(6)%20Junio\121121A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3.76.26\Estadistica\Rem%202025\(7)%20Julio\121121A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3.76.26\Estadistica\Rem%202025\(8)%20Agosto\121121A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3.76.26\Estadistica\Rem%202025\(9)%20Septiembre\121121A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3.76.26\Estadistica\Rem%202025\(10)%20Octubre\121121A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3.76.26\Estadistica\Rem%202025\(11)%20Noviembre\121121A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3.76.26\Estadistica\Rem%202025\(6)%20Junio\121121A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3.76.26\Estadistica\Rem%202025\(4)%20Abril\121121A.xlsm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3.76.26\Estadistica\Rem%202026\(1)%20Enero\121121BS.xlsm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3.76.26\Estadistica\Rem%202025\(1)%20Enero\121121A.xlsm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3.76.26\Estadistica\Rem%202026\(2)%20Febrero\121121BS.xlsm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3.76.26\Estadistica\Rem%202026\(3)%20Marzo\121121BS.xlsm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3.76.26\Estadistica\Rem%202026\(4)%20Abril\121121BS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3.76.26\Estadistica\Rem%202026\(5)%20Mayo\121121BS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3.76.26\Estadistica\Rem%202026\(6)%20Junio\121121B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CG1"/>
      <sheetName val="CG2"/>
      <sheetName val="CG3"/>
      <sheetName val="CG4"/>
      <sheetName val="CG5"/>
      <sheetName val="CG6"/>
      <sheetName val="CG7"/>
      <sheetName val="CG8"/>
      <sheetName val="CG9"/>
      <sheetName val="CG10"/>
      <sheetName val="CG11"/>
      <sheetName val="CG12"/>
      <sheetName val="CG13"/>
      <sheetName val="CG14"/>
      <sheetName val="CG15"/>
      <sheetName val="CG16"/>
      <sheetName val="CG17"/>
      <sheetName val="CG18"/>
      <sheetName val="CG19"/>
      <sheetName val="CG20"/>
      <sheetName val="CG21"/>
      <sheetName val="CG22"/>
      <sheetName val="CG23"/>
      <sheetName val="CG24MN"/>
      <sheetName val="CG24MCN"/>
      <sheetName val="CG24MC"/>
      <sheetName val="CG24MCS"/>
      <sheetName val="CG24MS"/>
      <sheetName val="CG24MES"/>
      <sheetName val="CG25MN"/>
      <sheetName val="CG25MCN"/>
      <sheetName val="CG25MC"/>
      <sheetName val="CG25MCS"/>
      <sheetName val="CG25MS"/>
      <sheetName val="CG25MES"/>
    </sheetNames>
    <sheetDataSet>
      <sheetData sheetId="0">
        <row r="1">
          <cell r="A1" t="str">
            <v>Sí</v>
          </cell>
        </row>
        <row r="2">
          <cell r="A2" t="str">
            <v>No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Todos 2024"/>
      <sheetName val="Hoja2"/>
      <sheetName val="Mantenedor"/>
      <sheetName val="Mapa de indicadores"/>
      <sheetName val="COMGES-EAR 24"/>
      <sheetName val="Hoja3"/>
      <sheetName val="Estrategia Nacional Salud"/>
      <sheetName val="DIGERA"/>
      <sheetName val="Hoja4"/>
      <sheetName val="Indicadores Instrumentos 2025 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O METAS"/>
      <sheetName val="ok 2026 DOC"/>
      <sheetName val="6 GES"/>
      <sheetName val="resumen gonzalo"/>
      <sheetName val="METAS CAPACITACION"/>
      <sheetName val="8 PLAN MANTENIMIENTO"/>
      <sheetName val="H. Villarrica 2026"/>
      <sheetName val="RESULTADO"/>
    </sheetNames>
    <sheetDataSet>
      <sheetData sheetId="0"/>
      <sheetData sheetId="1"/>
      <sheetData sheetId="2">
        <row r="2">
          <cell r="H2">
            <v>2259</v>
          </cell>
          <cell r="I2">
            <v>2377</v>
          </cell>
        </row>
        <row r="3">
          <cell r="H3">
            <v>2920</v>
          </cell>
          <cell r="I3">
            <v>3095</v>
          </cell>
        </row>
        <row r="4">
          <cell r="H4">
            <v>3387</v>
          </cell>
          <cell r="I4">
            <v>3758</v>
          </cell>
        </row>
        <row r="5">
          <cell r="H5">
            <v>4820</v>
          </cell>
          <cell r="I5">
            <v>5273</v>
          </cell>
        </row>
        <row r="8">
          <cell r="H8"/>
          <cell r="I8"/>
        </row>
        <row r="9">
          <cell r="H9">
            <v>0</v>
          </cell>
          <cell r="I9">
            <v>0</v>
          </cell>
        </row>
        <row r="10">
          <cell r="H10"/>
          <cell r="I10"/>
        </row>
        <row r="11">
          <cell r="H11"/>
          <cell r="I11"/>
        </row>
        <row r="12">
          <cell r="H12"/>
          <cell r="I12"/>
        </row>
        <row r="13">
          <cell r="H13"/>
          <cell r="I13"/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BRE"/>
      <sheetName val="A01"/>
      <sheetName val="A02"/>
      <sheetName val="A03"/>
      <sheetName val="A04"/>
      <sheetName val="A05"/>
      <sheetName val="A06"/>
      <sheetName val="A07"/>
      <sheetName val="A08"/>
      <sheetName val="A09"/>
      <sheetName val="A11"/>
      <sheetName val="A11a"/>
      <sheetName val="A19a"/>
      <sheetName val="A19b"/>
      <sheetName val="A21"/>
      <sheetName val="A23"/>
      <sheetName val="A24"/>
      <sheetName val="A25"/>
      <sheetName val="A26"/>
      <sheetName val="A27"/>
      <sheetName val="A28"/>
      <sheetName val="A29"/>
      <sheetName val="A30"/>
      <sheetName val="A30AR"/>
      <sheetName val="A31"/>
      <sheetName val="A32"/>
      <sheetName val="A33"/>
      <sheetName val="A34"/>
      <sheetName val="Control"/>
      <sheetName val="MAC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2">
          <cell r="B12">
            <v>217</v>
          </cell>
          <cell r="X12">
            <v>70</v>
          </cell>
          <cell r="AB12">
            <v>0</v>
          </cell>
        </row>
        <row r="13">
          <cell r="B13">
            <v>603</v>
          </cell>
          <cell r="X13">
            <v>0</v>
          </cell>
          <cell r="AB13">
            <v>144</v>
          </cell>
        </row>
        <row r="14">
          <cell r="B14">
            <v>0</v>
          </cell>
          <cell r="X14">
            <v>0</v>
          </cell>
          <cell r="AB14">
            <v>0</v>
          </cell>
        </row>
        <row r="15">
          <cell r="B15">
            <v>0</v>
          </cell>
          <cell r="X15">
            <v>0</v>
          </cell>
          <cell r="AB15">
            <v>0</v>
          </cell>
        </row>
        <row r="16">
          <cell r="B16">
            <v>0</v>
          </cell>
          <cell r="X16">
            <v>0</v>
          </cell>
          <cell r="AB16">
            <v>0</v>
          </cell>
        </row>
        <row r="17">
          <cell r="B17">
            <v>42</v>
          </cell>
          <cell r="X17">
            <v>0</v>
          </cell>
          <cell r="AB17">
            <v>18</v>
          </cell>
        </row>
        <row r="18">
          <cell r="B18">
            <v>194</v>
          </cell>
          <cell r="X18">
            <v>1</v>
          </cell>
          <cell r="AB18">
            <v>21</v>
          </cell>
        </row>
        <row r="19">
          <cell r="B19">
            <v>80</v>
          </cell>
          <cell r="X19">
            <v>14</v>
          </cell>
          <cell r="AB19">
            <v>0</v>
          </cell>
        </row>
        <row r="20">
          <cell r="B20">
            <v>0</v>
          </cell>
          <cell r="X20">
            <v>0</v>
          </cell>
          <cell r="AB20">
            <v>0</v>
          </cell>
        </row>
        <row r="21">
          <cell r="B21">
            <v>0</v>
          </cell>
          <cell r="X21">
            <v>0</v>
          </cell>
          <cell r="AB21">
            <v>0</v>
          </cell>
        </row>
        <row r="22">
          <cell r="B22">
            <v>8</v>
          </cell>
          <cell r="X22">
            <v>0</v>
          </cell>
          <cell r="AB22">
            <v>3</v>
          </cell>
        </row>
        <row r="23">
          <cell r="B23">
            <v>0</v>
          </cell>
          <cell r="X23">
            <v>0</v>
          </cell>
          <cell r="AB23">
            <v>0</v>
          </cell>
        </row>
        <row r="24">
          <cell r="B24">
            <v>0</v>
          </cell>
          <cell r="X24">
            <v>0</v>
          </cell>
          <cell r="AB24">
            <v>0</v>
          </cell>
        </row>
        <row r="25">
          <cell r="B25">
            <v>0</v>
          </cell>
          <cell r="X25">
            <v>0</v>
          </cell>
          <cell r="AB25">
            <v>0</v>
          </cell>
        </row>
        <row r="26">
          <cell r="B26">
            <v>0</v>
          </cell>
          <cell r="X26">
            <v>0</v>
          </cell>
          <cell r="AB26">
            <v>0</v>
          </cell>
        </row>
        <row r="27">
          <cell r="B27">
            <v>7</v>
          </cell>
          <cell r="X27">
            <v>0</v>
          </cell>
          <cell r="AB27">
            <v>3</v>
          </cell>
        </row>
        <row r="28">
          <cell r="B28">
            <v>0</v>
          </cell>
          <cell r="X28">
            <v>0</v>
          </cell>
          <cell r="AB28">
            <v>0</v>
          </cell>
        </row>
        <row r="29">
          <cell r="B29">
            <v>0</v>
          </cell>
          <cell r="X29">
            <v>0</v>
          </cell>
          <cell r="AB29">
            <v>0</v>
          </cell>
        </row>
        <row r="30">
          <cell r="B30">
            <v>0</v>
          </cell>
          <cell r="X30">
            <v>0</v>
          </cell>
          <cell r="AB30">
            <v>0</v>
          </cell>
        </row>
        <row r="31">
          <cell r="B31">
            <v>0</v>
          </cell>
          <cell r="X31">
            <v>0</v>
          </cell>
          <cell r="AB31">
            <v>0</v>
          </cell>
        </row>
        <row r="32">
          <cell r="B32">
            <v>62</v>
          </cell>
          <cell r="X32">
            <v>1</v>
          </cell>
          <cell r="AB32">
            <v>18</v>
          </cell>
        </row>
        <row r="33">
          <cell r="B33">
            <v>0</v>
          </cell>
          <cell r="X33">
            <v>0</v>
          </cell>
          <cell r="AB33">
            <v>0</v>
          </cell>
        </row>
        <row r="34">
          <cell r="B34">
            <v>96</v>
          </cell>
          <cell r="X34">
            <v>12</v>
          </cell>
          <cell r="AB34">
            <v>19</v>
          </cell>
        </row>
        <row r="35">
          <cell r="B35">
            <v>0</v>
          </cell>
          <cell r="X35">
            <v>0</v>
          </cell>
          <cell r="AB35">
            <v>0</v>
          </cell>
        </row>
        <row r="36">
          <cell r="B36">
            <v>0</v>
          </cell>
          <cell r="X36">
            <v>0</v>
          </cell>
          <cell r="AB36">
            <v>0</v>
          </cell>
        </row>
        <row r="37">
          <cell r="B37">
            <v>0</v>
          </cell>
          <cell r="X37">
            <v>0</v>
          </cell>
          <cell r="AB37">
            <v>0</v>
          </cell>
        </row>
        <row r="38">
          <cell r="B38">
            <v>105</v>
          </cell>
          <cell r="X38">
            <v>19</v>
          </cell>
          <cell r="AB38">
            <v>0</v>
          </cell>
        </row>
        <row r="39">
          <cell r="B39">
            <v>214</v>
          </cell>
          <cell r="X39">
            <v>0</v>
          </cell>
          <cell r="AB39">
            <v>62</v>
          </cell>
        </row>
        <row r="40">
          <cell r="B40">
            <v>0</v>
          </cell>
          <cell r="X40">
            <v>0</v>
          </cell>
          <cell r="AB40">
            <v>0</v>
          </cell>
        </row>
        <row r="41">
          <cell r="B41">
            <v>317</v>
          </cell>
          <cell r="X41">
            <v>0</v>
          </cell>
          <cell r="AB41">
            <v>0</v>
          </cell>
        </row>
        <row r="42">
          <cell r="B42">
            <v>286</v>
          </cell>
          <cell r="X42">
            <v>0</v>
          </cell>
          <cell r="AB42">
            <v>5</v>
          </cell>
        </row>
        <row r="43">
          <cell r="B43">
            <v>138</v>
          </cell>
          <cell r="X43">
            <v>35</v>
          </cell>
          <cell r="AB43">
            <v>0</v>
          </cell>
        </row>
        <row r="44">
          <cell r="B44">
            <v>292</v>
          </cell>
          <cell r="X44">
            <v>0</v>
          </cell>
          <cell r="AB44">
            <v>141</v>
          </cell>
        </row>
        <row r="45">
          <cell r="B45">
            <v>0</v>
          </cell>
          <cell r="X45">
            <v>0</v>
          </cell>
          <cell r="AB45">
            <v>0</v>
          </cell>
        </row>
        <row r="46">
          <cell r="B46">
            <v>0</v>
          </cell>
          <cell r="X46">
            <v>0</v>
          </cell>
          <cell r="AB46">
            <v>0</v>
          </cell>
        </row>
        <row r="47">
          <cell r="B47">
            <v>0</v>
          </cell>
          <cell r="X47">
            <v>0</v>
          </cell>
          <cell r="AB47">
            <v>0</v>
          </cell>
        </row>
        <row r="48">
          <cell r="B48">
            <v>0</v>
          </cell>
          <cell r="X48">
            <v>0</v>
          </cell>
          <cell r="AB48">
            <v>0</v>
          </cell>
        </row>
        <row r="49">
          <cell r="B49">
            <v>28</v>
          </cell>
          <cell r="X49">
            <v>0</v>
          </cell>
          <cell r="AB49">
            <v>10</v>
          </cell>
        </row>
        <row r="50">
          <cell r="B50">
            <v>0</v>
          </cell>
          <cell r="X50">
            <v>0</v>
          </cell>
          <cell r="AB50">
            <v>0</v>
          </cell>
        </row>
        <row r="51">
          <cell r="B51">
            <v>0</v>
          </cell>
          <cell r="X51">
            <v>0</v>
          </cell>
          <cell r="AB51">
            <v>0</v>
          </cell>
        </row>
        <row r="52">
          <cell r="B52">
            <v>0</v>
          </cell>
          <cell r="X52">
            <v>0</v>
          </cell>
          <cell r="AB52">
            <v>0</v>
          </cell>
        </row>
        <row r="53">
          <cell r="B53">
            <v>0</v>
          </cell>
          <cell r="X53">
            <v>0</v>
          </cell>
          <cell r="AB53">
            <v>0</v>
          </cell>
        </row>
        <row r="54">
          <cell r="B54">
            <v>97</v>
          </cell>
          <cell r="X54">
            <v>14</v>
          </cell>
          <cell r="AB54">
            <v>58</v>
          </cell>
        </row>
        <row r="55">
          <cell r="B55">
            <v>678</v>
          </cell>
          <cell r="X55">
            <v>1</v>
          </cell>
          <cell r="AB55">
            <v>257</v>
          </cell>
        </row>
        <row r="56">
          <cell r="B56">
            <v>0</v>
          </cell>
          <cell r="X56">
            <v>0</v>
          </cell>
          <cell r="AB56">
            <v>0</v>
          </cell>
        </row>
        <row r="57">
          <cell r="B57">
            <v>0</v>
          </cell>
          <cell r="X57">
            <v>0</v>
          </cell>
          <cell r="AB57">
            <v>0</v>
          </cell>
        </row>
        <row r="58">
          <cell r="B58">
            <v>744</v>
          </cell>
          <cell r="X58">
            <v>67</v>
          </cell>
          <cell r="AB58">
            <v>311</v>
          </cell>
        </row>
        <row r="59">
          <cell r="B59">
            <v>88</v>
          </cell>
          <cell r="X59">
            <v>6</v>
          </cell>
          <cell r="AB59">
            <v>37</v>
          </cell>
        </row>
        <row r="60">
          <cell r="B60">
            <v>589</v>
          </cell>
          <cell r="X60">
            <v>36</v>
          </cell>
          <cell r="AB60">
            <v>96</v>
          </cell>
        </row>
        <row r="61">
          <cell r="B61">
            <v>258</v>
          </cell>
          <cell r="X61">
            <v>0</v>
          </cell>
          <cell r="AB61">
            <v>59</v>
          </cell>
        </row>
        <row r="62">
          <cell r="B62">
            <v>0</v>
          </cell>
          <cell r="X62">
            <v>0</v>
          </cell>
          <cell r="AB62">
            <v>0</v>
          </cell>
        </row>
        <row r="63">
          <cell r="B63">
            <v>0</v>
          </cell>
          <cell r="X63">
            <v>0</v>
          </cell>
          <cell r="AB63">
            <v>0</v>
          </cell>
        </row>
        <row r="64">
          <cell r="B64">
            <v>0</v>
          </cell>
          <cell r="X64">
            <v>0</v>
          </cell>
          <cell r="AB64">
            <v>0</v>
          </cell>
        </row>
        <row r="65">
          <cell r="B65">
            <v>0</v>
          </cell>
          <cell r="X65">
            <v>0</v>
          </cell>
          <cell r="AB65">
            <v>0</v>
          </cell>
        </row>
        <row r="66">
          <cell r="B66">
            <v>0</v>
          </cell>
          <cell r="X66">
            <v>0</v>
          </cell>
          <cell r="AB66">
            <v>0</v>
          </cell>
        </row>
        <row r="71">
          <cell r="S71">
            <v>31</v>
          </cell>
          <cell r="T71"/>
          <cell r="U71">
            <v>10</v>
          </cell>
          <cell r="V71">
            <v>42</v>
          </cell>
        </row>
        <row r="72">
          <cell r="S72">
            <v>1</v>
          </cell>
          <cell r="T72">
            <v>42</v>
          </cell>
          <cell r="U72">
            <v>20</v>
          </cell>
          <cell r="V72">
            <v>40</v>
          </cell>
        </row>
        <row r="73">
          <cell r="S73"/>
          <cell r="T73"/>
          <cell r="U73"/>
          <cell r="V73"/>
        </row>
        <row r="74">
          <cell r="S74"/>
          <cell r="T74"/>
          <cell r="U74"/>
          <cell r="V74"/>
        </row>
        <row r="75">
          <cell r="S75"/>
          <cell r="T75"/>
          <cell r="U75"/>
          <cell r="V75"/>
        </row>
        <row r="76">
          <cell r="S76"/>
          <cell r="T76"/>
          <cell r="U76">
            <v>2</v>
          </cell>
          <cell r="V76">
            <v>5</v>
          </cell>
        </row>
        <row r="77">
          <cell r="S77"/>
          <cell r="T77">
            <v>10</v>
          </cell>
          <cell r="U77">
            <v>1</v>
          </cell>
          <cell r="V77">
            <v>11</v>
          </cell>
        </row>
        <row r="78">
          <cell r="S78">
            <v>5</v>
          </cell>
          <cell r="T78"/>
          <cell r="U78">
            <v>1</v>
          </cell>
          <cell r="V78">
            <v>2</v>
          </cell>
        </row>
        <row r="79">
          <cell r="S79"/>
          <cell r="T79"/>
          <cell r="U79"/>
          <cell r="V79"/>
        </row>
        <row r="80">
          <cell r="S80"/>
          <cell r="T80"/>
          <cell r="U80"/>
          <cell r="V80"/>
        </row>
        <row r="81">
          <cell r="S81"/>
          <cell r="T81"/>
          <cell r="U81"/>
          <cell r="V81">
            <v>1</v>
          </cell>
        </row>
        <row r="82">
          <cell r="S82"/>
          <cell r="T82"/>
          <cell r="U82"/>
          <cell r="V82"/>
        </row>
        <row r="83">
          <cell r="S83"/>
          <cell r="T83"/>
          <cell r="U83"/>
          <cell r="V83"/>
        </row>
        <row r="84">
          <cell r="S84"/>
          <cell r="T84"/>
          <cell r="U84"/>
          <cell r="V84"/>
        </row>
        <row r="85">
          <cell r="S85"/>
          <cell r="T85"/>
          <cell r="U85"/>
          <cell r="V85"/>
        </row>
        <row r="86">
          <cell r="S86"/>
          <cell r="T86"/>
          <cell r="U86"/>
          <cell r="V86"/>
        </row>
        <row r="87">
          <cell r="S87"/>
          <cell r="T87"/>
          <cell r="U87"/>
          <cell r="V87"/>
        </row>
        <row r="88">
          <cell r="S88"/>
          <cell r="T88"/>
          <cell r="U88"/>
          <cell r="V88"/>
        </row>
        <row r="89">
          <cell r="S89"/>
          <cell r="T89"/>
          <cell r="U89"/>
          <cell r="V89"/>
        </row>
        <row r="90">
          <cell r="S90"/>
          <cell r="T90"/>
          <cell r="U90"/>
          <cell r="V90"/>
        </row>
        <row r="91">
          <cell r="S91">
            <v>3</v>
          </cell>
          <cell r="T91">
            <v>4</v>
          </cell>
          <cell r="U91">
            <v>3</v>
          </cell>
          <cell r="V91">
            <v>3</v>
          </cell>
        </row>
        <row r="92">
          <cell r="S92"/>
          <cell r="T92"/>
          <cell r="U92"/>
          <cell r="V92"/>
        </row>
        <row r="93">
          <cell r="S93">
            <v>4</v>
          </cell>
          <cell r="T93">
            <v>3</v>
          </cell>
          <cell r="U93">
            <v>3</v>
          </cell>
          <cell r="V93">
            <v>12</v>
          </cell>
        </row>
        <row r="94">
          <cell r="S94"/>
          <cell r="T94"/>
          <cell r="U94"/>
          <cell r="V94"/>
        </row>
        <row r="95">
          <cell r="S95"/>
          <cell r="T95"/>
          <cell r="U95"/>
          <cell r="V95"/>
        </row>
        <row r="96">
          <cell r="S96"/>
          <cell r="T96"/>
          <cell r="U96"/>
          <cell r="V96"/>
        </row>
        <row r="97">
          <cell r="S97">
            <v>6</v>
          </cell>
          <cell r="T97"/>
          <cell r="U97">
            <v>5</v>
          </cell>
          <cell r="V97">
            <v>6</v>
          </cell>
        </row>
        <row r="98">
          <cell r="S98"/>
          <cell r="T98">
            <v>18</v>
          </cell>
          <cell r="U98">
            <v>9</v>
          </cell>
          <cell r="V98">
            <v>19</v>
          </cell>
        </row>
        <row r="99">
          <cell r="S99"/>
          <cell r="T99"/>
          <cell r="U99"/>
          <cell r="V99"/>
        </row>
        <row r="100">
          <cell r="S100">
            <v>19</v>
          </cell>
          <cell r="T100">
            <v>2</v>
          </cell>
          <cell r="U100">
            <v>5</v>
          </cell>
          <cell r="V100">
            <v>58</v>
          </cell>
        </row>
        <row r="101">
          <cell r="S101">
            <v>1</v>
          </cell>
          <cell r="T101">
            <v>8</v>
          </cell>
          <cell r="U101">
            <v>4</v>
          </cell>
          <cell r="V101">
            <v>55</v>
          </cell>
        </row>
        <row r="102">
          <cell r="S102">
            <v>46</v>
          </cell>
          <cell r="T102"/>
          <cell r="U102">
            <v>1</v>
          </cell>
          <cell r="V102">
            <v>35</v>
          </cell>
        </row>
        <row r="103">
          <cell r="S103">
            <v>3</v>
          </cell>
          <cell r="T103">
            <v>70</v>
          </cell>
          <cell r="U103">
            <v>15</v>
          </cell>
          <cell r="V103">
            <v>17</v>
          </cell>
        </row>
        <row r="104">
          <cell r="S104"/>
          <cell r="T104"/>
          <cell r="U104"/>
          <cell r="V104"/>
        </row>
        <row r="105">
          <cell r="S105"/>
          <cell r="T105"/>
          <cell r="U105"/>
          <cell r="V105"/>
        </row>
        <row r="106">
          <cell r="S106"/>
          <cell r="T106"/>
          <cell r="U106"/>
          <cell r="V106"/>
        </row>
        <row r="107">
          <cell r="S107"/>
          <cell r="T107"/>
          <cell r="U107"/>
          <cell r="V107"/>
        </row>
        <row r="108">
          <cell r="S108"/>
          <cell r="T108">
            <v>2</v>
          </cell>
          <cell r="U108"/>
          <cell r="V108">
            <v>3</v>
          </cell>
        </row>
        <row r="109">
          <cell r="S109"/>
          <cell r="T109"/>
          <cell r="U109"/>
          <cell r="V109"/>
        </row>
        <row r="110">
          <cell r="S110"/>
          <cell r="T110"/>
          <cell r="U110"/>
          <cell r="V110"/>
        </row>
        <row r="111">
          <cell r="S111"/>
          <cell r="T111"/>
          <cell r="U111"/>
          <cell r="V111"/>
        </row>
        <row r="112">
          <cell r="S112"/>
          <cell r="T112"/>
          <cell r="U112"/>
          <cell r="V112"/>
        </row>
        <row r="113">
          <cell r="S113">
            <v>17</v>
          </cell>
          <cell r="T113">
            <v>66</v>
          </cell>
          <cell r="U113">
            <v>7</v>
          </cell>
          <cell r="V113">
            <v>2</v>
          </cell>
        </row>
        <row r="114">
          <cell r="S114">
            <v>3</v>
          </cell>
          <cell r="T114">
            <v>71</v>
          </cell>
          <cell r="U114">
            <v>69</v>
          </cell>
          <cell r="V114">
            <v>45</v>
          </cell>
        </row>
        <row r="115">
          <cell r="S115"/>
          <cell r="T115"/>
          <cell r="U115"/>
          <cell r="V115"/>
        </row>
        <row r="116">
          <cell r="S116"/>
          <cell r="T116"/>
          <cell r="U116"/>
          <cell r="V116"/>
        </row>
        <row r="117">
          <cell r="S117">
            <v>49</v>
          </cell>
          <cell r="T117">
            <v>192</v>
          </cell>
          <cell r="U117">
            <v>73</v>
          </cell>
          <cell r="V117">
            <v>21</v>
          </cell>
        </row>
        <row r="118">
          <cell r="S118">
            <v>1</v>
          </cell>
          <cell r="T118">
            <v>14</v>
          </cell>
          <cell r="U118">
            <v>8</v>
          </cell>
          <cell r="V118">
            <v>4</v>
          </cell>
        </row>
        <row r="119">
          <cell r="S119">
            <v>28</v>
          </cell>
          <cell r="T119">
            <v>46</v>
          </cell>
          <cell r="U119">
            <v>28</v>
          </cell>
          <cell r="V119">
            <v>69</v>
          </cell>
        </row>
        <row r="120">
          <cell r="S120">
            <v>1</v>
          </cell>
          <cell r="T120">
            <v>7</v>
          </cell>
          <cell r="U120">
            <v>10</v>
          </cell>
          <cell r="V120">
            <v>12</v>
          </cell>
        </row>
        <row r="121">
          <cell r="S121"/>
          <cell r="T121"/>
          <cell r="U121"/>
          <cell r="V121"/>
        </row>
        <row r="122">
          <cell r="S122"/>
          <cell r="T122"/>
          <cell r="U122"/>
          <cell r="V122"/>
        </row>
        <row r="123">
          <cell r="S123"/>
          <cell r="T123"/>
          <cell r="U123"/>
          <cell r="V123"/>
        </row>
        <row r="124">
          <cell r="S124"/>
          <cell r="T124"/>
          <cell r="U124"/>
          <cell r="V124"/>
        </row>
        <row r="125">
          <cell r="S125"/>
          <cell r="T125"/>
          <cell r="U125"/>
          <cell r="V125"/>
        </row>
      </sheetData>
      <sheetData sheetId="8">
        <row r="12">
          <cell r="B12">
            <v>3479</v>
          </cell>
          <cell r="AS12">
            <v>4616</v>
          </cell>
        </row>
        <row r="62">
          <cell r="B62">
            <v>350</v>
          </cell>
        </row>
        <row r="107">
          <cell r="C107">
            <v>136</v>
          </cell>
        </row>
        <row r="108">
          <cell r="C108">
            <v>59</v>
          </cell>
        </row>
        <row r="109">
          <cell r="C109">
            <v>66</v>
          </cell>
        </row>
        <row r="112">
          <cell r="C112">
            <v>0</v>
          </cell>
        </row>
      </sheetData>
      <sheetData sheetId="9"/>
      <sheetData sheetId="10"/>
      <sheetData sheetId="11"/>
      <sheetData sheetId="12"/>
      <sheetData sheetId="13"/>
      <sheetData sheetId="14">
        <row r="32">
          <cell r="C32">
            <v>61</v>
          </cell>
        </row>
        <row r="33">
          <cell r="C33">
            <v>504</v>
          </cell>
        </row>
        <row r="102">
          <cell r="F102">
            <v>27</v>
          </cell>
          <cell r="G102">
            <v>291</v>
          </cell>
          <cell r="H102">
            <v>1</v>
          </cell>
          <cell r="I102">
            <v>17</v>
          </cell>
        </row>
      </sheetData>
      <sheetData sheetId="15"/>
      <sheetData sheetId="16">
        <row r="13">
          <cell r="C13">
            <v>42</v>
          </cell>
        </row>
        <row r="14">
          <cell r="C14">
            <v>0</v>
          </cell>
        </row>
        <row r="15">
          <cell r="C15">
            <v>12</v>
          </cell>
        </row>
        <row r="16">
          <cell r="C16">
            <v>14</v>
          </cell>
        </row>
      </sheetData>
      <sheetData sheetId="17"/>
      <sheetData sheetId="18"/>
      <sheetData sheetId="19"/>
      <sheetData sheetId="20"/>
      <sheetData sheetId="21"/>
      <sheetData sheetId="22">
        <row r="13">
          <cell r="B13"/>
          <cell r="C13"/>
          <cell r="D13"/>
          <cell r="E13"/>
          <cell r="F13"/>
          <cell r="G13"/>
          <cell r="H13"/>
          <cell r="I13"/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B14"/>
          <cell r="C14"/>
          <cell r="D14"/>
          <cell r="E14"/>
          <cell r="F14"/>
          <cell r="G14"/>
          <cell r="H14">
            <v>1</v>
          </cell>
          <cell r="I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5</v>
          </cell>
          <cell r="Y14">
            <v>0</v>
          </cell>
        </row>
        <row r="15">
          <cell r="B15"/>
          <cell r="C15"/>
          <cell r="D15"/>
          <cell r="E15"/>
          <cell r="F15"/>
          <cell r="G15"/>
          <cell r="H15"/>
          <cell r="I15"/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  <row r="16">
          <cell r="B16"/>
          <cell r="C16"/>
          <cell r="D16"/>
          <cell r="E16"/>
          <cell r="F16"/>
          <cell r="G16"/>
          <cell r="H16"/>
          <cell r="I16"/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B17"/>
          <cell r="C17"/>
          <cell r="D17"/>
          <cell r="E17"/>
          <cell r="F17"/>
          <cell r="G17"/>
          <cell r="H17"/>
          <cell r="I17"/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B18"/>
          <cell r="C18"/>
          <cell r="D18"/>
          <cell r="E18"/>
          <cell r="F18"/>
          <cell r="G18"/>
          <cell r="H18"/>
          <cell r="I18"/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B19"/>
          <cell r="C19"/>
          <cell r="D19"/>
          <cell r="E19"/>
          <cell r="F19"/>
          <cell r="G19"/>
          <cell r="H19"/>
          <cell r="I19"/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10</v>
          </cell>
        </row>
        <row r="20">
          <cell r="B20"/>
          <cell r="C20"/>
          <cell r="D20"/>
          <cell r="E20"/>
          <cell r="F20"/>
          <cell r="G20"/>
          <cell r="H20"/>
          <cell r="I20"/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B21"/>
          <cell r="C21"/>
          <cell r="D21"/>
          <cell r="E21"/>
          <cell r="F21"/>
          <cell r="G21"/>
          <cell r="H21"/>
          <cell r="I21"/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B22"/>
          <cell r="C22"/>
          <cell r="D22"/>
          <cell r="E22"/>
          <cell r="F22"/>
          <cell r="G22"/>
          <cell r="H22"/>
          <cell r="I22"/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B23"/>
          <cell r="C23"/>
          <cell r="D23"/>
          <cell r="E23"/>
          <cell r="F23"/>
          <cell r="G23"/>
          <cell r="H23"/>
          <cell r="I23"/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B24"/>
          <cell r="C24"/>
          <cell r="D24"/>
          <cell r="E24"/>
          <cell r="F24"/>
          <cell r="G24"/>
          <cell r="H24"/>
          <cell r="I24"/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B25"/>
          <cell r="C25"/>
          <cell r="D25"/>
          <cell r="E25"/>
          <cell r="F25"/>
          <cell r="G25"/>
          <cell r="H25"/>
          <cell r="I25"/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B26"/>
          <cell r="C26"/>
          <cell r="D26"/>
          <cell r="E26"/>
          <cell r="F26"/>
          <cell r="G26"/>
          <cell r="H26"/>
          <cell r="I26"/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B27"/>
          <cell r="C27"/>
          <cell r="D27"/>
          <cell r="E27"/>
          <cell r="F27"/>
          <cell r="G27"/>
          <cell r="H27"/>
          <cell r="I27"/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B28"/>
          <cell r="C28"/>
          <cell r="D28"/>
          <cell r="E28"/>
          <cell r="F28"/>
          <cell r="G28"/>
          <cell r="H28"/>
          <cell r="I28"/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B29"/>
          <cell r="C29"/>
          <cell r="D29"/>
          <cell r="E29"/>
          <cell r="F29"/>
          <cell r="G29"/>
          <cell r="H29"/>
          <cell r="I29"/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B30"/>
          <cell r="C30"/>
          <cell r="D30"/>
          <cell r="E30"/>
          <cell r="F30"/>
          <cell r="G30"/>
          <cell r="H30"/>
          <cell r="I30"/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B31"/>
          <cell r="C31"/>
          <cell r="D31"/>
          <cell r="E31"/>
          <cell r="F31"/>
          <cell r="G31"/>
          <cell r="H31"/>
          <cell r="I31"/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B32"/>
          <cell r="C32"/>
          <cell r="D32"/>
          <cell r="E32"/>
          <cell r="F32"/>
          <cell r="G32"/>
          <cell r="H32"/>
          <cell r="I32"/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B33"/>
          <cell r="C33"/>
          <cell r="D33"/>
          <cell r="E33"/>
          <cell r="F33"/>
          <cell r="G33"/>
          <cell r="H33"/>
          <cell r="I33"/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B34"/>
          <cell r="C34"/>
          <cell r="D34"/>
          <cell r="E34"/>
          <cell r="F34"/>
          <cell r="G34"/>
          <cell r="H34"/>
          <cell r="I34"/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B35"/>
          <cell r="C35"/>
          <cell r="D35"/>
          <cell r="E35"/>
          <cell r="F35">
            <v>0</v>
          </cell>
          <cell r="G35">
            <v>1</v>
          </cell>
          <cell r="H35">
            <v>1</v>
          </cell>
          <cell r="I35">
            <v>1</v>
          </cell>
          <cell r="R35">
            <v>2</v>
          </cell>
          <cell r="S35">
            <v>1</v>
          </cell>
          <cell r="T35">
            <v>0</v>
          </cell>
          <cell r="U35">
            <v>1</v>
          </cell>
          <cell r="V35">
            <v>0</v>
          </cell>
          <cell r="W35">
            <v>2</v>
          </cell>
          <cell r="X35">
            <v>2</v>
          </cell>
          <cell r="Y35">
            <v>11</v>
          </cell>
        </row>
        <row r="36">
          <cell r="B36"/>
          <cell r="C36"/>
          <cell r="D36"/>
          <cell r="E36"/>
          <cell r="F36"/>
          <cell r="G36"/>
          <cell r="H36"/>
          <cell r="I36"/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B37"/>
          <cell r="C37"/>
          <cell r="D37"/>
          <cell r="E37"/>
          <cell r="F37"/>
          <cell r="G37"/>
          <cell r="H37"/>
          <cell r="I37"/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B38"/>
          <cell r="C38"/>
          <cell r="D38"/>
          <cell r="E38"/>
          <cell r="F38"/>
          <cell r="G38"/>
          <cell r="H38"/>
          <cell r="I38"/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B39"/>
          <cell r="C39"/>
          <cell r="D39"/>
          <cell r="E39"/>
          <cell r="F39"/>
          <cell r="G39"/>
          <cell r="H39"/>
          <cell r="I39"/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B40"/>
          <cell r="C40"/>
          <cell r="D40"/>
          <cell r="E40"/>
          <cell r="F40"/>
          <cell r="G40"/>
          <cell r="H40">
            <v>0</v>
          </cell>
          <cell r="I40">
            <v>1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1</v>
          </cell>
          <cell r="W40">
            <v>2</v>
          </cell>
          <cell r="X40">
            <v>10</v>
          </cell>
          <cell r="Y40">
            <v>29</v>
          </cell>
        </row>
        <row r="41">
          <cell r="B41"/>
          <cell r="C41"/>
          <cell r="D41"/>
          <cell r="E41"/>
          <cell r="F41"/>
          <cell r="G41"/>
          <cell r="H41"/>
          <cell r="I41"/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</row>
        <row r="42">
          <cell r="B42"/>
          <cell r="C42"/>
          <cell r="D42"/>
          <cell r="E42"/>
          <cell r="F42"/>
          <cell r="G42"/>
          <cell r="H42"/>
          <cell r="I42"/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</row>
        <row r="43">
          <cell r="B43"/>
          <cell r="C43"/>
          <cell r="D43"/>
          <cell r="E43"/>
          <cell r="F43"/>
          <cell r="G43"/>
          <cell r="H43"/>
          <cell r="I43"/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</row>
        <row r="44">
          <cell r="B44"/>
          <cell r="C44"/>
          <cell r="D44"/>
          <cell r="E44"/>
          <cell r="F44"/>
          <cell r="G44"/>
          <cell r="H44"/>
          <cell r="I44"/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</row>
        <row r="45">
          <cell r="B45"/>
          <cell r="C45"/>
          <cell r="D45"/>
          <cell r="E45"/>
          <cell r="F45"/>
          <cell r="G45"/>
          <cell r="H45"/>
          <cell r="I45"/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</row>
        <row r="46">
          <cell r="B46"/>
          <cell r="C46"/>
          <cell r="D46"/>
          <cell r="E46"/>
          <cell r="F46"/>
          <cell r="G46"/>
          <cell r="H46"/>
          <cell r="I46"/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B47"/>
          <cell r="C47"/>
          <cell r="D47"/>
          <cell r="E47"/>
          <cell r="F47"/>
          <cell r="G47"/>
          <cell r="H47"/>
          <cell r="I47"/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B48"/>
          <cell r="C48"/>
          <cell r="D48"/>
          <cell r="E48"/>
          <cell r="F48"/>
          <cell r="G48"/>
          <cell r="H48"/>
          <cell r="I48"/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B49"/>
          <cell r="C49"/>
          <cell r="D49"/>
          <cell r="E49"/>
          <cell r="F49"/>
          <cell r="G49"/>
          <cell r="H49"/>
          <cell r="I49"/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B50"/>
          <cell r="C50"/>
          <cell r="D50"/>
          <cell r="E50"/>
          <cell r="F50"/>
          <cell r="G50"/>
          <cell r="H50"/>
          <cell r="I50"/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1">
          <cell r="B51"/>
          <cell r="C51"/>
          <cell r="D51"/>
          <cell r="E51"/>
          <cell r="F51"/>
          <cell r="G51"/>
          <cell r="H51"/>
          <cell r="I51"/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B52"/>
          <cell r="C52"/>
          <cell r="D52"/>
          <cell r="E52"/>
          <cell r="F52"/>
          <cell r="G52"/>
          <cell r="H52"/>
          <cell r="I52"/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B53"/>
          <cell r="C53"/>
          <cell r="D53"/>
          <cell r="E53"/>
          <cell r="F53"/>
          <cell r="G53"/>
          <cell r="H53"/>
          <cell r="I53"/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B54"/>
          <cell r="C54"/>
          <cell r="D54"/>
          <cell r="E54"/>
          <cell r="F54"/>
          <cell r="G54"/>
          <cell r="H54"/>
          <cell r="I54"/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B55"/>
          <cell r="C55"/>
          <cell r="D55"/>
          <cell r="E55"/>
          <cell r="F55"/>
          <cell r="G55"/>
          <cell r="H55"/>
          <cell r="I55"/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B56"/>
          <cell r="C56"/>
          <cell r="D56"/>
          <cell r="E56"/>
          <cell r="F56"/>
          <cell r="G56"/>
          <cell r="H56"/>
          <cell r="I56"/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B57"/>
          <cell r="C57"/>
          <cell r="D57"/>
          <cell r="E57"/>
          <cell r="F57"/>
          <cell r="G57"/>
          <cell r="H57"/>
          <cell r="I57"/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B58"/>
          <cell r="C58"/>
          <cell r="D58"/>
          <cell r="E58"/>
          <cell r="F58"/>
          <cell r="G58"/>
          <cell r="H58"/>
          <cell r="I58"/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</row>
        <row r="59">
          <cell r="B59"/>
          <cell r="C59"/>
          <cell r="D59"/>
          <cell r="E59"/>
          <cell r="F59"/>
          <cell r="G59"/>
          <cell r="H59"/>
          <cell r="I59"/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B60"/>
          <cell r="C60"/>
          <cell r="D60"/>
          <cell r="E60"/>
          <cell r="F60"/>
          <cell r="G60"/>
          <cell r="H60"/>
          <cell r="I60"/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B61"/>
          <cell r="C61"/>
          <cell r="D61"/>
          <cell r="E61"/>
          <cell r="F61"/>
          <cell r="G61"/>
          <cell r="H61"/>
          <cell r="I61"/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</row>
        <row r="62">
          <cell r="B62"/>
          <cell r="C62"/>
          <cell r="D62"/>
          <cell r="E62"/>
          <cell r="F62"/>
          <cell r="G62"/>
          <cell r="H62"/>
          <cell r="I62"/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B63"/>
          <cell r="C63"/>
          <cell r="D63"/>
          <cell r="E63"/>
          <cell r="F63"/>
          <cell r="G63"/>
          <cell r="H63"/>
          <cell r="I63"/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B64"/>
          <cell r="C64"/>
          <cell r="D64"/>
          <cell r="E64"/>
          <cell r="F64"/>
          <cell r="G64"/>
          <cell r="H64"/>
          <cell r="I64"/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B65"/>
          <cell r="C65"/>
          <cell r="D65"/>
          <cell r="E65"/>
          <cell r="F65"/>
          <cell r="G65"/>
          <cell r="H65"/>
          <cell r="I65"/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B66"/>
          <cell r="C66"/>
          <cell r="D66"/>
          <cell r="E66"/>
          <cell r="F66"/>
          <cell r="G66"/>
          <cell r="H66"/>
          <cell r="I66"/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</row>
        <row r="67">
          <cell r="B67"/>
          <cell r="C67"/>
          <cell r="D67"/>
          <cell r="E67"/>
          <cell r="F67"/>
          <cell r="G67"/>
          <cell r="H67"/>
          <cell r="I67"/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</sheetData>
      <sheetData sheetId="23"/>
      <sheetData sheetId="24"/>
      <sheetData sheetId="25">
        <row r="35">
          <cell r="B35">
            <v>0</v>
          </cell>
          <cell r="V35"/>
          <cell r="W35"/>
          <cell r="X35"/>
          <cell r="Y35"/>
          <cell r="Z35">
            <v>0</v>
          </cell>
          <cell r="AE35">
            <v>0</v>
          </cell>
        </row>
        <row r="36">
          <cell r="B36">
            <v>2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E36">
            <v>1</v>
          </cell>
        </row>
        <row r="37">
          <cell r="B37">
            <v>0</v>
          </cell>
          <cell r="V37"/>
          <cell r="W37"/>
          <cell r="X37"/>
          <cell r="Y37"/>
          <cell r="Z37">
            <v>0</v>
          </cell>
          <cell r="AE37">
            <v>0</v>
          </cell>
        </row>
        <row r="38">
          <cell r="B38">
            <v>0</v>
          </cell>
          <cell r="V38"/>
          <cell r="W38"/>
          <cell r="X38"/>
          <cell r="Y38"/>
          <cell r="Z38">
            <v>0</v>
          </cell>
          <cell r="AE38">
            <v>0</v>
          </cell>
        </row>
        <row r="39">
          <cell r="B39">
            <v>0</v>
          </cell>
          <cell r="V39"/>
          <cell r="W39"/>
          <cell r="X39"/>
          <cell r="Y39"/>
          <cell r="Z39">
            <v>0</v>
          </cell>
          <cell r="AE39">
            <v>0</v>
          </cell>
        </row>
        <row r="40">
          <cell r="B40">
            <v>0</v>
          </cell>
          <cell r="V40"/>
          <cell r="W40"/>
          <cell r="X40"/>
          <cell r="Y40"/>
          <cell r="Z40">
            <v>0</v>
          </cell>
          <cell r="AE40">
            <v>0</v>
          </cell>
        </row>
        <row r="41">
          <cell r="B41">
            <v>0</v>
          </cell>
          <cell r="V41"/>
          <cell r="W41"/>
          <cell r="X41"/>
          <cell r="Y41"/>
          <cell r="Z41">
            <v>0</v>
          </cell>
          <cell r="AE41">
            <v>0</v>
          </cell>
        </row>
        <row r="42">
          <cell r="B42">
            <v>5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E42">
            <v>0</v>
          </cell>
        </row>
        <row r="43">
          <cell r="B43">
            <v>0</v>
          </cell>
          <cell r="V43"/>
          <cell r="W43"/>
          <cell r="X43"/>
          <cell r="Y43"/>
          <cell r="Z43">
            <v>0</v>
          </cell>
          <cell r="AE43">
            <v>0</v>
          </cell>
        </row>
        <row r="44">
          <cell r="B44">
            <v>0</v>
          </cell>
          <cell r="V44"/>
          <cell r="W44"/>
          <cell r="X44"/>
          <cell r="Y44"/>
          <cell r="Z44">
            <v>0</v>
          </cell>
          <cell r="AE44">
            <v>0</v>
          </cell>
        </row>
        <row r="45">
          <cell r="B45">
            <v>0</v>
          </cell>
          <cell r="V45"/>
          <cell r="W45"/>
          <cell r="X45"/>
          <cell r="Y45"/>
          <cell r="Z45">
            <v>0</v>
          </cell>
          <cell r="AE45">
            <v>0</v>
          </cell>
        </row>
        <row r="46">
          <cell r="B46">
            <v>0</v>
          </cell>
          <cell r="V46"/>
          <cell r="W46"/>
          <cell r="X46"/>
          <cell r="Y46"/>
          <cell r="Z46">
            <v>0</v>
          </cell>
          <cell r="AE46">
            <v>0</v>
          </cell>
        </row>
        <row r="47">
          <cell r="B47">
            <v>0</v>
          </cell>
          <cell r="V47"/>
          <cell r="W47"/>
          <cell r="X47"/>
          <cell r="Y47"/>
          <cell r="Z47">
            <v>0</v>
          </cell>
          <cell r="AE47">
            <v>0</v>
          </cell>
        </row>
        <row r="48">
          <cell r="B48">
            <v>0</v>
          </cell>
          <cell r="V48"/>
          <cell r="W48"/>
          <cell r="X48"/>
          <cell r="Y48"/>
          <cell r="Z48">
            <v>0</v>
          </cell>
          <cell r="AE48">
            <v>0</v>
          </cell>
        </row>
        <row r="49">
          <cell r="B49">
            <v>0</v>
          </cell>
          <cell r="V49"/>
          <cell r="W49"/>
          <cell r="X49"/>
          <cell r="Y49"/>
          <cell r="Z49">
            <v>0</v>
          </cell>
          <cell r="AE49">
            <v>0</v>
          </cell>
        </row>
        <row r="50">
          <cell r="B50">
            <v>0</v>
          </cell>
          <cell r="V50"/>
          <cell r="W50"/>
          <cell r="X50"/>
          <cell r="Y50"/>
          <cell r="Z50">
            <v>0</v>
          </cell>
          <cell r="AE50">
            <v>0</v>
          </cell>
        </row>
        <row r="51">
          <cell r="B51">
            <v>0</v>
          </cell>
          <cell r="V51"/>
          <cell r="W51"/>
          <cell r="X51"/>
          <cell r="Y51"/>
          <cell r="Z51">
            <v>0</v>
          </cell>
          <cell r="AE51">
            <v>0</v>
          </cell>
        </row>
        <row r="52">
          <cell r="B52">
            <v>0</v>
          </cell>
          <cell r="V52"/>
          <cell r="W52"/>
          <cell r="X52"/>
          <cell r="Y52"/>
          <cell r="Z52">
            <v>0</v>
          </cell>
          <cell r="AE52">
            <v>0</v>
          </cell>
        </row>
        <row r="53">
          <cell r="B53">
            <v>0</v>
          </cell>
          <cell r="V53"/>
          <cell r="W53"/>
          <cell r="X53"/>
          <cell r="Y53"/>
          <cell r="Z53">
            <v>0</v>
          </cell>
          <cell r="AE53">
            <v>0</v>
          </cell>
        </row>
        <row r="54">
          <cell r="B54">
            <v>0</v>
          </cell>
          <cell r="V54"/>
          <cell r="W54"/>
          <cell r="X54"/>
          <cell r="Y54"/>
          <cell r="Z54">
            <v>0</v>
          </cell>
          <cell r="AE54">
            <v>0</v>
          </cell>
        </row>
        <row r="55">
          <cell r="B55">
            <v>0</v>
          </cell>
          <cell r="V55"/>
          <cell r="W55"/>
          <cell r="X55"/>
          <cell r="Y55"/>
          <cell r="Z55">
            <v>0</v>
          </cell>
          <cell r="AE55">
            <v>0</v>
          </cell>
        </row>
        <row r="56">
          <cell r="B56">
            <v>0</v>
          </cell>
          <cell r="V56"/>
          <cell r="W56"/>
          <cell r="X56"/>
          <cell r="Y56"/>
          <cell r="Z56">
            <v>0</v>
          </cell>
          <cell r="AE56">
            <v>0</v>
          </cell>
        </row>
        <row r="57">
          <cell r="B57">
            <v>5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3</v>
          </cell>
          <cell r="AE57">
            <v>0</v>
          </cell>
        </row>
        <row r="58">
          <cell r="B58">
            <v>0</v>
          </cell>
          <cell r="V58"/>
          <cell r="W58"/>
          <cell r="X58"/>
          <cell r="Y58"/>
          <cell r="Z58">
            <v>0</v>
          </cell>
          <cell r="AE58">
            <v>0</v>
          </cell>
        </row>
        <row r="59">
          <cell r="B59">
            <v>0</v>
          </cell>
          <cell r="V59"/>
          <cell r="W59"/>
          <cell r="X59"/>
          <cell r="Y59"/>
          <cell r="Z59">
            <v>0</v>
          </cell>
          <cell r="AE59">
            <v>0</v>
          </cell>
        </row>
        <row r="60">
          <cell r="B60">
            <v>0</v>
          </cell>
          <cell r="V60"/>
          <cell r="W60"/>
          <cell r="X60"/>
          <cell r="Y60"/>
          <cell r="Z60">
            <v>0</v>
          </cell>
          <cell r="AE60">
            <v>0</v>
          </cell>
        </row>
        <row r="61">
          <cell r="B61">
            <v>0</v>
          </cell>
          <cell r="V61"/>
          <cell r="W61"/>
          <cell r="X61"/>
          <cell r="Y61"/>
          <cell r="Z61">
            <v>0</v>
          </cell>
          <cell r="AE61">
            <v>0</v>
          </cell>
        </row>
        <row r="62">
          <cell r="B62">
            <v>4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E62">
            <v>4</v>
          </cell>
        </row>
        <row r="63">
          <cell r="B63">
            <v>0</v>
          </cell>
          <cell r="V63"/>
          <cell r="W63"/>
          <cell r="X63"/>
          <cell r="Y63"/>
          <cell r="Z63">
            <v>0</v>
          </cell>
          <cell r="AE63">
            <v>0</v>
          </cell>
        </row>
        <row r="64">
          <cell r="B64">
            <v>0</v>
          </cell>
          <cell r="V64"/>
          <cell r="W64"/>
          <cell r="X64"/>
          <cell r="Y64"/>
          <cell r="Z64">
            <v>0</v>
          </cell>
          <cell r="AE64">
            <v>0</v>
          </cell>
        </row>
        <row r="65">
          <cell r="B65">
            <v>0</v>
          </cell>
          <cell r="V65"/>
          <cell r="W65"/>
          <cell r="X65"/>
          <cell r="Y65"/>
          <cell r="Z65">
            <v>0</v>
          </cell>
          <cell r="AE65">
            <v>0</v>
          </cell>
        </row>
        <row r="66">
          <cell r="B66">
            <v>0</v>
          </cell>
          <cell r="V66"/>
          <cell r="W66"/>
          <cell r="X66"/>
          <cell r="Y66"/>
          <cell r="Z66">
            <v>0</v>
          </cell>
          <cell r="AE66">
            <v>0</v>
          </cell>
        </row>
        <row r="67">
          <cell r="B67">
            <v>3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E67">
            <v>0</v>
          </cell>
        </row>
        <row r="68">
          <cell r="B68">
            <v>0</v>
          </cell>
          <cell r="V68"/>
          <cell r="W68"/>
          <cell r="X68"/>
          <cell r="Y68"/>
          <cell r="Z68">
            <v>0</v>
          </cell>
          <cell r="AE68">
            <v>0</v>
          </cell>
        </row>
        <row r="69">
          <cell r="B69">
            <v>0</v>
          </cell>
          <cell r="V69"/>
          <cell r="W69"/>
          <cell r="X69"/>
          <cell r="Y69"/>
          <cell r="Z69">
            <v>0</v>
          </cell>
          <cell r="AE69">
            <v>0</v>
          </cell>
        </row>
        <row r="70">
          <cell r="B70">
            <v>0</v>
          </cell>
          <cell r="V70"/>
          <cell r="W70"/>
          <cell r="X70"/>
          <cell r="Y70"/>
          <cell r="Z70">
            <v>0</v>
          </cell>
          <cell r="AE70">
            <v>0</v>
          </cell>
        </row>
        <row r="71">
          <cell r="B71">
            <v>0</v>
          </cell>
          <cell r="V71"/>
          <cell r="W71"/>
          <cell r="X71"/>
          <cell r="Y71"/>
          <cell r="Z71">
            <v>0</v>
          </cell>
          <cell r="AE71">
            <v>0</v>
          </cell>
        </row>
        <row r="72">
          <cell r="B72">
            <v>0</v>
          </cell>
          <cell r="V72"/>
          <cell r="W72"/>
          <cell r="X72"/>
          <cell r="Y72"/>
          <cell r="Z72">
            <v>0</v>
          </cell>
          <cell r="AE72">
            <v>0</v>
          </cell>
        </row>
        <row r="73">
          <cell r="B73">
            <v>0</v>
          </cell>
          <cell r="V73"/>
          <cell r="W73"/>
          <cell r="X73"/>
          <cell r="Y73"/>
          <cell r="Z73">
            <v>0</v>
          </cell>
          <cell r="AE73">
            <v>0</v>
          </cell>
        </row>
        <row r="74">
          <cell r="B74">
            <v>0</v>
          </cell>
          <cell r="V74"/>
          <cell r="W74"/>
          <cell r="X74"/>
          <cell r="Y74"/>
          <cell r="Z74">
            <v>0</v>
          </cell>
          <cell r="AE74">
            <v>0</v>
          </cell>
        </row>
        <row r="75">
          <cell r="B75">
            <v>0</v>
          </cell>
          <cell r="V75"/>
          <cell r="W75"/>
          <cell r="X75"/>
          <cell r="Y75"/>
          <cell r="Z75">
            <v>0</v>
          </cell>
          <cell r="AE75">
            <v>0</v>
          </cell>
        </row>
        <row r="76">
          <cell r="B76">
            <v>0</v>
          </cell>
          <cell r="V76"/>
          <cell r="W76"/>
          <cell r="X76"/>
          <cell r="Y76"/>
          <cell r="Z76">
            <v>0</v>
          </cell>
          <cell r="AE76">
            <v>0</v>
          </cell>
        </row>
        <row r="77">
          <cell r="B77">
            <v>1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E77">
            <v>0</v>
          </cell>
        </row>
        <row r="78">
          <cell r="B78">
            <v>0</v>
          </cell>
          <cell r="V78"/>
          <cell r="W78"/>
          <cell r="X78"/>
          <cell r="Y78"/>
          <cell r="Z78">
            <v>0</v>
          </cell>
          <cell r="AE78">
            <v>0</v>
          </cell>
        </row>
        <row r="79">
          <cell r="B79">
            <v>0</v>
          </cell>
          <cell r="V79"/>
          <cell r="W79"/>
          <cell r="X79"/>
          <cell r="Y79"/>
          <cell r="Z79">
            <v>0</v>
          </cell>
          <cell r="AE79">
            <v>0</v>
          </cell>
        </row>
        <row r="80">
          <cell r="B80">
            <v>0</v>
          </cell>
          <cell r="V80"/>
          <cell r="W80"/>
          <cell r="X80"/>
          <cell r="Y80"/>
          <cell r="Z80">
            <v>0</v>
          </cell>
          <cell r="AE80">
            <v>0</v>
          </cell>
        </row>
        <row r="81">
          <cell r="B81">
            <v>0</v>
          </cell>
          <cell r="V81"/>
          <cell r="W81"/>
          <cell r="X81"/>
          <cell r="Y81"/>
          <cell r="Z81">
            <v>0</v>
          </cell>
          <cell r="AE81">
            <v>0</v>
          </cell>
        </row>
        <row r="82">
          <cell r="B82">
            <v>0</v>
          </cell>
          <cell r="V82"/>
          <cell r="W82"/>
          <cell r="X82"/>
          <cell r="Y82"/>
          <cell r="Z82">
            <v>0</v>
          </cell>
          <cell r="AE82">
            <v>0</v>
          </cell>
        </row>
        <row r="83">
          <cell r="B83">
            <v>16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E83">
            <v>0</v>
          </cell>
        </row>
        <row r="84">
          <cell r="B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E84">
            <v>0</v>
          </cell>
        </row>
        <row r="85">
          <cell r="B85">
            <v>0</v>
          </cell>
          <cell r="V85"/>
          <cell r="W85"/>
          <cell r="X85"/>
          <cell r="Y85"/>
          <cell r="Z85">
            <v>0</v>
          </cell>
          <cell r="AE85">
            <v>0</v>
          </cell>
        </row>
        <row r="86">
          <cell r="B86">
            <v>0</v>
          </cell>
          <cell r="V86"/>
          <cell r="W86"/>
          <cell r="X86"/>
          <cell r="Y86"/>
          <cell r="Z86">
            <v>0</v>
          </cell>
          <cell r="AE86">
            <v>0</v>
          </cell>
        </row>
        <row r="87">
          <cell r="B87">
            <v>0</v>
          </cell>
          <cell r="V87"/>
          <cell r="W87"/>
          <cell r="X87"/>
          <cell r="Y87"/>
          <cell r="Z87">
            <v>0</v>
          </cell>
          <cell r="AE87">
            <v>0</v>
          </cell>
        </row>
        <row r="88">
          <cell r="B88">
            <v>0</v>
          </cell>
          <cell r="V88"/>
          <cell r="W88"/>
          <cell r="X88"/>
          <cell r="Y88"/>
          <cell r="Z88">
            <v>0</v>
          </cell>
          <cell r="AE88">
            <v>0</v>
          </cell>
        </row>
        <row r="89">
          <cell r="B89">
            <v>0</v>
          </cell>
          <cell r="V89"/>
          <cell r="W89"/>
          <cell r="X89"/>
          <cell r="Y89"/>
          <cell r="Z89">
            <v>0</v>
          </cell>
          <cell r="AE89">
            <v>0</v>
          </cell>
        </row>
      </sheetData>
      <sheetData sheetId="26"/>
      <sheetData sheetId="27"/>
      <sheetData sheetId="28"/>
      <sheetData sheetId="2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BRE"/>
      <sheetName val="A01"/>
      <sheetName val="A02"/>
      <sheetName val="A03"/>
      <sheetName val="A04"/>
      <sheetName val="A05"/>
      <sheetName val="A06"/>
      <sheetName val="A07"/>
      <sheetName val="A08"/>
      <sheetName val="A09"/>
      <sheetName val="A11"/>
      <sheetName val="A11a"/>
      <sheetName val="A19a"/>
      <sheetName val="A19b"/>
      <sheetName val="A21"/>
      <sheetName val="A23"/>
      <sheetName val="A24"/>
      <sheetName val="A25"/>
      <sheetName val="A26"/>
      <sheetName val="A27"/>
      <sheetName val="A28"/>
      <sheetName val="A29"/>
      <sheetName val="A30"/>
      <sheetName val="A30AR"/>
      <sheetName val="A31"/>
      <sheetName val="A32"/>
      <sheetName val="A33"/>
      <sheetName val="A34"/>
      <sheetName val="Control"/>
      <sheetName val="MAC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2">
          <cell r="B12">
            <v>268</v>
          </cell>
          <cell r="X12">
            <v>72</v>
          </cell>
          <cell r="AB12">
            <v>0</v>
          </cell>
        </row>
        <row r="13">
          <cell r="B13">
            <v>409</v>
          </cell>
          <cell r="X13">
            <v>2</v>
          </cell>
          <cell r="AB13">
            <v>66</v>
          </cell>
        </row>
        <row r="14">
          <cell r="B14">
            <v>0</v>
          </cell>
          <cell r="X14">
            <v>0</v>
          </cell>
          <cell r="AB14">
            <v>0</v>
          </cell>
        </row>
        <row r="15">
          <cell r="B15">
            <v>0</v>
          </cell>
          <cell r="X15">
            <v>0</v>
          </cell>
          <cell r="AB15">
            <v>0</v>
          </cell>
        </row>
        <row r="16">
          <cell r="B16">
            <v>0</v>
          </cell>
          <cell r="X16">
            <v>0</v>
          </cell>
          <cell r="AB16">
            <v>0</v>
          </cell>
        </row>
        <row r="17">
          <cell r="B17">
            <v>27</v>
          </cell>
          <cell r="X17">
            <v>2</v>
          </cell>
          <cell r="AB17">
            <v>13</v>
          </cell>
        </row>
        <row r="18">
          <cell r="B18">
            <v>161</v>
          </cell>
          <cell r="X18">
            <v>0</v>
          </cell>
          <cell r="AB18">
            <v>18</v>
          </cell>
        </row>
        <row r="19">
          <cell r="B19">
            <v>82</v>
          </cell>
          <cell r="X19">
            <v>10</v>
          </cell>
          <cell r="AB19">
            <v>0</v>
          </cell>
        </row>
        <row r="20">
          <cell r="B20">
            <v>0</v>
          </cell>
          <cell r="X20">
            <v>0</v>
          </cell>
          <cell r="AB20">
            <v>0</v>
          </cell>
        </row>
        <row r="21">
          <cell r="B21">
            <v>0</v>
          </cell>
          <cell r="X21">
            <v>0</v>
          </cell>
          <cell r="AB21">
            <v>0</v>
          </cell>
        </row>
        <row r="22">
          <cell r="B22">
            <v>0</v>
          </cell>
          <cell r="X22">
            <v>0</v>
          </cell>
          <cell r="AB22">
            <v>0</v>
          </cell>
        </row>
        <row r="23">
          <cell r="B23">
            <v>0</v>
          </cell>
          <cell r="X23">
            <v>0</v>
          </cell>
          <cell r="AB23">
            <v>0</v>
          </cell>
        </row>
        <row r="24">
          <cell r="B24">
            <v>0</v>
          </cell>
          <cell r="X24">
            <v>0</v>
          </cell>
          <cell r="AB24">
            <v>0</v>
          </cell>
        </row>
        <row r="25">
          <cell r="B25">
            <v>0</v>
          </cell>
          <cell r="X25">
            <v>0</v>
          </cell>
          <cell r="AB25">
            <v>0</v>
          </cell>
        </row>
        <row r="26">
          <cell r="B26">
            <v>0</v>
          </cell>
          <cell r="X26">
            <v>0</v>
          </cell>
          <cell r="AB26">
            <v>0</v>
          </cell>
        </row>
        <row r="27">
          <cell r="B27">
            <v>0</v>
          </cell>
          <cell r="X27">
            <v>0</v>
          </cell>
          <cell r="AB27">
            <v>0</v>
          </cell>
        </row>
        <row r="28">
          <cell r="B28">
            <v>0</v>
          </cell>
          <cell r="X28">
            <v>0</v>
          </cell>
          <cell r="AB28">
            <v>0</v>
          </cell>
        </row>
        <row r="29">
          <cell r="B29">
            <v>0</v>
          </cell>
          <cell r="X29">
            <v>0</v>
          </cell>
          <cell r="AB29">
            <v>0</v>
          </cell>
        </row>
        <row r="30">
          <cell r="B30">
            <v>0</v>
          </cell>
          <cell r="X30">
            <v>0</v>
          </cell>
          <cell r="AB30">
            <v>0</v>
          </cell>
        </row>
        <row r="31">
          <cell r="B31">
            <v>0</v>
          </cell>
          <cell r="X31">
            <v>0</v>
          </cell>
          <cell r="AB31">
            <v>0</v>
          </cell>
        </row>
        <row r="32">
          <cell r="B32">
            <v>90</v>
          </cell>
          <cell r="X32">
            <v>11</v>
          </cell>
          <cell r="AB32">
            <v>44</v>
          </cell>
        </row>
        <row r="33">
          <cell r="B33">
            <v>0</v>
          </cell>
          <cell r="X33">
            <v>0</v>
          </cell>
          <cell r="AB33">
            <v>0</v>
          </cell>
        </row>
        <row r="34">
          <cell r="B34">
            <v>110</v>
          </cell>
          <cell r="X34">
            <v>21</v>
          </cell>
          <cell r="AB34">
            <v>12</v>
          </cell>
        </row>
        <row r="35">
          <cell r="B35">
            <v>0</v>
          </cell>
          <cell r="X35">
            <v>0</v>
          </cell>
          <cell r="AB35">
            <v>0</v>
          </cell>
        </row>
        <row r="36">
          <cell r="B36">
            <v>0</v>
          </cell>
          <cell r="X36">
            <v>0</v>
          </cell>
          <cell r="AB36">
            <v>0</v>
          </cell>
        </row>
        <row r="37">
          <cell r="B37">
            <v>0</v>
          </cell>
          <cell r="X37">
            <v>0</v>
          </cell>
          <cell r="AB37">
            <v>0</v>
          </cell>
        </row>
        <row r="38">
          <cell r="B38">
            <v>66</v>
          </cell>
          <cell r="X38">
            <v>19</v>
          </cell>
          <cell r="AB38">
            <v>0</v>
          </cell>
        </row>
        <row r="39">
          <cell r="B39">
            <v>154</v>
          </cell>
          <cell r="X39">
            <v>0</v>
          </cell>
          <cell r="AB39">
            <v>31</v>
          </cell>
        </row>
        <row r="40">
          <cell r="B40">
            <v>0</v>
          </cell>
          <cell r="X40">
            <v>0</v>
          </cell>
          <cell r="AB40">
            <v>0</v>
          </cell>
        </row>
        <row r="41">
          <cell r="B41">
            <v>191</v>
          </cell>
          <cell r="X41">
            <v>1</v>
          </cell>
          <cell r="AB41">
            <v>0</v>
          </cell>
        </row>
        <row r="42">
          <cell r="B42">
            <v>196</v>
          </cell>
          <cell r="X42">
            <v>1</v>
          </cell>
          <cell r="AB42">
            <v>3</v>
          </cell>
        </row>
        <row r="43">
          <cell r="B43">
            <v>130</v>
          </cell>
          <cell r="X43">
            <v>26</v>
          </cell>
          <cell r="AB43">
            <v>0</v>
          </cell>
        </row>
        <row r="44">
          <cell r="B44">
            <v>233</v>
          </cell>
          <cell r="X44">
            <v>2</v>
          </cell>
          <cell r="AB44">
            <v>73</v>
          </cell>
        </row>
        <row r="45">
          <cell r="B45">
            <v>20</v>
          </cell>
          <cell r="X45">
            <v>0</v>
          </cell>
          <cell r="AB45">
            <v>4</v>
          </cell>
        </row>
        <row r="46">
          <cell r="B46">
            <v>0</v>
          </cell>
          <cell r="X46">
            <v>0</v>
          </cell>
          <cell r="AB46">
            <v>0</v>
          </cell>
        </row>
        <row r="47">
          <cell r="B47">
            <v>0</v>
          </cell>
          <cell r="X47">
            <v>0</v>
          </cell>
          <cell r="AB47">
            <v>0</v>
          </cell>
        </row>
        <row r="48">
          <cell r="B48">
            <v>0</v>
          </cell>
          <cell r="X48">
            <v>0</v>
          </cell>
          <cell r="AB48">
            <v>0</v>
          </cell>
        </row>
        <row r="49">
          <cell r="B49">
            <v>17</v>
          </cell>
          <cell r="X49">
            <v>0</v>
          </cell>
          <cell r="AB49">
            <v>7</v>
          </cell>
        </row>
        <row r="50">
          <cell r="B50">
            <v>0</v>
          </cell>
          <cell r="X50">
            <v>0</v>
          </cell>
          <cell r="AB50">
            <v>0</v>
          </cell>
        </row>
        <row r="51">
          <cell r="B51">
            <v>0</v>
          </cell>
          <cell r="X51">
            <v>0</v>
          </cell>
          <cell r="AB51">
            <v>0</v>
          </cell>
        </row>
        <row r="52">
          <cell r="B52">
            <v>0</v>
          </cell>
          <cell r="X52">
            <v>0</v>
          </cell>
          <cell r="AB52">
            <v>0</v>
          </cell>
        </row>
        <row r="53">
          <cell r="B53">
            <v>0</v>
          </cell>
          <cell r="X53">
            <v>0</v>
          </cell>
          <cell r="AB53">
            <v>0</v>
          </cell>
        </row>
        <row r="54">
          <cell r="B54">
            <v>72</v>
          </cell>
          <cell r="X54">
            <v>9</v>
          </cell>
          <cell r="AB54">
            <v>34</v>
          </cell>
        </row>
        <row r="55">
          <cell r="B55">
            <v>507</v>
          </cell>
          <cell r="X55">
            <v>1</v>
          </cell>
          <cell r="AB55">
            <v>161</v>
          </cell>
        </row>
        <row r="56">
          <cell r="B56">
            <v>0</v>
          </cell>
          <cell r="X56">
            <v>0</v>
          </cell>
          <cell r="AB56">
            <v>0</v>
          </cell>
        </row>
        <row r="57">
          <cell r="B57">
            <v>0</v>
          </cell>
          <cell r="X57">
            <v>0</v>
          </cell>
          <cell r="AB57">
            <v>0</v>
          </cell>
        </row>
        <row r="58">
          <cell r="B58">
            <v>634</v>
          </cell>
          <cell r="X58">
            <v>63</v>
          </cell>
          <cell r="AB58">
            <v>264</v>
          </cell>
        </row>
        <row r="59">
          <cell r="B59">
            <v>128</v>
          </cell>
          <cell r="X59">
            <v>8</v>
          </cell>
          <cell r="AB59">
            <v>35</v>
          </cell>
        </row>
        <row r="60">
          <cell r="B60">
            <v>523</v>
          </cell>
          <cell r="X60">
            <v>28</v>
          </cell>
          <cell r="AB60">
            <v>72</v>
          </cell>
        </row>
        <row r="61">
          <cell r="B61">
            <v>154</v>
          </cell>
          <cell r="X61">
            <v>0</v>
          </cell>
          <cell r="AB61">
            <v>29</v>
          </cell>
        </row>
        <row r="62">
          <cell r="B62">
            <v>32</v>
          </cell>
          <cell r="X62">
            <v>0</v>
          </cell>
          <cell r="AB62">
            <v>0</v>
          </cell>
        </row>
        <row r="63">
          <cell r="B63">
            <v>0</v>
          </cell>
          <cell r="X63">
            <v>0</v>
          </cell>
          <cell r="AB63">
            <v>0</v>
          </cell>
        </row>
        <row r="64">
          <cell r="B64">
            <v>0</v>
          </cell>
          <cell r="X64">
            <v>0</v>
          </cell>
          <cell r="AB64">
            <v>0</v>
          </cell>
        </row>
        <row r="65">
          <cell r="B65">
            <v>0</v>
          </cell>
          <cell r="X65">
            <v>0</v>
          </cell>
          <cell r="AB65">
            <v>0</v>
          </cell>
        </row>
        <row r="66">
          <cell r="B66">
            <v>0</v>
          </cell>
          <cell r="X66">
            <v>0</v>
          </cell>
          <cell r="AB66">
            <v>0</v>
          </cell>
        </row>
        <row r="71">
          <cell r="S71">
            <v>40</v>
          </cell>
          <cell r="T71">
            <v>0</v>
          </cell>
          <cell r="U71">
            <v>7</v>
          </cell>
          <cell r="V71">
            <v>28</v>
          </cell>
        </row>
        <row r="72">
          <cell r="S72">
            <v>0</v>
          </cell>
          <cell r="T72">
            <v>32</v>
          </cell>
          <cell r="U72">
            <v>6</v>
          </cell>
          <cell r="V72">
            <v>34</v>
          </cell>
        </row>
        <row r="73">
          <cell r="S73"/>
          <cell r="T73"/>
          <cell r="U73"/>
          <cell r="V73"/>
        </row>
        <row r="74">
          <cell r="S74"/>
          <cell r="T74"/>
          <cell r="U74"/>
          <cell r="V74"/>
        </row>
        <row r="75">
          <cell r="S75"/>
          <cell r="T75"/>
          <cell r="U75"/>
          <cell r="V75"/>
        </row>
        <row r="76">
          <cell r="S76">
            <v>0</v>
          </cell>
          <cell r="T76">
            <v>0</v>
          </cell>
          <cell r="U76">
            <v>5</v>
          </cell>
          <cell r="V76">
            <v>2</v>
          </cell>
        </row>
        <row r="77">
          <cell r="S77">
            <v>0</v>
          </cell>
          <cell r="T77">
            <v>11</v>
          </cell>
          <cell r="U77">
            <v>0</v>
          </cell>
          <cell r="V77">
            <v>1</v>
          </cell>
        </row>
        <row r="78">
          <cell r="S78">
            <v>3</v>
          </cell>
          <cell r="T78">
            <v>0</v>
          </cell>
          <cell r="U78">
            <v>1</v>
          </cell>
          <cell r="V78">
            <v>2</v>
          </cell>
        </row>
        <row r="79">
          <cell r="S79"/>
          <cell r="T79"/>
          <cell r="U79"/>
          <cell r="V79"/>
        </row>
        <row r="80">
          <cell r="S80"/>
          <cell r="T80"/>
          <cell r="U80"/>
          <cell r="V80"/>
        </row>
        <row r="81">
          <cell r="S81"/>
          <cell r="T81"/>
          <cell r="U81"/>
          <cell r="V81"/>
        </row>
        <row r="82">
          <cell r="S82"/>
          <cell r="T82"/>
          <cell r="U82"/>
          <cell r="V82"/>
        </row>
        <row r="83">
          <cell r="S83"/>
          <cell r="T83"/>
          <cell r="U83"/>
          <cell r="V83"/>
        </row>
        <row r="84">
          <cell r="S84"/>
          <cell r="T84"/>
          <cell r="U84"/>
          <cell r="V84"/>
        </row>
        <row r="85">
          <cell r="S85"/>
          <cell r="T85"/>
          <cell r="U85"/>
          <cell r="V85"/>
        </row>
        <row r="86">
          <cell r="S86"/>
          <cell r="T86"/>
          <cell r="U86"/>
          <cell r="V86"/>
        </row>
        <row r="87">
          <cell r="S87"/>
          <cell r="T87"/>
          <cell r="U87"/>
          <cell r="V87"/>
        </row>
        <row r="88">
          <cell r="S88"/>
          <cell r="T88"/>
          <cell r="U88"/>
          <cell r="V88"/>
        </row>
        <row r="89">
          <cell r="S89"/>
          <cell r="T89"/>
          <cell r="U89"/>
          <cell r="V89"/>
        </row>
        <row r="90">
          <cell r="S90"/>
          <cell r="T90"/>
          <cell r="U90"/>
          <cell r="V90"/>
        </row>
        <row r="91">
          <cell r="S91">
            <v>7</v>
          </cell>
          <cell r="T91">
            <v>19</v>
          </cell>
          <cell r="U91">
            <v>16</v>
          </cell>
          <cell r="V91">
            <v>6</v>
          </cell>
        </row>
        <row r="92">
          <cell r="S92"/>
          <cell r="T92"/>
          <cell r="U92"/>
          <cell r="V92"/>
        </row>
        <row r="93">
          <cell r="S93">
            <v>3</v>
          </cell>
          <cell r="T93">
            <v>1</v>
          </cell>
          <cell r="U93">
            <v>3</v>
          </cell>
          <cell r="V93">
            <v>6</v>
          </cell>
        </row>
        <row r="94">
          <cell r="S94"/>
          <cell r="T94"/>
          <cell r="U94"/>
          <cell r="V94"/>
        </row>
        <row r="95">
          <cell r="S95"/>
          <cell r="T95"/>
          <cell r="U95"/>
          <cell r="V95"/>
        </row>
        <row r="96">
          <cell r="S96"/>
          <cell r="T96"/>
          <cell r="U96"/>
          <cell r="V96"/>
        </row>
        <row r="97">
          <cell r="S97">
            <v>4</v>
          </cell>
          <cell r="T97">
            <v>0</v>
          </cell>
          <cell r="U97">
            <v>0</v>
          </cell>
          <cell r="V97">
            <v>1</v>
          </cell>
        </row>
        <row r="98">
          <cell r="S98">
            <v>0</v>
          </cell>
          <cell r="T98">
            <v>17</v>
          </cell>
          <cell r="U98">
            <v>3</v>
          </cell>
          <cell r="V98">
            <v>20</v>
          </cell>
        </row>
        <row r="99">
          <cell r="S99"/>
          <cell r="T99"/>
          <cell r="U99"/>
          <cell r="V99"/>
        </row>
        <row r="100">
          <cell r="S100">
            <v>10</v>
          </cell>
          <cell r="T100">
            <v>3</v>
          </cell>
          <cell r="U100">
            <v>3</v>
          </cell>
          <cell r="V100">
            <v>42</v>
          </cell>
        </row>
        <row r="101">
          <cell r="S101">
            <v>1</v>
          </cell>
          <cell r="T101">
            <v>5</v>
          </cell>
          <cell r="U101">
            <v>3</v>
          </cell>
          <cell r="V101">
            <v>47</v>
          </cell>
        </row>
        <row r="102">
          <cell r="S102">
            <v>35</v>
          </cell>
          <cell r="T102">
            <v>0</v>
          </cell>
          <cell r="U102">
            <v>3</v>
          </cell>
          <cell r="V102">
            <v>23</v>
          </cell>
        </row>
        <row r="103">
          <cell r="S103">
            <v>4</v>
          </cell>
          <cell r="T103">
            <v>78</v>
          </cell>
          <cell r="U103">
            <v>10</v>
          </cell>
          <cell r="V103">
            <v>16</v>
          </cell>
        </row>
        <row r="104">
          <cell r="S104">
            <v>0</v>
          </cell>
          <cell r="T104">
            <v>3</v>
          </cell>
          <cell r="U104">
            <v>1</v>
          </cell>
          <cell r="V104">
            <v>1</v>
          </cell>
        </row>
        <row r="105">
          <cell r="S105"/>
          <cell r="T105"/>
          <cell r="U105"/>
          <cell r="V105"/>
        </row>
        <row r="106">
          <cell r="S106"/>
          <cell r="T106"/>
          <cell r="U106"/>
          <cell r="V106"/>
        </row>
        <row r="107">
          <cell r="S107"/>
          <cell r="T107"/>
          <cell r="U107"/>
          <cell r="V107"/>
        </row>
        <row r="108">
          <cell r="S108"/>
          <cell r="T108"/>
          <cell r="U108"/>
          <cell r="V108"/>
        </row>
        <row r="109">
          <cell r="S109"/>
          <cell r="T109"/>
          <cell r="U109"/>
          <cell r="V109"/>
        </row>
        <row r="110">
          <cell r="S110"/>
          <cell r="T110"/>
          <cell r="V110"/>
          <cell r="X110"/>
        </row>
        <row r="111">
          <cell r="S111"/>
          <cell r="T111"/>
          <cell r="U111"/>
          <cell r="V111"/>
        </row>
        <row r="112">
          <cell r="S112"/>
          <cell r="T112"/>
          <cell r="U112"/>
          <cell r="V112"/>
        </row>
        <row r="113">
          <cell r="S113">
            <v>14</v>
          </cell>
          <cell r="T113">
            <v>52</v>
          </cell>
          <cell r="U113">
            <v>4</v>
          </cell>
          <cell r="V113">
            <v>1</v>
          </cell>
        </row>
        <row r="114">
          <cell r="S114">
            <v>3</v>
          </cell>
          <cell r="T114">
            <v>69</v>
          </cell>
          <cell r="U114">
            <v>39</v>
          </cell>
          <cell r="V114">
            <v>45</v>
          </cell>
        </row>
        <row r="115">
          <cell r="S115">
            <v>0</v>
          </cell>
          <cell r="T115"/>
          <cell r="U115"/>
          <cell r="V115"/>
        </row>
        <row r="116">
          <cell r="S116"/>
          <cell r="T116"/>
          <cell r="U116"/>
          <cell r="V116"/>
        </row>
        <row r="117">
          <cell r="S117">
            <v>46</v>
          </cell>
          <cell r="T117">
            <v>199</v>
          </cell>
          <cell r="U117">
            <v>51</v>
          </cell>
          <cell r="V117">
            <v>17</v>
          </cell>
        </row>
        <row r="118">
          <cell r="S118">
            <v>8</v>
          </cell>
          <cell r="T118">
            <v>23</v>
          </cell>
          <cell r="U118">
            <v>7</v>
          </cell>
          <cell r="V118">
            <v>2</v>
          </cell>
        </row>
        <row r="119">
          <cell r="S119">
            <v>21</v>
          </cell>
          <cell r="T119">
            <v>29</v>
          </cell>
          <cell r="U119">
            <v>21</v>
          </cell>
          <cell r="V119">
            <v>50</v>
          </cell>
        </row>
        <row r="120">
          <cell r="S120">
            <v>0</v>
          </cell>
          <cell r="T120">
            <v>11</v>
          </cell>
          <cell r="U120">
            <v>9</v>
          </cell>
          <cell r="V120">
            <v>9</v>
          </cell>
        </row>
        <row r="121">
          <cell r="S121"/>
          <cell r="T121"/>
          <cell r="U121">
            <v>0</v>
          </cell>
          <cell r="V121">
            <v>5</v>
          </cell>
        </row>
        <row r="122">
          <cell r="S122"/>
          <cell r="T122"/>
          <cell r="U122"/>
          <cell r="V122"/>
        </row>
        <row r="123">
          <cell r="S123"/>
          <cell r="T123"/>
          <cell r="U123"/>
          <cell r="V123"/>
        </row>
        <row r="124">
          <cell r="S124"/>
          <cell r="T124"/>
          <cell r="U124"/>
          <cell r="V124"/>
        </row>
        <row r="125">
          <cell r="S125"/>
          <cell r="T125"/>
          <cell r="U125"/>
          <cell r="V125"/>
        </row>
      </sheetData>
      <sheetData sheetId="8">
        <row r="12">
          <cell r="B12">
            <v>3364</v>
          </cell>
          <cell r="AS12">
            <v>4507</v>
          </cell>
        </row>
        <row r="62">
          <cell r="B62">
            <v>342</v>
          </cell>
        </row>
        <row r="107">
          <cell r="C107">
            <v>164</v>
          </cell>
        </row>
        <row r="108">
          <cell r="C108">
            <v>57</v>
          </cell>
        </row>
        <row r="109">
          <cell r="C109">
            <v>39</v>
          </cell>
        </row>
        <row r="112">
          <cell r="C112">
            <v>0</v>
          </cell>
        </row>
      </sheetData>
      <sheetData sheetId="9"/>
      <sheetData sheetId="10"/>
      <sheetData sheetId="11"/>
      <sheetData sheetId="12"/>
      <sheetData sheetId="13"/>
      <sheetData sheetId="14">
        <row r="32">
          <cell r="C32">
            <v>50</v>
          </cell>
        </row>
        <row r="33">
          <cell r="C33">
            <v>556</v>
          </cell>
        </row>
        <row r="102">
          <cell r="F102">
            <v>27</v>
          </cell>
          <cell r="G102">
            <v>257</v>
          </cell>
          <cell r="H102">
            <v>1</v>
          </cell>
          <cell r="I102">
            <v>17</v>
          </cell>
        </row>
      </sheetData>
      <sheetData sheetId="15"/>
      <sheetData sheetId="16">
        <row r="13">
          <cell r="C13">
            <v>37</v>
          </cell>
        </row>
        <row r="14">
          <cell r="C14">
            <v>1</v>
          </cell>
        </row>
        <row r="15">
          <cell r="C15">
            <v>18</v>
          </cell>
        </row>
        <row r="16">
          <cell r="C16">
            <v>19</v>
          </cell>
        </row>
      </sheetData>
      <sheetData sheetId="17"/>
      <sheetData sheetId="18"/>
      <sheetData sheetId="19"/>
      <sheetData sheetId="20"/>
      <sheetData sheetId="21"/>
      <sheetData sheetId="22">
        <row r="13">
          <cell r="B13"/>
          <cell r="C13"/>
          <cell r="D13"/>
          <cell r="E13"/>
          <cell r="F13"/>
          <cell r="G13"/>
          <cell r="H13"/>
          <cell r="I13"/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B14"/>
          <cell r="C14"/>
          <cell r="D14"/>
          <cell r="E14"/>
          <cell r="F14"/>
          <cell r="G14"/>
          <cell r="H14"/>
          <cell r="I14">
            <v>2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2</v>
          </cell>
        </row>
        <row r="15">
          <cell r="B15"/>
          <cell r="C15"/>
          <cell r="D15"/>
          <cell r="E15"/>
          <cell r="F15"/>
          <cell r="G15"/>
          <cell r="H15"/>
          <cell r="I15"/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  <row r="16">
          <cell r="B16"/>
          <cell r="C16"/>
          <cell r="D16"/>
          <cell r="E16"/>
          <cell r="F16"/>
          <cell r="G16"/>
          <cell r="H16"/>
          <cell r="I16"/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B17"/>
          <cell r="C17"/>
          <cell r="D17"/>
          <cell r="E17"/>
          <cell r="F17"/>
          <cell r="G17"/>
          <cell r="H17"/>
          <cell r="I17"/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B18"/>
          <cell r="C18"/>
          <cell r="D18"/>
          <cell r="E18"/>
          <cell r="F18"/>
          <cell r="G18"/>
          <cell r="H18"/>
          <cell r="I18"/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B19"/>
          <cell r="C19"/>
          <cell r="D19"/>
          <cell r="E19"/>
          <cell r="F19"/>
          <cell r="G19"/>
          <cell r="H19"/>
          <cell r="I19"/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1</v>
          </cell>
          <cell r="Y19">
            <v>3</v>
          </cell>
        </row>
        <row r="20">
          <cell r="B20"/>
          <cell r="C20"/>
          <cell r="D20"/>
          <cell r="E20"/>
          <cell r="F20"/>
          <cell r="G20"/>
          <cell r="H20"/>
          <cell r="I20"/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B21"/>
          <cell r="C21"/>
          <cell r="D21"/>
          <cell r="E21"/>
          <cell r="F21"/>
          <cell r="G21"/>
          <cell r="H21"/>
          <cell r="I21"/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B22"/>
          <cell r="C22"/>
          <cell r="D22"/>
          <cell r="E22"/>
          <cell r="F22"/>
          <cell r="G22"/>
          <cell r="H22"/>
          <cell r="I22"/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B23"/>
          <cell r="C23"/>
          <cell r="D23"/>
          <cell r="E23"/>
          <cell r="F23"/>
          <cell r="G23"/>
          <cell r="H23"/>
          <cell r="I23"/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B24"/>
          <cell r="C24"/>
          <cell r="D24"/>
          <cell r="E24"/>
          <cell r="F24"/>
          <cell r="G24"/>
          <cell r="H24"/>
          <cell r="I24"/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B25"/>
          <cell r="C25"/>
          <cell r="D25"/>
          <cell r="E25"/>
          <cell r="F25"/>
          <cell r="G25"/>
          <cell r="H25"/>
          <cell r="I25"/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B26"/>
          <cell r="C26"/>
          <cell r="D26"/>
          <cell r="E26"/>
          <cell r="F26"/>
          <cell r="G26"/>
          <cell r="H26"/>
          <cell r="I26"/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B27"/>
          <cell r="C27"/>
          <cell r="D27"/>
          <cell r="E27"/>
          <cell r="F27"/>
          <cell r="G27"/>
          <cell r="H27"/>
          <cell r="I27"/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B28"/>
          <cell r="C28"/>
          <cell r="D28"/>
          <cell r="E28"/>
          <cell r="F28"/>
          <cell r="G28"/>
          <cell r="H28"/>
          <cell r="I28"/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B29"/>
          <cell r="C29"/>
          <cell r="D29"/>
          <cell r="E29"/>
          <cell r="F29"/>
          <cell r="G29"/>
          <cell r="H29"/>
          <cell r="I29"/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B30"/>
          <cell r="C30"/>
          <cell r="D30"/>
          <cell r="E30"/>
          <cell r="F30"/>
          <cell r="G30"/>
          <cell r="H30"/>
          <cell r="I30"/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B31"/>
          <cell r="C31"/>
          <cell r="D31"/>
          <cell r="E31"/>
          <cell r="F31"/>
          <cell r="G31"/>
          <cell r="H31"/>
          <cell r="I31"/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B32"/>
          <cell r="C32"/>
          <cell r="D32"/>
          <cell r="E32"/>
          <cell r="F32"/>
          <cell r="G32"/>
          <cell r="H32"/>
          <cell r="I32"/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B33"/>
          <cell r="C33"/>
          <cell r="D33"/>
          <cell r="E33"/>
          <cell r="F33"/>
          <cell r="G33"/>
          <cell r="H33"/>
          <cell r="I33"/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B34"/>
          <cell r="C34"/>
          <cell r="D34"/>
          <cell r="E34"/>
          <cell r="F34"/>
          <cell r="G34"/>
          <cell r="H34"/>
          <cell r="I34"/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B35"/>
          <cell r="C35"/>
          <cell r="D35"/>
          <cell r="E35"/>
          <cell r="F35"/>
          <cell r="G35"/>
          <cell r="H35">
            <v>1</v>
          </cell>
          <cell r="I35">
            <v>0</v>
          </cell>
          <cell r="R35">
            <v>1</v>
          </cell>
          <cell r="S35">
            <v>1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2</v>
          </cell>
          <cell r="Y35">
            <v>2</v>
          </cell>
        </row>
        <row r="36">
          <cell r="B36"/>
          <cell r="C36"/>
          <cell r="D36"/>
          <cell r="E36"/>
          <cell r="F36"/>
          <cell r="G36"/>
          <cell r="H36"/>
          <cell r="I36"/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B37"/>
          <cell r="C37"/>
          <cell r="D37"/>
          <cell r="E37"/>
          <cell r="F37"/>
          <cell r="G37"/>
          <cell r="H37"/>
          <cell r="I37"/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B38"/>
          <cell r="C38"/>
          <cell r="D38"/>
          <cell r="E38"/>
          <cell r="F38"/>
          <cell r="G38"/>
          <cell r="H38"/>
          <cell r="I38"/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B39"/>
          <cell r="C39"/>
          <cell r="D39"/>
          <cell r="E39"/>
          <cell r="F39"/>
          <cell r="G39"/>
          <cell r="H39"/>
          <cell r="I39"/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B40"/>
          <cell r="C40"/>
          <cell r="D40"/>
          <cell r="E40"/>
          <cell r="F40"/>
          <cell r="G40"/>
          <cell r="H40">
            <v>0</v>
          </cell>
          <cell r="I40">
            <v>1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17</v>
          </cell>
          <cell r="Y40">
            <v>16</v>
          </cell>
        </row>
        <row r="41">
          <cell r="B41"/>
          <cell r="C41"/>
          <cell r="D41"/>
          <cell r="E41"/>
          <cell r="F41"/>
          <cell r="G41"/>
          <cell r="H41"/>
          <cell r="I41"/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</row>
        <row r="42">
          <cell r="B42"/>
          <cell r="C42"/>
          <cell r="D42"/>
          <cell r="E42"/>
          <cell r="F42"/>
          <cell r="G42"/>
          <cell r="H42"/>
          <cell r="I42"/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</row>
        <row r="43">
          <cell r="B43"/>
          <cell r="C43"/>
          <cell r="D43"/>
          <cell r="E43"/>
          <cell r="F43"/>
          <cell r="G43"/>
          <cell r="H43"/>
          <cell r="I43"/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</row>
        <row r="44">
          <cell r="B44"/>
          <cell r="C44"/>
          <cell r="D44"/>
          <cell r="E44"/>
          <cell r="F44"/>
          <cell r="G44"/>
          <cell r="H44"/>
          <cell r="I44"/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</row>
        <row r="45">
          <cell r="B45"/>
          <cell r="C45"/>
          <cell r="D45"/>
          <cell r="E45"/>
          <cell r="F45"/>
          <cell r="G45"/>
          <cell r="H45"/>
          <cell r="I45"/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</row>
        <row r="46">
          <cell r="B46"/>
          <cell r="C46"/>
          <cell r="D46"/>
          <cell r="E46"/>
          <cell r="F46"/>
          <cell r="G46"/>
          <cell r="H46"/>
          <cell r="I46"/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B47"/>
          <cell r="C47"/>
          <cell r="D47"/>
          <cell r="E47"/>
          <cell r="F47"/>
          <cell r="G47"/>
          <cell r="H47"/>
          <cell r="I47"/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B48"/>
          <cell r="C48"/>
          <cell r="D48"/>
          <cell r="E48"/>
          <cell r="F48"/>
          <cell r="G48"/>
          <cell r="H48"/>
          <cell r="I48"/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B49"/>
          <cell r="C49"/>
          <cell r="D49"/>
          <cell r="E49"/>
          <cell r="F49"/>
          <cell r="G49"/>
          <cell r="H49"/>
          <cell r="I49"/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B50"/>
          <cell r="C50"/>
          <cell r="D50"/>
          <cell r="E50"/>
          <cell r="F50"/>
          <cell r="G50"/>
          <cell r="H50"/>
          <cell r="I50"/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1">
          <cell r="B51"/>
          <cell r="C51"/>
          <cell r="D51"/>
          <cell r="E51"/>
          <cell r="F51"/>
          <cell r="G51"/>
          <cell r="H51"/>
          <cell r="I51"/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B52"/>
          <cell r="C52"/>
          <cell r="D52"/>
          <cell r="E52"/>
          <cell r="F52"/>
          <cell r="G52"/>
          <cell r="H52"/>
          <cell r="I52"/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B53"/>
          <cell r="C53"/>
          <cell r="D53"/>
          <cell r="E53"/>
          <cell r="F53"/>
          <cell r="G53"/>
          <cell r="H53"/>
          <cell r="I53"/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B54"/>
          <cell r="C54"/>
          <cell r="D54"/>
          <cell r="E54"/>
          <cell r="F54"/>
          <cell r="G54"/>
          <cell r="H54"/>
          <cell r="I54"/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B55"/>
          <cell r="C55"/>
          <cell r="D55"/>
          <cell r="E55"/>
          <cell r="F55"/>
          <cell r="G55"/>
          <cell r="H55"/>
          <cell r="I55"/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B56"/>
          <cell r="C56"/>
          <cell r="D56"/>
          <cell r="E56"/>
          <cell r="F56"/>
          <cell r="G56"/>
          <cell r="H56"/>
          <cell r="I56"/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B57"/>
          <cell r="C57"/>
          <cell r="D57"/>
          <cell r="E57"/>
          <cell r="F57"/>
          <cell r="G57"/>
          <cell r="H57"/>
          <cell r="I57"/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B58"/>
          <cell r="C58"/>
          <cell r="D58"/>
          <cell r="E58"/>
          <cell r="F58"/>
          <cell r="G58"/>
          <cell r="H58"/>
          <cell r="I58"/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</row>
        <row r="59">
          <cell r="B59"/>
          <cell r="C59"/>
          <cell r="D59"/>
          <cell r="E59"/>
          <cell r="F59"/>
          <cell r="G59"/>
          <cell r="H59"/>
          <cell r="I59"/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B60"/>
          <cell r="C60"/>
          <cell r="D60"/>
          <cell r="E60"/>
          <cell r="F60"/>
          <cell r="G60"/>
          <cell r="H60"/>
          <cell r="I60"/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B61"/>
          <cell r="C61"/>
          <cell r="D61"/>
          <cell r="E61"/>
          <cell r="F61"/>
          <cell r="G61"/>
          <cell r="H61"/>
          <cell r="I61"/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</row>
        <row r="62">
          <cell r="B62"/>
          <cell r="C62"/>
          <cell r="D62"/>
          <cell r="E62"/>
          <cell r="F62"/>
          <cell r="G62"/>
          <cell r="H62"/>
          <cell r="I62"/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B63"/>
          <cell r="C63"/>
          <cell r="D63"/>
          <cell r="E63"/>
          <cell r="F63"/>
          <cell r="G63"/>
          <cell r="H63"/>
          <cell r="I63"/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B64"/>
          <cell r="C64"/>
          <cell r="D64"/>
          <cell r="E64"/>
          <cell r="F64"/>
          <cell r="G64"/>
          <cell r="H64"/>
          <cell r="I64"/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B65"/>
          <cell r="C65"/>
          <cell r="D65"/>
          <cell r="E65"/>
          <cell r="F65"/>
          <cell r="G65"/>
          <cell r="H65"/>
          <cell r="I65"/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B66"/>
          <cell r="C66"/>
          <cell r="D66"/>
          <cell r="E66"/>
          <cell r="F66"/>
          <cell r="G66"/>
          <cell r="H66"/>
          <cell r="I66"/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</row>
        <row r="67">
          <cell r="B67"/>
          <cell r="C67"/>
          <cell r="D67"/>
          <cell r="E67"/>
          <cell r="F67"/>
          <cell r="G67"/>
          <cell r="H67"/>
          <cell r="I67"/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</sheetData>
      <sheetData sheetId="23"/>
      <sheetData sheetId="24"/>
      <sheetData sheetId="25">
        <row r="35">
          <cell r="B35">
            <v>0</v>
          </cell>
          <cell r="V35"/>
          <cell r="W35"/>
          <cell r="X35"/>
          <cell r="Y35"/>
          <cell r="Z35">
            <v>0</v>
          </cell>
          <cell r="AE35">
            <v>0</v>
          </cell>
        </row>
        <row r="36">
          <cell r="B36">
            <v>34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E36">
            <v>1</v>
          </cell>
        </row>
        <row r="37">
          <cell r="B37">
            <v>0</v>
          </cell>
          <cell r="V37"/>
          <cell r="W37"/>
          <cell r="X37"/>
          <cell r="Y37"/>
          <cell r="Z37">
            <v>0</v>
          </cell>
          <cell r="AE37">
            <v>0</v>
          </cell>
        </row>
        <row r="38">
          <cell r="B38">
            <v>0</v>
          </cell>
          <cell r="V38"/>
          <cell r="W38"/>
          <cell r="X38"/>
          <cell r="Y38"/>
          <cell r="Z38">
            <v>0</v>
          </cell>
          <cell r="AE38">
            <v>0</v>
          </cell>
        </row>
        <row r="39">
          <cell r="B39">
            <v>0</v>
          </cell>
          <cell r="V39"/>
          <cell r="W39"/>
          <cell r="X39"/>
          <cell r="Y39"/>
          <cell r="Z39">
            <v>0</v>
          </cell>
          <cell r="AE39">
            <v>0</v>
          </cell>
        </row>
        <row r="40">
          <cell r="B40">
            <v>0</v>
          </cell>
          <cell r="V40"/>
          <cell r="W40"/>
          <cell r="X40"/>
          <cell r="Y40"/>
          <cell r="Z40">
            <v>0</v>
          </cell>
          <cell r="AE40">
            <v>0</v>
          </cell>
        </row>
        <row r="41">
          <cell r="B41">
            <v>1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E41">
            <v>0</v>
          </cell>
        </row>
        <row r="42">
          <cell r="B42">
            <v>5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E42">
            <v>0</v>
          </cell>
        </row>
        <row r="43">
          <cell r="B43">
            <v>0</v>
          </cell>
          <cell r="V43"/>
          <cell r="W43"/>
          <cell r="X43"/>
          <cell r="Y43"/>
          <cell r="Z43">
            <v>0</v>
          </cell>
          <cell r="AE43">
            <v>0</v>
          </cell>
        </row>
        <row r="44">
          <cell r="B44">
            <v>0</v>
          </cell>
          <cell r="V44"/>
          <cell r="W44"/>
          <cell r="X44"/>
          <cell r="Y44"/>
          <cell r="Z44">
            <v>0</v>
          </cell>
          <cell r="AE44">
            <v>0</v>
          </cell>
        </row>
        <row r="45">
          <cell r="B45">
            <v>0</v>
          </cell>
          <cell r="V45"/>
          <cell r="W45"/>
          <cell r="X45"/>
          <cell r="Y45"/>
          <cell r="Z45">
            <v>0</v>
          </cell>
          <cell r="AE45">
            <v>0</v>
          </cell>
        </row>
        <row r="46">
          <cell r="B46">
            <v>0</v>
          </cell>
          <cell r="V46"/>
          <cell r="W46"/>
          <cell r="X46"/>
          <cell r="Y46"/>
          <cell r="Z46">
            <v>0</v>
          </cell>
          <cell r="AE46">
            <v>0</v>
          </cell>
        </row>
        <row r="47">
          <cell r="B47">
            <v>0</v>
          </cell>
          <cell r="V47"/>
          <cell r="W47"/>
          <cell r="X47"/>
          <cell r="Y47"/>
          <cell r="Z47">
            <v>0</v>
          </cell>
          <cell r="AE47">
            <v>0</v>
          </cell>
        </row>
        <row r="48">
          <cell r="B48">
            <v>0</v>
          </cell>
          <cell r="V48"/>
          <cell r="W48"/>
          <cell r="X48"/>
          <cell r="Y48"/>
          <cell r="Z48">
            <v>0</v>
          </cell>
          <cell r="AE48">
            <v>0</v>
          </cell>
        </row>
        <row r="49">
          <cell r="B49">
            <v>0</v>
          </cell>
          <cell r="V49"/>
          <cell r="W49"/>
          <cell r="X49"/>
          <cell r="Y49"/>
          <cell r="Z49">
            <v>0</v>
          </cell>
          <cell r="AE49">
            <v>0</v>
          </cell>
        </row>
        <row r="50">
          <cell r="B50">
            <v>0</v>
          </cell>
          <cell r="V50"/>
          <cell r="W50"/>
          <cell r="X50"/>
          <cell r="Y50"/>
          <cell r="Z50">
            <v>0</v>
          </cell>
          <cell r="AE50">
            <v>0</v>
          </cell>
        </row>
        <row r="51">
          <cell r="B51">
            <v>0</v>
          </cell>
          <cell r="V51"/>
          <cell r="W51"/>
          <cell r="X51"/>
          <cell r="Y51"/>
          <cell r="Z51">
            <v>0</v>
          </cell>
          <cell r="AE51">
            <v>0</v>
          </cell>
        </row>
        <row r="52">
          <cell r="B52">
            <v>0</v>
          </cell>
          <cell r="V52"/>
          <cell r="W52"/>
          <cell r="X52"/>
          <cell r="Y52"/>
          <cell r="Z52">
            <v>0</v>
          </cell>
          <cell r="AE52">
            <v>0</v>
          </cell>
        </row>
        <row r="53">
          <cell r="B53">
            <v>0</v>
          </cell>
          <cell r="V53"/>
          <cell r="W53"/>
          <cell r="X53"/>
          <cell r="Y53"/>
          <cell r="Z53">
            <v>0</v>
          </cell>
          <cell r="AE53">
            <v>0</v>
          </cell>
        </row>
        <row r="54">
          <cell r="B54">
            <v>0</v>
          </cell>
          <cell r="V54"/>
          <cell r="W54"/>
          <cell r="X54"/>
          <cell r="Y54"/>
          <cell r="Z54">
            <v>0</v>
          </cell>
          <cell r="AE54">
            <v>0</v>
          </cell>
        </row>
        <row r="55">
          <cell r="B55">
            <v>0</v>
          </cell>
          <cell r="V55"/>
          <cell r="W55"/>
          <cell r="X55"/>
          <cell r="Y55"/>
          <cell r="Z55">
            <v>0</v>
          </cell>
          <cell r="AE55">
            <v>0</v>
          </cell>
        </row>
        <row r="56">
          <cell r="B56">
            <v>0</v>
          </cell>
          <cell r="V56"/>
          <cell r="W56"/>
          <cell r="X56"/>
          <cell r="Y56"/>
          <cell r="Z56">
            <v>0</v>
          </cell>
          <cell r="AE56">
            <v>0</v>
          </cell>
        </row>
        <row r="57">
          <cell r="B57">
            <v>3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E57">
            <v>0</v>
          </cell>
        </row>
        <row r="58">
          <cell r="B58">
            <v>0</v>
          </cell>
          <cell r="V58"/>
          <cell r="W58"/>
          <cell r="X58"/>
          <cell r="Y58"/>
          <cell r="Z58">
            <v>0</v>
          </cell>
          <cell r="AE58">
            <v>0</v>
          </cell>
        </row>
        <row r="59">
          <cell r="B59">
            <v>0</v>
          </cell>
          <cell r="V59"/>
          <cell r="W59"/>
          <cell r="X59"/>
          <cell r="Y59"/>
          <cell r="Z59">
            <v>0</v>
          </cell>
          <cell r="AE59">
            <v>0</v>
          </cell>
        </row>
        <row r="60">
          <cell r="B60">
            <v>0</v>
          </cell>
          <cell r="V60"/>
          <cell r="W60"/>
          <cell r="X60"/>
          <cell r="Y60"/>
          <cell r="Z60">
            <v>0</v>
          </cell>
          <cell r="AE60">
            <v>0</v>
          </cell>
        </row>
        <row r="61">
          <cell r="B61">
            <v>0</v>
          </cell>
          <cell r="V61"/>
          <cell r="W61"/>
          <cell r="X61"/>
          <cell r="Y61"/>
          <cell r="Z61">
            <v>0</v>
          </cell>
          <cell r="AE61">
            <v>0</v>
          </cell>
        </row>
        <row r="62">
          <cell r="B62">
            <v>3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E62">
            <v>0</v>
          </cell>
        </row>
        <row r="63">
          <cell r="B63">
            <v>0</v>
          </cell>
          <cell r="V63"/>
          <cell r="W63"/>
          <cell r="X63"/>
          <cell r="Y63"/>
          <cell r="Z63">
            <v>0</v>
          </cell>
          <cell r="AE63">
            <v>0</v>
          </cell>
        </row>
        <row r="64">
          <cell r="B64">
            <v>0</v>
          </cell>
          <cell r="V64"/>
          <cell r="W64"/>
          <cell r="X64"/>
          <cell r="Y64"/>
          <cell r="Z64">
            <v>0</v>
          </cell>
          <cell r="AE64">
            <v>0</v>
          </cell>
        </row>
        <row r="65">
          <cell r="B65">
            <v>0</v>
          </cell>
          <cell r="V65"/>
          <cell r="W65"/>
          <cell r="X65"/>
          <cell r="Y65"/>
          <cell r="Z65">
            <v>0</v>
          </cell>
          <cell r="AE65">
            <v>0</v>
          </cell>
        </row>
        <row r="66">
          <cell r="B66">
            <v>0</v>
          </cell>
          <cell r="V66"/>
          <cell r="W66"/>
          <cell r="X66"/>
          <cell r="Y66"/>
          <cell r="Z66">
            <v>0</v>
          </cell>
          <cell r="AE66">
            <v>0</v>
          </cell>
        </row>
        <row r="67">
          <cell r="B67">
            <v>0</v>
          </cell>
          <cell r="V67"/>
          <cell r="W67"/>
          <cell r="X67"/>
          <cell r="Y67"/>
          <cell r="Z67">
            <v>0</v>
          </cell>
          <cell r="AE67">
            <v>0</v>
          </cell>
        </row>
        <row r="68">
          <cell r="B68">
            <v>0</v>
          </cell>
          <cell r="V68"/>
          <cell r="W68"/>
          <cell r="X68"/>
          <cell r="Y68"/>
          <cell r="Z68">
            <v>0</v>
          </cell>
          <cell r="AE68">
            <v>0</v>
          </cell>
        </row>
        <row r="69">
          <cell r="B69">
            <v>0</v>
          </cell>
          <cell r="V69"/>
          <cell r="W69"/>
          <cell r="X69"/>
          <cell r="Y69"/>
          <cell r="Z69">
            <v>0</v>
          </cell>
          <cell r="AE69">
            <v>0</v>
          </cell>
        </row>
        <row r="70">
          <cell r="B70">
            <v>0</v>
          </cell>
          <cell r="V70"/>
          <cell r="W70"/>
          <cell r="X70"/>
          <cell r="Y70"/>
          <cell r="Z70">
            <v>0</v>
          </cell>
          <cell r="AE70">
            <v>0</v>
          </cell>
        </row>
        <row r="71">
          <cell r="B71">
            <v>0</v>
          </cell>
          <cell r="V71"/>
          <cell r="W71"/>
          <cell r="X71"/>
          <cell r="Y71"/>
          <cell r="Z71">
            <v>0</v>
          </cell>
          <cell r="AE71">
            <v>0</v>
          </cell>
        </row>
        <row r="72">
          <cell r="B72">
            <v>0</v>
          </cell>
          <cell r="V72"/>
          <cell r="W72"/>
          <cell r="X72"/>
          <cell r="Y72"/>
          <cell r="Z72">
            <v>0</v>
          </cell>
          <cell r="AE72">
            <v>0</v>
          </cell>
        </row>
        <row r="73">
          <cell r="B73">
            <v>0</v>
          </cell>
          <cell r="V73"/>
          <cell r="W73"/>
          <cell r="X73"/>
          <cell r="Y73"/>
          <cell r="Z73">
            <v>0</v>
          </cell>
          <cell r="AE73">
            <v>0</v>
          </cell>
        </row>
        <row r="74">
          <cell r="B74">
            <v>0</v>
          </cell>
          <cell r="W74"/>
          <cell r="X74"/>
          <cell r="Y74"/>
          <cell r="Z74">
            <v>0</v>
          </cell>
          <cell r="AE74">
            <v>0</v>
          </cell>
        </row>
        <row r="75">
          <cell r="B75">
            <v>0</v>
          </cell>
          <cell r="V75"/>
          <cell r="W75"/>
          <cell r="X75"/>
          <cell r="Y75"/>
          <cell r="Z75">
            <v>0</v>
          </cell>
          <cell r="AE75">
            <v>0</v>
          </cell>
        </row>
        <row r="76">
          <cell r="B76">
            <v>0</v>
          </cell>
          <cell r="V76"/>
          <cell r="W76"/>
          <cell r="X76"/>
          <cell r="Y76"/>
          <cell r="Z76">
            <v>0</v>
          </cell>
          <cell r="AE76">
            <v>0</v>
          </cell>
        </row>
        <row r="77">
          <cell r="B77">
            <v>0</v>
          </cell>
          <cell r="V77"/>
          <cell r="W77"/>
          <cell r="X77"/>
          <cell r="Y77"/>
          <cell r="Z77">
            <v>0</v>
          </cell>
          <cell r="AE77">
            <v>0</v>
          </cell>
        </row>
        <row r="78">
          <cell r="B78">
            <v>1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E78">
            <v>0</v>
          </cell>
        </row>
        <row r="79">
          <cell r="B79">
            <v>0</v>
          </cell>
          <cell r="V79"/>
          <cell r="W79"/>
          <cell r="X79"/>
          <cell r="Y79"/>
          <cell r="Z79">
            <v>0</v>
          </cell>
          <cell r="AE79">
            <v>0</v>
          </cell>
        </row>
        <row r="80">
          <cell r="B80">
            <v>0</v>
          </cell>
          <cell r="V80"/>
          <cell r="W80"/>
          <cell r="X80"/>
          <cell r="Y80"/>
          <cell r="Z80">
            <v>0</v>
          </cell>
          <cell r="AE80">
            <v>0</v>
          </cell>
        </row>
        <row r="81">
          <cell r="B81">
            <v>0</v>
          </cell>
          <cell r="V81"/>
          <cell r="W81"/>
          <cell r="X81"/>
          <cell r="Y81"/>
          <cell r="Z81">
            <v>0</v>
          </cell>
          <cell r="AE81">
            <v>0</v>
          </cell>
        </row>
        <row r="82">
          <cell r="B82">
            <v>0</v>
          </cell>
          <cell r="V82"/>
          <cell r="W82"/>
          <cell r="X82"/>
          <cell r="Y82"/>
          <cell r="Z82">
            <v>0</v>
          </cell>
          <cell r="AE82">
            <v>0</v>
          </cell>
        </row>
        <row r="83">
          <cell r="B83">
            <v>1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E83">
            <v>0</v>
          </cell>
        </row>
        <row r="84">
          <cell r="B84">
            <v>0</v>
          </cell>
          <cell r="V84"/>
          <cell r="W84"/>
          <cell r="X84"/>
          <cell r="Y84"/>
          <cell r="Z84">
            <v>0</v>
          </cell>
          <cell r="AE84">
            <v>0</v>
          </cell>
        </row>
        <row r="85">
          <cell r="B85">
            <v>0</v>
          </cell>
          <cell r="V85"/>
          <cell r="W85"/>
          <cell r="X85"/>
          <cell r="Y85"/>
          <cell r="Z85">
            <v>0</v>
          </cell>
          <cell r="AE85">
            <v>0</v>
          </cell>
        </row>
        <row r="86">
          <cell r="B86">
            <v>0</v>
          </cell>
          <cell r="V86"/>
          <cell r="W86"/>
          <cell r="X86"/>
          <cell r="Y86"/>
          <cell r="Z86">
            <v>0</v>
          </cell>
          <cell r="AE86">
            <v>0</v>
          </cell>
        </row>
        <row r="87">
          <cell r="B87">
            <v>0</v>
          </cell>
          <cell r="V87"/>
          <cell r="W87"/>
          <cell r="X87"/>
          <cell r="Y87"/>
          <cell r="Z87">
            <v>0</v>
          </cell>
          <cell r="AE87">
            <v>0</v>
          </cell>
        </row>
        <row r="88">
          <cell r="B88">
            <v>0</v>
          </cell>
          <cell r="V88"/>
          <cell r="W88"/>
          <cell r="X88"/>
          <cell r="Y88"/>
          <cell r="Z88">
            <v>0</v>
          </cell>
          <cell r="AE88">
            <v>0</v>
          </cell>
        </row>
        <row r="89">
          <cell r="B89">
            <v>0</v>
          </cell>
          <cell r="V89"/>
          <cell r="W89"/>
          <cell r="X89"/>
          <cell r="Y89"/>
          <cell r="Z89">
            <v>0</v>
          </cell>
          <cell r="AE89">
            <v>0</v>
          </cell>
        </row>
      </sheetData>
      <sheetData sheetId="26"/>
      <sheetData sheetId="27"/>
      <sheetData sheetId="28"/>
      <sheetData sheetId="2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BRE"/>
      <sheetName val="A01"/>
      <sheetName val="A02"/>
      <sheetName val="A03"/>
      <sheetName val="A04"/>
      <sheetName val="A05"/>
      <sheetName val="A06"/>
      <sheetName val="A07"/>
      <sheetName val="A08"/>
      <sheetName val="A09"/>
      <sheetName val="A11"/>
      <sheetName val="A11a"/>
      <sheetName val="A19a"/>
      <sheetName val="A19b"/>
      <sheetName val="A21"/>
      <sheetName val="A23"/>
      <sheetName val="A24"/>
      <sheetName val="A25"/>
      <sheetName val="A26"/>
      <sheetName val="A27"/>
      <sheetName val="A28"/>
      <sheetName val="A29"/>
      <sheetName val="A30"/>
      <sheetName val="A30AR"/>
      <sheetName val="A31"/>
      <sheetName val="A32"/>
      <sheetName val="A33"/>
      <sheetName val="A34"/>
      <sheetName val="Control"/>
      <sheetName val="MAC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2">
          <cell r="B12">
            <v>370</v>
          </cell>
          <cell r="X12">
            <v>86</v>
          </cell>
          <cell r="AB12">
            <v>0</v>
          </cell>
        </row>
        <row r="13">
          <cell r="B13">
            <v>337</v>
          </cell>
          <cell r="X13">
            <v>1</v>
          </cell>
          <cell r="AB13">
            <v>48</v>
          </cell>
        </row>
        <row r="14">
          <cell r="B14">
            <v>0</v>
          </cell>
          <cell r="X14">
            <v>0</v>
          </cell>
          <cell r="AB14">
            <v>0</v>
          </cell>
        </row>
        <row r="15">
          <cell r="B15">
            <v>0</v>
          </cell>
          <cell r="X15">
            <v>0</v>
          </cell>
          <cell r="AB15">
            <v>0</v>
          </cell>
        </row>
        <row r="16">
          <cell r="B16">
            <v>0</v>
          </cell>
          <cell r="X16">
            <v>0</v>
          </cell>
          <cell r="AB16">
            <v>0</v>
          </cell>
        </row>
        <row r="17">
          <cell r="B17">
            <v>56</v>
          </cell>
          <cell r="X17">
            <v>0</v>
          </cell>
          <cell r="AB17">
            <v>28</v>
          </cell>
        </row>
        <row r="18">
          <cell r="B18">
            <v>194</v>
          </cell>
          <cell r="X18">
            <v>1</v>
          </cell>
          <cell r="AB18">
            <v>21</v>
          </cell>
        </row>
        <row r="19">
          <cell r="B19">
            <v>80</v>
          </cell>
          <cell r="X19">
            <v>12</v>
          </cell>
          <cell r="AB19">
            <v>0</v>
          </cell>
        </row>
        <row r="20">
          <cell r="B20">
            <v>0</v>
          </cell>
          <cell r="X20">
            <v>0</v>
          </cell>
          <cell r="AB20">
            <v>0</v>
          </cell>
        </row>
        <row r="21">
          <cell r="B21">
            <v>0</v>
          </cell>
          <cell r="X21">
            <v>0</v>
          </cell>
          <cell r="AB21">
            <v>0</v>
          </cell>
        </row>
        <row r="22">
          <cell r="B22">
            <v>44</v>
          </cell>
          <cell r="X22">
            <v>1</v>
          </cell>
          <cell r="AB22">
            <v>21</v>
          </cell>
        </row>
        <row r="23">
          <cell r="B23">
            <v>0</v>
          </cell>
          <cell r="X23">
            <v>0</v>
          </cell>
          <cell r="AB23">
            <v>0</v>
          </cell>
        </row>
        <row r="24">
          <cell r="B24">
            <v>0</v>
          </cell>
          <cell r="X24">
            <v>0</v>
          </cell>
          <cell r="AB24">
            <v>0</v>
          </cell>
        </row>
        <row r="25">
          <cell r="B25">
            <v>0</v>
          </cell>
          <cell r="X25">
            <v>0</v>
          </cell>
          <cell r="AB25">
            <v>0</v>
          </cell>
        </row>
        <row r="26">
          <cell r="B26">
            <v>0</v>
          </cell>
          <cell r="X26">
            <v>0</v>
          </cell>
          <cell r="AB26">
            <v>0</v>
          </cell>
        </row>
        <row r="27">
          <cell r="B27">
            <v>13</v>
          </cell>
          <cell r="X27">
            <v>0</v>
          </cell>
          <cell r="AB27">
            <v>0</v>
          </cell>
        </row>
        <row r="28">
          <cell r="B28">
            <v>0</v>
          </cell>
          <cell r="X28">
            <v>0</v>
          </cell>
          <cell r="AB28">
            <v>0</v>
          </cell>
        </row>
        <row r="29">
          <cell r="B29">
            <v>0</v>
          </cell>
          <cell r="X29">
            <v>0</v>
          </cell>
          <cell r="AB29">
            <v>0</v>
          </cell>
        </row>
        <row r="30">
          <cell r="B30">
            <v>0</v>
          </cell>
          <cell r="X30">
            <v>0</v>
          </cell>
          <cell r="AB30">
            <v>0</v>
          </cell>
        </row>
        <row r="31">
          <cell r="B31">
            <v>0</v>
          </cell>
          <cell r="X31">
            <v>0</v>
          </cell>
          <cell r="AB31">
            <v>0</v>
          </cell>
        </row>
        <row r="32">
          <cell r="B32">
            <v>106</v>
          </cell>
          <cell r="X32">
            <v>11</v>
          </cell>
          <cell r="AB32">
            <v>30</v>
          </cell>
        </row>
        <row r="33">
          <cell r="B33">
            <v>0</v>
          </cell>
          <cell r="X33">
            <v>0</v>
          </cell>
          <cell r="AB33">
            <v>0</v>
          </cell>
        </row>
        <row r="34">
          <cell r="B34">
            <v>155</v>
          </cell>
          <cell r="X34">
            <v>20</v>
          </cell>
          <cell r="AB34">
            <v>22</v>
          </cell>
        </row>
        <row r="35">
          <cell r="B35">
            <v>0</v>
          </cell>
          <cell r="X35">
            <v>0</v>
          </cell>
          <cell r="AB35">
            <v>0</v>
          </cell>
        </row>
        <row r="36">
          <cell r="B36">
            <v>0</v>
          </cell>
          <cell r="X36">
            <v>0</v>
          </cell>
          <cell r="AB36">
            <v>0</v>
          </cell>
        </row>
        <row r="37">
          <cell r="B37">
            <v>0</v>
          </cell>
          <cell r="X37">
            <v>0</v>
          </cell>
          <cell r="AB37">
            <v>0</v>
          </cell>
        </row>
        <row r="38">
          <cell r="B38">
            <v>123</v>
          </cell>
          <cell r="X38">
            <v>35</v>
          </cell>
          <cell r="AB38">
            <v>0</v>
          </cell>
        </row>
        <row r="39">
          <cell r="B39">
            <v>128</v>
          </cell>
          <cell r="X39">
            <v>1</v>
          </cell>
          <cell r="AB39">
            <v>37</v>
          </cell>
        </row>
        <row r="40">
          <cell r="B40">
            <v>0</v>
          </cell>
          <cell r="X40">
            <v>0</v>
          </cell>
          <cell r="AB40">
            <v>0</v>
          </cell>
        </row>
        <row r="41">
          <cell r="B41">
            <v>288</v>
          </cell>
          <cell r="X41">
            <v>11</v>
          </cell>
          <cell r="AB41">
            <v>0</v>
          </cell>
        </row>
        <row r="42">
          <cell r="B42">
            <v>529</v>
          </cell>
          <cell r="X42">
            <v>2</v>
          </cell>
          <cell r="AB42">
            <v>17</v>
          </cell>
        </row>
        <row r="43">
          <cell r="B43">
            <v>119</v>
          </cell>
          <cell r="X43">
            <v>31</v>
          </cell>
          <cell r="AB43">
            <v>0</v>
          </cell>
        </row>
        <row r="44">
          <cell r="B44">
            <v>401</v>
          </cell>
          <cell r="X44">
            <v>5</v>
          </cell>
          <cell r="AB44">
            <v>169</v>
          </cell>
        </row>
        <row r="45">
          <cell r="B45">
            <v>30</v>
          </cell>
          <cell r="X45">
            <v>1</v>
          </cell>
          <cell r="AB45">
            <v>6</v>
          </cell>
        </row>
        <row r="46">
          <cell r="B46">
            <v>0</v>
          </cell>
          <cell r="X46">
            <v>0</v>
          </cell>
          <cell r="AB46">
            <v>0</v>
          </cell>
        </row>
        <row r="47">
          <cell r="B47">
            <v>0</v>
          </cell>
          <cell r="X47">
            <v>0</v>
          </cell>
          <cell r="AB47">
            <v>0</v>
          </cell>
        </row>
        <row r="48">
          <cell r="B48">
            <v>0</v>
          </cell>
          <cell r="X48">
            <v>0</v>
          </cell>
          <cell r="AB48">
            <v>0</v>
          </cell>
        </row>
        <row r="49">
          <cell r="B49">
            <v>44</v>
          </cell>
          <cell r="X49">
            <v>1</v>
          </cell>
          <cell r="AB49">
            <v>6</v>
          </cell>
        </row>
        <row r="50">
          <cell r="B50">
            <v>0</v>
          </cell>
          <cell r="X50">
            <v>0</v>
          </cell>
          <cell r="AB50">
            <v>0</v>
          </cell>
        </row>
        <row r="51">
          <cell r="B51">
            <v>0</v>
          </cell>
          <cell r="X51">
            <v>0</v>
          </cell>
          <cell r="AB51">
            <v>0</v>
          </cell>
        </row>
        <row r="52">
          <cell r="B52">
            <v>0</v>
          </cell>
          <cell r="X52">
            <v>0</v>
          </cell>
          <cell r="AB52">
            <v>0</v>
          </cell>
        </row>
        <row r="53">
          <cell r="B53">
            <v>0</v>
          </cell>
          <cell r="X53">
            <v>0</v>
          </cell>
          <cell r="AB53">
            <v>0</v>
          </cell>
        </row>
        <row r="54">
          <cell r="B54">
            <v>78</v>
          </cell>
          <cell r="X54">
            <v>13</v>
          </cell>
          <cell r="AB54">
            <v>50</v>
          </cell>
        </row>
        <row r="55">
          <cell r="B55">
            <v>725</v>
          </cell>
          <cell r="X55">
            <v>5</v>
          </cell>
          <cell r="AB55">
            <v>236</v>
          </cell>
        </row>
        <row r="56">
          <cell r="B56">
            <v>0</v>
          </cell>
          <cell r="X56">
            <v>0</v>
          </cell>
          <cell r="AB56">
            <v>0</v>
          </cell>
        </row>
        <row r="57">
          <cell r="B57">
            <v>0</v>
          </cell>
          <cell r="X57">
            <v>0</v>
          </cell>
          <cell r="AB57">
            <v>0</v>
          </cell>
        </row>
        <row r="58">
          <cell r="B58">
            <v>741</v>
          </cell>
          <cell r="X58">
            <v>21</v>
          </cell>
          <cell r="AB58">
            <v>303</v>
          </cell>
        </row>
        <row r="59">
          <cell r="B59">
            <v>172</v>
          </cell>
          <cell r="X59">
            <v>13</v>
          </cell>
          <cell r="AB59">
            <v>47</v>
          </cell>
        </row>
        <row r="60">
          <cell r="B60">
            <v>702</v>
          </cell>
          <cell r="X60">
            <v>88</v>
          </cell>
          <cell r="AB60">
            <v>72</v>
          </cell>
        </row>
        <row r="61">
          <cell r="B61">
            <v>272</v>
          </cell>
          <cell r="X61">
            <v>2</v>
          </cell>
          <cell r="AB61">
            <v>36</v>
          </cell>
        </row>
        <row r="62">
          <cell r="B62">
            <v>62</v>
          </cell>
          <cell r="X62">
            <v>0</v>
          </cell>
          <cell r="AB62">
            <v>0</v>
          </cell>
        </row>
        <row r="63">
          <cell r="B63">
            <v>0</v>
          </cell>
          <cell r="X63">
            <v>0</v>
          </cell>
          <cell r="AB63">
            <v>0</v>
          </cell>
        </row>
        <row r="64">
          <cell r="B64">
            <v>0</v>
          </cell>
          <cell r="X64">
            <v>0</v>
          </cell>
          <cell r="AB64">
            <v>0</v>
          </cell>
        </row>
        <row r="65">
          <cell r="B65">
            <v>0</v>
          </cell>
          <cell r="X65">
            <v>0</v>
          </cell>
          <cell r="AB65">
            <v>0</v>
          </cell>
        </row>
        <row r="66">
          <cell r="B66">
            <v>0</v>
          </cell>
          <cell r="X66">
            <v>0</v>
          </cell>
          <cell r="AB66">
            <v>0</v>
          </cell>
        </row>
        <row r="71">
          <cell r="S71">
            <v>44</v>
          </cell>
          <cell r="T71">
            <v>0</v>
          </cell>
          <cell r="U71">
            <v>13</v>
          </cell>
          <cell r="V71">
            <v>30</v>
          </cell>
        </row>
        <row r="72">
          <cell r="S72">
            <v>0</v>
          </cell>
          <cell r="T72">
            <v>17</v>
          </cell>
          <cell r="U72">
            <v>4</v>
          </cell>
          <cell r="V72">
            <v>22</v>
          </cell>
        </row>
        <row r="73">
          <cell r="S73"/>
          <cell r="T73"/>
          <cell r="U73"/>
          <cell r="V73"/>
        </row>
        <row r="74">
          <cell r="S74"/>
          <cell r="T74"/>
          <cell r="U74"/>
          <cell r="V74"/>
        </row>
        <row r="75">
          <cell r="S75"/>
          <cell r="T75"/>
          <cell r="U75"/>
          <cell r="V75"/>
        </row>
        <row r="76">
          <cell r="S76"/>
          <cell r="T76"/>
          <cell r="U76">
            <v>1</v>
          </cell>
          <cell r="V76">
            <v>1</v>
          </cell>
        </row>
        <row r="77">
          <cell r="S77">
            <v>0</v>
          </cell>
          <cell r="T77">
            <v>10</v>
          </cell>
          <cell r="U77">
            <v>2</v>
          </cell>
          <cell r="V77">
            <v>11</v>
          </cell>
        </row>
        <row r="78">
          <cell r="S78">
            <v>1</v>
          </cell>
          <cell r="T78">
            <v>0</v>
          </cell>
          <cell r="U78">
            <v>1</v>
          </cell>
          <cell r="V78">
            <v>0</v>
          </cell>
        </row>
        <row r="79">
          <cell r="S79"/>
          <cell r="T79"/>
          <cell r="U79"/>
          <cell r="V79"/>
        </row>
        <row r="80">
          <cell r="S80"/>
          <cell r="T80"/>
          <cell r="U80"/>
          <cell r="V80"/>
        </row>
        <row r="81">
          <cell r="S81">
            <v>0</v>
          </cell>
          <cell r="T81">
            <v>3</v>
          </cell>
          <cell r="U81">
            <v>3</v>
          </cell>
          <cell r="V81">
            <v>4</v>
          </cell>
        </row>
        <row r="82">
          <cell r="S82"/>
          <cell r="T82"/>
          <cell r="U82"/>
          <cell r="V82"/>
        </row>
        <row r="83">
          <cell r="S83"/>
          <cell r="T83"/>
          <cell r="U83"/>
          <cell r="V83"/>
        </row>
        <row r="84">
          <cell r="S84"/>
          <cell r="T84"/>
          <cell r="U84"/>
          <cell r="V84"/>
        </row>
        <row r="85">
          <cell r="S85"/>
          <cell r="T85"/>
          <cell r="U85"/>
          <cell r="V85"/>
        </row>
        <row r="86">
          <cell r="S86">
            <v>0</v>
          </cell>
          <cell r="T86">
            <v>12</v>
          </cell>
          <cell r="U86"/>
          <cell r="V86"/>
        </row>
        <row r="87">
          <cell r="S87"/>
          <cell r="T87"/>
          <cell r="U87"/>
          <cell r="V87"/>
        </row>
        <row r="88">
          <cell r="S88"/>
          <cell r="T88"/>
          <cell r="U88"/>
          <cell r="V88"/>
        </row>
        <row r="89">
          <cell r="S89"/>
          <cell r="T89"/>
          <cell r="U89"/>
          <cell r="V89"/>
        </row>
        <row r="90">
          <cell r="S90"/>
          <cell r="T90"/>
          <cell r="U90"/>
          <cell r="V90"/>
        </row>
        <row r="91">
          <cell r="S91">
            <v>9</v>
          </cell>
          <cell r="T91">
            <v>17</v>
          </cell>
          <cell r="U91">
            <v>26</v>
          </cell>
          <cell r="V91">
            <v>15</v>
          </cell>
        </row>
        <row r="92">
          <cell r="S92"/>
          <cell r="T92"/>
          <cell r="U92"/>
          <cell r="V92"/>
        </row>
        <row r="93">
          <cell r="S93">
            <v>1</v>
          </cell>
          <cell r="T93">
            <v>5</v>
          </cell>
          <cell r="U93">
            <v>0</v>
          </cell>
          <cell r="V93">
            <v>12</v>
          </cell>
        </row>
        <row r="94">
          <cell r="S94"/>
          <cell r="T94"/>
          <cell r="U94"/>
          <cell r="V94"/>
        </row>
        <row r="95">
          <cell r="S95"/>
          <cell r="T95"/>
          <cell r="U95"/>
          <cell r="V95"/>
        </row>
        <row r="96">
          <cell r="S96"/>
          <cell r="T96"/>
          <cell r="U96"/>
          <cell r="V96"/>
        </row>
        <row r="97">
          <cell r="S97">
            <v>3</v>
          </cell>
          <cell r="T97">
            <v>0</v>
          </cell>
          <cell r="U97">
            <v>2</v>
          </cell>
          <cell r="V97">
            <v>5</v>
          </cell>
        </row>
        <row r="98">
          <cell r="S98">
            <v>0</v>
          </cell>
          <cell r="T98">
            <v>9</v>
          </cell>
          <cell r="U98">
            <v>8</v>
          </cell>
          <cell r="V98">
            <v>10</v>
          </cell>
        </row>
        <row r="99">
          <cell r="S99"/>
          <cell r="T99"/>
          <cell r="U99"/>
          <cell r="V99"/>
        </row>
        <row r="100">
          <cell r="S100">
            <v>27</v>
          </cell>
          <cell r="T100">
            <v>10</v>
          </cell>
          <cell r="U100">
            <v>4</v>
          </cell>
          <cell r="V100">
            <v>46</v>
          </cell>
        </row>
        <row r="101">
          <cell r="S101">
            <v>0</v>
          </cell>
          <cell r="T101">
            <v>12</v>
          </cell>
          <cell r="U101">
            <v>4</v>
          </cell>
          <cell r="V101">
            <v>82</v>
          </cell>
        </row>
        <row r="102">
          <cell r="S102">
            <v>33</v>
          </cell>
          <cell r="T102">
            <v>0</v>
          </cell>
          <cell r="U102">
            <v>4</v>
          </cell>
          <cell r="V102">
            <v>20</v>
          </cell>
        </row>
        <row r="103">
          <cell r="S103">
            <v>3</v>
          </cell>
          <cell r="T103">
            <v>93</v>
          </cell>
          <cell r="U103">
            <v>24</v>
          </cell>
          <cell r="V103">
            <v>33</v>
          </cell>
        </row>
        <row r="104">
          <cell r="S104">
            <v>0</v>
          </cell>
          <cell r="T104">
            <v>4</v>
          </cell>
          <cell r="U104">
            <v>0</v>
          </cell>
          <cell r="V104">
            <v>1</v>
          </cell>
        </row>
        <row r="105">
          <cell r="S105"/>
          <cell r="T105"/>
          <cell r="U105"/>
          <cell r="V105"/>
        </row>
        <row r="106">
          <cell r="S106"/>
          <cell r="T106"/>
          <cell r="U106"/>
          <cell r="V106"/>
        </row>
        <row r="107">
          <cell r="S107"/>
          <cell r="T107"/>
          <cell r="U107"/>
          <cell r="V107"/>
        </row>
        <row r="108">
          <cell r="S108">
            <v>0</v>
          </cell>
          <cell r="T108">
            <v>1</v>
          </cell>
          <cell r="U108"/>
          <cell r="V108"/>
        </row>
        <row r="109">
          <cell r="S109"/>
          <cell r="T109"/>
          <cell r="U109"/>
          <cell r="V109"/>
        </row>
        <row r="110">
          <cell r="S110"/>
          <cell r="T110"/>
          <cell r="V110"/>
          <cell r="AA110"/>
        </row>
        <row r="111">
          <cell r="S111"/>
          <cell r="T111"/>
          <cell r="U111"/>
          <cell r="V111"/>
        </row>
        <row r="112">
          <cell r="S112"/>
          <cell r="T112"/>
          <cell r="U112"/>
          <cell r="V112"/>
        </row>
        <row r="113">
          <cell r="S113">
            <v>13</v>
          </cell>
          <cell r="T113">
            <v>50</v>
          </cell>
          <cell r="U113">
            <v>7</v>
          </cell>
          <cell r="V113">
            <v>1</v>
          </cell>
        </row>
        <row r="114">
          <cell r="S114">
            <v>0</v>
          </cell>
          <cell r="T114">
            <v>74</v>
          </cell>
          <cell r="U114">
            <v>35</v>
          </cell>
          <cell r="V114">
            <v>49</v>
          </cell>
        </row>
        <row r="115">
          <cell r="S115"/>
          <cell r="T115"/>
          <cell r="U115"/>
          <cell r="V115"/>
        </row>
        <row r="116">
          <cell r="S116"/>
          <cell r="T116"/>
          <cell r="U116"/>
          <cell r="V116"/>
        </row>
        <row r="117">
          <cell r="S117">
            <v>15</v>
          </cell>
          <cell r="T117">
            <v>241</v>
          </cell>
          <cell r="U117">
            <v>51</v>
          </cell>
          <cell r="V117">
            <v>21</v>
          </cell>
        </row>
        <row r="118">
          <cell r="S118">
            <v>15</v>
          </cell>
          <cell r="T118">
            <v>26</v>
          </cell>
          <cell r="U118">
            <v>9</v>
          </cell>
          <cell r="V118">
            <v>8</v>
          </cell>
        </row>
        <row r="119">
          <cell r="S119">
            <v>39</v>
          </cell>
          <cell r="T119">
            <v>52</v>
          </cell>
          <cell r="U119">
            <v>20</v>
          </cell>
          <cell r="V119">
            <v>55</v>
          </cell>
        </row>
        <row r="120">
          <cell r="S120">
            <v>1</v>
          </cell>
          <cell r="T120">
            <v>6</v>
          </cell>
          <cell r="U120">
            <v>2</v>
          </cell>
          <cell r="V120">
            <v>11</v>
          </cell>
        </row>
        <row r="121">
          <cell r="S121"/>
          <cell r="T121"/>
          <cell r="U121">
            <v>0</v>
          </cell>
          <cell r="V121">
            <v>12</v>
          </cell>
        </row>
        <row r="122">
          <cell r="S122"/>
          <cell r="T122"/>
          <cell r="U122"/>
          <cell r="V122"/>
        </row>
        <row r="123">
          <cell r="S123"/>
          <cell r="T123"/>
          <cell r="U123"/>
          <cell r="V123"/>
        </row>
        <row r="124">
          <cell r="S124"/>
          <cell r="T124"/>
          <cell r="U124"/>
          <cell r="V124"/>
        </row>
        <row r="125">
          <cell r="S125"/>
          <cell r="T125"/>
          <cell r="U125"/>
          <cell r="V125"/>
        </row>
      </sheetData>
      <sheetData sheetId="8">
        <row r="12">
          <cell r="B12">
            <v>3121</v>
          </cell>
          <cell r="AS12">
            <v>3935</v>
          </cell>
        </row>
        <row r="62">
          <cell r="B62">
            <v>344</v>
          </cell>
        </row>
        <row r="107">
          <cell r="C107">
            <v>170</v>
          </cell>
        </row>
        <row r="108">
          <cell r="C108">
            <v>74</v>
          </cell>
        </row>
        <row r="109">
          <cell r="C109">
            <v>61</v>
          </cell>
        </row>
        <row r="112">
          <cell r="C112">
            <v>0</v>
          </cell>
        </row>
      </sheetData>
      <sheetData sheetId="9"/>
      <sheetData sheetId="10"/>
      <sheetData sheetId="11"/>
      <sheetData sheetId="12"/>
      <sheetData sheetId="13"/>
      <sheetData sheetId="14">
        <row r="32">
          <cell r="C32">
            <v>56</v>
          </cell>
        </row>
        <row r="33">
          <cell r="C33">
            <v>538</v>
          </cell>
        </row>
        <row r="102">
          <cell r="F102">
            <v>24</v>
          </cell>
          <cell r="G102">
            <v>268</v>
          </cell>
          <cell r="H102">
            <v>2</v>
          </cell>
          <cell r="I102">
            <v>23</v>
          </cell>
        </row>
      </sheetData>
      <sheetData sheetId="15"/>
      <sheetData sheetId="16">
        <row r="13">
          <cell r="C13">
            <v>45</v>
          </cell>
        </row>
        <row r="14">
          <cell r="C14"/>
        </row>
        <row r="15">
          <cell r="C15">
            <v>23</v>
          </cell>
        </row>
        <row r="16">
          <cell r="C16">
            <v>16</v>
          </cell>
        </row>
      </sheetData>
      <sheetData sheetId="17"/>
      <sheetData sheetId="18"/>
      <sheetData sheetId="19"/>
      <sheetData sheetId="20"/>
      <sheetData sheetId="21"/>
      <sheetData sheetId="22">
        <row r="13">
          <cell r="B13"/>
          <cell r="C13"/>
          <cell r="D13"/>
          <cell r="E13"/>
          <cell r="F13"/>
          <cell r="G13"/>
          <cell r="H13"/>
          <cell r="I13"/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B14"/>
          <cell r="C14"/>
          <cell r="D14"/>
          <cell r="E14"/>
          <cell r="F14"/>
          <cell r="G14"/>
          <cell r="H14">
            <v>0</v>
          </cell>
          <cell r="I14">
            <v>1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1</v>
          </cell>
          <cell r="Y14">
            <v>1</v>
          </cell>
        </row>
        <row r="15">
          <cell r="B15"/>
          <cell r="C15"/>
          <cell r="D15"/>
          <cell r="E15"/>
          <cell r="F15"/>
          <cell r="G15"/>
          <cell r="H15"/>
          <cell r="I15"/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  <row r="16">
          <cell r="B16"/>
          <cell r="C16"/>
          <cell r="D16"/>
          <cell r="E16"/>
          <cell r="F16"/>
          <cell r="G16"/>
          <cell r="H16"/>
          <cell r="I16"/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B17"/>
          <cell r="C17"/>
          <cell r="D17"/>
          <cell r="E17"/>
          <cell r="F17"/>
          <cell r="G17"/>
          <cell r="H17"/>
          <cell r="I17"/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B18"/>
          <cell r="C18"/>
          <cell r="D18"/>
          <cell r="E18"/>
          <cell r="F18"/>
          <cell r="G18"/>
          <cell r="H18"/>
          <cell r="I18"/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B19"/>
          <cell r="C19"/>
          <cell r="D19"/>
          <cell r="E19"/>
          <cell r="F19"/>
          <cell r="G19"/>
          <cell r="H19"/>
          <cell r="I19"/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1</v>
          </cell>
        </row>
        <row r="20">
          <cell r="B20"/>
          <cell r="C20"/>
          <cell r="D20"/>
          <cell r="E20"/>
          <cell r="F20"/>
          <cell r="G20"/>
          <cell r="H20"/>
          <cell r="I20"/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B21"/>
          <cell r="C21"/>
          <cell r="D21"/>
          <cell r="E21"/>
          <cell r="F21"/>
          <cell r="G21"/>
          <cell r="H21"/>
          <cell r="I21"/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B22"/>
          <cell r="C22"/>
          <cell r="D22"/>
          <cell r="E22"/>
          <cell r="F22"/>
          <cell r="G22"/>
          <cell r="H22"/>
          <cell r="I22"/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B23"/>
          <cell r="C23"/>
          <cell r="D23"/>
          <cell r="E23"/>
          <cell r="F23"/>
          <cell r="G23"/>
          <cell r="H23"/>
          <cell r="I23"/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B24"/>
          <cell r="C24"/>
          <cell r="D24"/>
          <cell r="E24"/>
          <cell r="F24"/>
          <cell r="G24"/>
          <cell r="H24"/>
          <cell r="I24"/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B25"/>
          <cell r="C25"/>
          <cell r="D25"/>
          <cell r="E25"/>
          <cell r="F25"/>
          <cell r="G25"/>
          <cell r="H25"/>
          <cell r="I25"/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B26"/>
          <cell r="C26"/>
          <cell r="D26"/>
          <cell r="E26"/>
          <cell r="F26"/>
          <cell r="G26"/>
          <cell r="H26"/>
          <cell r="I26"/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B27"/>
          <cell r="C27"/>
          <cell r="D27"/>
          <cell r="E27"/>
          <cell r="F27"/>
          <cell r="G27"/>
          <cell r="H27"/>
          <cell r="I27"/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B28"/>
          <cell r="C28"/>
          <cell r="D28"/>
          <cell r="E28"/>
          <cell r="F28"/>
          <cell r="G28"/>
          <cell r="H28"/>
          <cell r="I28"/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B29"/>
          <cell r="C29"/>
          <cell r="D29"/>
          <cell r="E29"/>
          <cell r="F29"/>
          <cell r="G29"/>
          <cell r="H29"/>
          <cell r="I29"/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B30"/>
          <cell r="C30"/>
          <cell r="D30"/>
          <cell r="E30"/>
          <cell r="F30"/>
          <cell r="G30"/>
          <cell r="H30"/>
          <cell r="I30"/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B31"/>
          <cell r="C31"/>
          <cell r="D31"/>
          <cell r="E31"/>
          <cell r="F31"/>
          <cell r="G31"/>
          <cell r="H31"/>
          <cell r="I31"/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B32"/>
          <cell r="C32"/>
          <cell r="D32"/>
          <cell r="E32"/>
          <cell r="F32"/>
          <cell r="G32"/>
          <cell r="H32"/>
          <cell r="I32"/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B33"/>
          <cell r="C33"/>
          <cell r="D33"/>
          <cell r="E33"/>
          <cell r="F33"/>
          <cell r="G33"/>
          <cell r="H33"/>
          <cell r="I33"/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B34"/>
          <cell r="C34"/>
          <cell r="D34"/>
          <cell r="E34"/>
          <cell r="F34"/>
          <cell r="G34"/>
          <cell r="H34"/>
          <cell r="I34"/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B35">
            <v>1</v>
          </cell>
          <cell r="C35"/>
          <cell r="D35"/>
          <cell r="E35"/>
          <cell r="F35"/>
          <cell r="G35"/>
          <cell r="H35"/>
          <cell r="I35"/>
          <cell r="R35">
            <v>1</v>
          </cell>
          <cell r="S35">
            <v>1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1</v>
          </cell>
          <cell r="Y35">
            <v>4</v>
          </cell>
        </row>
        <row r="36">
          <cell r="B36"/>
          <cell r="C36"/>
          <cell r="D36"/>
          <cell r="E36"/>
          <cell r="F36"/>
          <cell r="G36"/>
          <cell r="H36"/>
          <cell r="I36"/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B37"/>
          <cell r="C37"/>
          <cell r="D37"/>
          <cell r="E37"/>
          <cell r="F37"/>
          <cell r="G37"/>
          <cell r="H37"/>
          <cell r="I37"/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B38"/>
          <cell r="C38"/>
          <cell r="D38"/>
          <cell r="E38"/>
          <cell r="F38"/>
          <cell r="G38"/>
          <cell r="H38"/>
          <cell r="I38"/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B39"/>
          <cell r="C39"/>
          <cell r="D39"/>
          <cell r="E39"/>
          <cell r="F39"/>
          <cell r="G39"/>
          <cell r="H39"/>
          <cell r="I39"/>
          <cell r="R39">
            <v>1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B40"/>
          <cell r="C40"/>
          <cell r="D40"/>
          <cell r="E40"/>
          <cell r="F40"/>
          <cell r="G40"/>
          <cell r="H40">
            <v>1</v>
          </cell>
          <cell r="I40"/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9</v>
          </cell>
          <cell r="Y40">
            <v>7</v>
          </cell>
        </row>
        <row r="41">
          <cell r="B41"/>
          <cell r="C41"/>
          <cell r="D41"/>
          <cell r="E41"/>
          <cell r="F41"/>
          <cell r="G41"/>
          <cell r="H41"/>
          <cell r="I41"/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</row>
        <row r="42">
          <cell r="B42"/>
          <cell r="C42"/>
          <cell r="D42"/>
          <cell r="E42"/>
          <cell r="F42"/>
          <cell r="G42"/>
          <cell r="H42"/>
          <cell r="I42"/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</row>
        <row r="43">
          <cell r="B43"/>
          <cell r="C43"/>
          <cell r="D43"/>
          <cell r="E43"/>
          <cell r="F43"/>
          <cell r="G43"/>
          <cell r="H43"/>
          <cell r="I43"/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</row>
        <row r="44">
          <cell r="B44"/>
          <cell r="C44"/>
          <cell r="D44"/>
          <cell r="E44"/>
          <cell r="F44"/>
          <cell r="G44"/>
          <cell r="H44"/>
          <cell r="I44"/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</row>
        <row r="45">
          <cell r="B45"/>
          <cell r="C45"/>
          <cell r="D45"/>
          <cell r="E45"/>
          <cell r="F45"/>
          <cell r="G45"/>
          <cell r="H45"/>
          <cell r="I45"/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</row>
        <row r="46">
          <cell r="B46"/>
          <cell r="C46"/>
          <cell r="D46"/>
          <cell r="E46"/>
          <cell r="F46"/>
          <cell r="G46"/>
          <cell r="H46"/>
          <cell r="I46"/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B47"/>
          <cell r="C47"/>
          <cell r="D47"/>
          <cell r="E47"/>
          <cell r="F47"/>
          <cell r="G47"/>
          <cell r="H47"/>
          <cell r="I47"/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B48"/>
          <cell r="C48"/>
          <cell r="D48"/>
          <cell r="E48"/>
          <cell r="F48"/>
          <cell r="G48"/>
          <cell r="H48"/>
          <cell r="I48"/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B49"/>
          <cell r="C49"/>
          <cell r="D49"/>
          <cell r="E49"/>
          <cell r="F49"/>
          <cell r="G49"/>
          <cell r="H49"/>
          <cell r="I49"/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B50"/>
          <cell r="C50"/>
          <cell r="D50"/>
          <cell r="E50"/>
          <cell r="F50"/>
          <cell r="G50"/>
          <cell r="H50"/>
          <cell r="I50"/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1">
          <cell r="B51"/>
          <cell r="C51"/>
          <cell r="D51"/>
          <cell r="E51"/>
          <cell r="F51"/>
          <cell r="G51"/>
          <cell r="H51"/>
          <cell r="I51"/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B52"/>
          <cell r="C52"/>
          <cell r="D52"/>
          <cell r="E52"/>
          <cell r="F52"/>
          <cell r="G52"/>
          <cell r="H52"/>
          <cell r="I52"/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B53"/>
          <cell r="C53"/>
          <cell r="D53"/>
          <cell r="E53"/>
          <cell r="F53"/>
          <cell r="G53"/>
          <cell r="H53"/>
          <cell r="I53"/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B54"/>
          <cell r="C54"/>
          <cell r="D54"/>
          <cell r="E54"/>
          <cell r="F54"/>
          <cell r="G54"/>
          <cell r="H54"/>
          <cell r="I54"/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B55"/>
          <cell r="C55"/>
          <cell r="D55"/>
          <cell r="E55"/>
          <cell r="F55"/>
          <cell r="G55"/>
          <cell r="H55">
            <v>1</v>
          </cell>
          <cell r="I55"/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1</v>
          </cell>
          <cell r="Y55">
            <v>0</v>
          </cell>
        </row>
        <row r="56">
          <cell r="B56"/>
          <cell r="C56"/>
          <cell r="D56"/>
          <cell r="E56"/>
          <cell r="F56"/>
          <cell r="G56"/>
          <cell r="H56"/>
          <cell r="I56"/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B57"/>
          <cell r="C57"/>
          <cell r="D57"/>
          <cell r="E57"/>
          <cell r="F57"/>
          <cell r="G57"/>
          <cell r="H57"/>
          <cell r="I57"/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B58"/>
          <cell r="C58"/>
          <cell r="D58"/>
          <cell r="E58"/>
          <cell r="F58"/>
          <cell r="G58"/>
          <cell r="H58"/>
          <cell r="I58"/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</row>
        <row r="59">
          <cell r="B59"/>
          <cell r="C59"/>
          <cell r="D59"/>
          <cell r="E59"/>
          <cell r="F59"/>
          <cell r="G59"/>
          <cell r="H59"/>
          <cell r="I59"/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B60"/>
          <cell r="C60"/>
          <cell r="D60"/>
          <cell r="E60"/>
          <cell r="F60"/>
          <cell r="G60"/>
          <cell r="H60"/>
          <cell r="I60"/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B61"/>
          <cell r="C61"/>
          <cell r="D61"/>
          <cell r="E61"/>
          <cell r="F61"/>
          <cell r="G61"/>
          <cell r="H61"/>
          <cell r="I61"/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</row>
        <row r="62">
          <cell r="B62"/>
          <cell r="C62"/>
          <cell r="D62"/>
          <cell r="E62"/>
          <cell r="F62"/>
          <cell r="G62"/>
          <cell r="H62"/>
          <cell r="I62"/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B63"/>
          <cell r="C63"/>
          <cell r="D63"/>
          <cell r="E63"/>
          <cell r="F63"/>
          <cell r="G63"/>
          <cell r="H63"/>
          <cell r="I63"/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B64"/>
          <cell r="C64"/>
          <cell r="D64"/>
          <cell r="E64"/>
          <cell r="F64"/>
          <cell r="G64"/>
          <cell r="H64"/>
          <cell r="I64"/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B65"/>
          <cell r="C65"/>
          <cell r="D65"/>
          <cell r="E65"/>
          <cell r="F65"/>
          <cell r="G65"/>
          <cell r="H65"/>
          <cell r="I65"/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B66"/>
          <cell r="C66"/>
          <cell r="D66"/>
          <cell r="E66"/>
          <cell r="F66"/>
          <cell r="G66"/>
          <cell r="H66"/>
          <cell r="I66"/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</row>
        <row r="67">
          <cell r="B67"/>
          <cell r="C67"/>
          <cell r="D67"/>
          <cell r="E67"/>
          <cell r="F67"/>
          <cell r="G67"/>
          <cell r="H67"/>
          <cell r="I67"/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</sheetData>
      <sheetData sheetId="23"/>
      <sheetData sheetId="24"/>
      <sheetData sheetId="25">
        <row r="35">
          <cell r="B35">
            <v>0</v>
          </cell>
          <cell r="V35"/>
          <cell r="W35"/>
          <cell r="X35"/>
          <cell r="Y35"/>
          <cell r="Z35">
            <v>0</v>
          </cell>
          <cell r="AE35">
            <v>0</v>
          </cell>
        </row>
        <row r="36">
          <cell r="B36">
            <v>2</v>
          </cell>
          <cell r="V36"/>
          <cell r="W36"/>
          <cell r="X36"/>
          <cell r="Y36"/>
          <cell r="Z36">
            <v>0</v>
          </cell>
          <cell r="AE36">
            <v>2</v>
          </cell>
        </row>
        <row r="37">
          <cell r="B37">
            <v>0</v>
          </cell>
          <cell r="V37"/>
          <cell r="W37"/>
          <cell r="X37"/>
          <cell r="Y37"/>
          <cell r="Z37">
            <v>0</v>
          </cell>
          <cell r="AE37">
            <v>0</v>
          </cell>
        </row>
        <row r="38">
          <cell r="B38">
            <v>0</v>
          </cell>
          <cell r="V38"/>
          <cell r="W38"/>
          <cell r="X38"/>
          <cell r="Y38"/>
          <cell r="Z38">
            <v>0</v>
          </cell>
          <cell r="AE38">
            <v>0</v>
          </cell>
        </row>
        <row r="39">
          <cell r="B39">
            <v>0</v>
          </cell>
          <cell r="V39"/>
          <cell r="W39"/>
          <cell r="X39"/>
          <cell r="Y39"/>
          <cell r="Z39">
            <v>0</v>
          </cell>
          <cell r="AE39">
            <v>0</v>
          </cell>
        </row>
        <row r="40">
          <cell r="B40">
            <v>0</v>
          </cell>
          <cell r="V40"/>
          <cell r="W40"/>
          <cell r="X40"/>
          <cell r="Y40"/>
          <cell r="Z40">
            <v>0</v>
          </cell>
          <cell r="AE40">
            <v>0</v>
          </cell>
        </row>
        <row r="41">
          <cell r="B41">
            <v>0</v>
          </cell>
          <cell r="V41"/>
          <cell r="W41"/>
          <cell r="X41"/>
          <cell r="Y41"/>
          <cell r="Z41">
            <v>0</v>
          </cell>
          <cell r="AE41">
            <v>0</v>
          </cell>
        </row>
        <row r="42">
          <cell r="B42">
            <v>0</v>
          </cell>
          <cell r="V42"/>
          <cell r="W42"/>
          <cell r="X42"/>
          <cell r="Y42"/>
          <cell r="Z42">
            <v>0</v>
          </cell>
          <cell r="AE42">
            <v>0</v>
          </cell>
        </row>
        <row r="43">
          <cell r="B43">
            <v>0</v>
          </cell>
          <cell r="V43"/>
          <cell r="W43"/>
          <cell r="X43"/>
          <cell r="Y43"/>
          <cell r="Z43">
            <v>0</v>
          </cell>
          <cell r="AE43">
            <v>0</v>
          </cell>
        </row>
        <row r="44">
          <cell r="B44">
            <v>0</v>
          </cell>
          <cell r="V44"/>
          <cell r="W44"/>
          <cell r="X44"/>
          <cell r="Y44"/>
          <cell r="Z44">
            <v>0</v>
          </cell>
          <cell r="AE44">
            <v>0</v>
          </cell>
        </row>
        <row r="45">
          <cell r="B45">
            <v>0</v>
          </cell>
          <cell r="V45"/>
          <cell r="W45"/>
          <cell r="X45"/>
          <cell r="Y45"/>
          <cell r="Z45">
            <v>0</v>
          </cell>
          <cell r="AE45">
            <v>0</v>
          </cell>
        </row>
        <row r="46">
          <cell r="B46">
            <v>0</v>
          </cell>
          <cell r="V46"/>
          <cell r="W46"/>
          <cell r="X46"/>
          <cell r="Y46"/>
          <cell r="Z46">
            <v>0</v>
          </cell>
          <cell r="AE46">
            <v>0</v>
          </cell>
        </row>
        <row r="47">
          <cell r="B47">
            <v>0</v>
          </cell>
          <cell r="V47"/>
          <cell r="W47"/>
          <cell r="X47"/>
          <cell r="Y47"/>
          <cell r="Z47">
            <v>0</v>
          </cell>
          <cell r="AE47">
            <v>0</v>
          </cell>
        </row>
        <row r="48">
          <cell r="B48">
            <v>0</v>
          </cell>
          <cell r="V48"/>
          <cell r="W48"/>
          <cell r="X48"/>
          <cell r="Y48"/>
          <cell r="Z48">
            <v>0</v>
          </cell>
          <cell r="AE48">
            <v>0</v>
          </cell>
        </row>
        <row r="49">
          <cell r="B49">
            <v>0</v>
          </cell>
          <cell r="V49"/>
          <cell r="W49"/>
          <cell r="X49"/>
          <cell r="Y49"/>
          <cell r="Z49">
            <v>0</v>
          </cell>
          <cell r="AE49">
            <v>0</v>
          </cell>
        </row>
        <row r="50">
          <cell r="B50">
            <v>0</v>
          </cell>
          <cell r="V50"/>
          <cell r="W50"/>
          <cell r="X50"/>
          <cell r="Y50"/>
          <cell r="Z50">
            <v>0</v>
          </cell>
          <cell r="AE50">
            <v>0</v>
          </cell>
        </row>
        <row r="51">
          <cell r="B51">
            <v>0</v>
          </cell>
          <cell r="V51"/>
          <cell r="W51"/>
          <cell r="X51"/>
          <cell r="Y51"/>
          <cell r="Z51">
            <v>0</v>
          </cell>
          <cell r="AE51">
            <v>0</v>
          </cell>
        </row>
        <row r="52">
          <cell r="B52">
            <v>0</v>
          </cell>
          <cell r="V52"/>
          <cell r="W52"/>
          <cell r="X52"/>
          <cell r="Y52"/>
          <cell r="Z52">
            <v>0</v>
          </cell>
          <cell r="AE52">
            <v>0</v>
          </cell>
        </row>
        <row r="53">
          <cell r="B53">
            <v>0</v>
          </cell>
          <cell r="V53"/>
          <cell r="W53"/>
          <cell r="X53"/>
          <cell r="Y53"/>
          <cell r="Z53">
            <v>0</v>
          </cell>
          <cell r="AE53">
            <v>0</v>
          </cell>
        </row>
        <row r="54">
          <cell r="B54">
            <v>0</v>
          </cell>
          <cell r="V54"/>
          <cell r="W54"/>
          <cell r="X54"/>
          <cell r="Y54"/>
          <cell r="Z54">
            <v>0</v>
          </cell>
          <cell r="AE54">
            <v>0</v>
          </cell>
        </row>
        <row r="55">
          <cell r="B55">
            <v>0</v>
          </cell>
          <cell r="V55"/>
          <cell r="W55"/>
          <cell r="X55"/>
          <cell r="Y55"/>
          <cell r="Z55">
            <v>0</v>
          </cell>
          <cell r="AE55">
            <v>0</v>
          </cell>
        </row>
        <row r="56">
          <cell r="B56">
            <v>0</v>
          </cell>
          <cell r="V56"/>
          <cell r="W56"/>
          <cell r="X56"/>
          <cell r="Y56"/>
          <cell r="Z56">
            <v>0</v>
          </cell>
          <cell r="AE56">
            <v>0</v>
          </cell>
        </row>
        <row r="57">
          <cell r="B57">
            <v>0</v>
          </cell>
          <cell r="V57"/>
          <cell r="W57"/>
          <cell r="X57"/>
          <cell r="Y57"/>
          <cell r="Z57">
            <v>0</v>
          </cell>
          <cell r="AE57">
            <v>0</v>
          </cell>
        </row>
        <row r="58">
          <cell r="B58">
            <v>0</v>
          </cell>
          <cell r="V58"/>
          <cell r="W58"/>
          <cell r="X58"/>
          <cell r="Y58"/>
          <cell r="Z58">
            <v>0</v>
          </cell>
          <cell r="AE58">
            <v>0</v>
          </cell>
        </row>
        <row r="59">
          <cell r="B59">
            <v>0</v>
          </cell>
          <cell r="V59"/>
          <cell r="W59"/>
          <cell r="X59"/>
          <cell r="Y59"/>
          <cell r="Z59">
            <v>0</v>
          </cell>
          <cell r="AE59">
            <v>0</v>
          </cell>
        </row>
        <row r="60">
          <cell r="B60">
            <v>0</v>
          </cell>
          <cell r="V60"/>
          <cell r="W60"/>
          <cell r="X60"/>
          <cell r="Y60"/>
          <cell r="Z60">
            <v>0</v>
          </cell>
          <cell r="AE60">
            <v>0</v>
          </cell>
        </row>
        <row r="61">
          <cell r="B61">
            <v>0</v>
          </cell>
          <cell r="V61"/>
          <cell r="W61"/>
          <cell r="X61"/>
          <cell r="Y61"/>
          <cell r="Z61">
            <v>0</v>
          </cell>
          <cell r="AE61">
            <v>0</v>
          </cell>
        </row>
        <row r="62">
          <cell r="B62">
            <v>1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E62">
            <v>1</v>
          </cell>
        </row>
        <row r="63">
          <cell r="B63">
            <v>0</v>
          </cell>
          <cell r="V63"/>
          <cell r="W63"/>
          <cell r="X63"/>
          <cell r="Y63"/>
          <cell r="Z63">
            <v>0</v>
          </cell>
          <cell r="AE63">
            <v>0</v>
          </cell>
        </row>
        <row r="64">
          <cell r="B64">
            <v>0</v>
          </cell>
          <cell r="V64"/>
          <cell r="W64"/>
          <cell r="X64"/>
          <cell r="Y64"/>
          <cell r="Z64">
            <v>0</v>
          </cell>
          <cell r="AE64">
            <v>0</v>
          </cell>
        </row>
        <row r="65">
          <cell r="B65">
            <v>0</v>
          </cell>
          <cell r="V65"/>
          <cell r="W65"/>
          <cell r="X65"/>
          <cell r="Y65"/>
          <cell r="Z65">
            <v>0</v>
          </cell>
          <cell r="AE65">
            <v>0</v>
          </cell>
        </row>
        <row r="66">
          <cell r="B66">
            <v>0</v>
          </cell>
          <cell r="V66"/>
          <cell r="W66"/>
          <cell r="X66"/>
          <cell r="Y66"/>
          <cell r="Z66">
            <v>0</v>
          </cell>
          <cell r="AE66">
            <v>0</v>
          </cell>
        </row>
        <row r="67">
          <cell r="B67">
            <v>0</v>
          </cell>
          <cell r="V67"/>
          <cell r="W67"/>
          <cell r="X67"/>
          <cell r="Y67"/>
          <cell r="Z67">
            <v>0</v>
          </cell>
          <cell r="AE67">
            <v>0</v>
          </cell>
        </row>
        <row r="68">
          <cell r="B68">
            <v>0</v>
          </cell>
          <cell r="V68"/>
          <cell r="W68"/>
          <cell r="X68"/>
          <cell r="Y68"/>
          <cell r="Z68">
            <v>0</v>
          </cell>
          <cell r="AE68">
            <v>0</v>
          </cell>
        </row>
        <row r="69">
          <cell r="B69">
            <v>0</v>
          </cell>
          <cell r="V69"/>
          <cell r="W69"/>
          <cell r="X69"/>
          <cell r="Y69"/>
          <cell r="Z69">
            <v>0</v>
          </cell>
          <cell r="AE69">
            <v>0</v>
          </cell>
        </row>
        <row r="70">
          <cell r="B70">
            <v>0</v>
          </cell>
          <cell r="V70"/>
          <cell r="W70"/>
          <cell r="X70"/>
          <cell r="Y70"/>
          <cell r="Z70">
            <v>0</v>
          </cell>
          <cell r="AE70">
            <v>0</v>
          </cell>
        </row>
        <row r="71">
          <cell r="B71">
            <v>0</v>
          </cell>
          <cell r="V71"/>
          <cell r="W71"/>
          <cell r="X71"/>
          <cell r="Y71"/>
          <cell r="Z71">
            <v>0</v>
          </cell>
          <cell r="AE71">
            <v>0</v>
          </cell>
        </row>
        <row r="72">
          <cell r="B72">
            <v>0</v>
          </cell>
          <cell r="V72"/>
          <cell r="W72"/>
          <cell r="X72"/>
          <cell r="Y72"/>
          <cell r="Z72">
            <v>0</v>
          </cell>
          <cell r="AE72">
            <v>0</v>
          </cell>
        </row>
        <row r="73">
          <cell r="B73">
            <v>0</v>
          </cell>
          <cell r="V73"/>
          <cell r="W73"/>
          <cell r="X73"/>
          <cell r="Y73"/>
          <cell r="Z73">
            <v>0</v>
          </cell>
          <cell r="AE73">
            <v>0</v>
          </cell>
        </row>
        <row r="74">
          <cell r="B74">
            <v>0</v>
          </cell>
          <cell r="W74"/>
          <cell r="X74"/>
          <cell r="Y74"/>
          <cell r="Z74">
            <v>0</v>
          </cell>
          <cell r="AB74"/>
          <cell r="AE74">
            <v>0</v>
          </cell>
        </row>
        <row r="75">
          <cell r="B75">
            <v>0</v>
          </cell>
          <cell r="V75"/>
          <cell r="W75"/>
          <cell r="X75"/>
          <cell r="Y75"/>
          <cell r="Z75">
            <v>0</v>
          </cell>
          <cell r="AE75">
            <v>0</v>
          </cell>
        </row>
        <row r="76">
          <cell r="B76">
            <v>0</v>
          </cell>
          <cell r="V76"/>
          <cell r="W76"/>
          <cell r="X76"/>
          <cell r="Y76"/>
          <cell r="Z76">
            <v>0</v>
          </cell>
          <cell r="AE76">
            <v>0</v>
          </cell>
        </row>
        <row r="77">
          <cell r="B77">
            <v>0</v>
          </cell>
          <cell r="V77"/>
          <cell r="W77"/>
          <cell r="X77"/>
          <cell r="Y77"/>
          <cell r="Z77">
            <v>0</v>
          </cell>
          <cell r="AE77">
            <v>0</v>
          </cell>
        </row>
        <row r="78">
          <cell r="B78">
            <v>0</v>
          </cell>
          <cell r="V78"/>
          <cell r="W78"/>
          <cell r="X78"/>
          <cell r="Y78"/>
          <cell r="Z78">
            <v>0</v>
          </cell>
          <cell r="AE78">
            <v>0</v>
          </cell>
        </row>
        <row r="79">
          <cell r="B79">
            <v>0</v>
          </cell>
          <cell r="V79"/>
          <cell r="W79"/>
          <cell r="X79"/>
          <cell r="Y79"/>
          <cell r="Z79">
            <v>0</v>
          </cell>
          <cell r="AE79">
            <v>0</v>
          </cell>
        </row>
        <row r="80">
          <cell r="B80">
            <v>0</v>
          </cell>
          <cell r="V80"/>
          <cell r="W80"/>
          <cell r="X80"/>
          <cell r="Y80"/>
          <cell r="Z80">
            <v>0</v>
          </cell>
          <cell r="AE80">
            <v>0</v>
          </cell>
        </row>
        <row r="81">
          <cell r="B81">
            <v>0</v>
          </cell>
          <cell r="V81"/>
          <cell r="W81"/>
          <cell r="X81"/>
          <cell r="Y81"/>
          <cell r="Z81">
            <v>0</v>
          </cell>
          <cell r="AE81">
            <v>0</v>
          </cell>
        </row>
        <row r="82">
          <cell r="B82">
            <v>0</v>
          </cell>
          <cell r="V82"/>
          <cell r="W82"/>
          <cell r="X82"/>
          <cell r="Y82"/>
          <cell r="Z82">
            <v>0</v>
          </cell>
          <cell r="AE82">
            <v>0</v>
          </cell>
        </row>
        <row r="83">
          <cell r="B83">
            <v>0</v>
          </cell>
          <cell r="V83"/>
          <cell r="W83"/>
          <cell r="X83"/>
          <cell r="Y83"/>
          <cell r="Z83">
            <v>0</v>
          </cell>
          <cell r="AE83">
            <v>0</v>
          </cell>
        </row>
        <row r="84">
          <cell r="B84">
            <v>0</v>
          </cell>
          <cell r="V84"/>
          <cell r="W84"/>
          <cell r="X84"/>
          <cell r="Y84"/>
          <cell r="Z84">
            <v>0</v>
          </cell>
          <cell r="AE84">
            <v>0</v>
          </cell>
        </row>
        <row r="85">
          <cell r="B85">
            <v>0</v>
          </cell>
          <cell r="V85"/>
          <cell r="W85"/>
          <cell r="X85"/>
          <cell r="Y85"/>
          <cell r="Z85">
            <v>0</v>
          </cell>
          <cell r="AE85">
            <v>0</v>
          </cell>
        </row>
        <row r="86">
          <cell r="B86">
            <v>0</v>
          </cell>
          <cell r="V86"/>
          <cell r="W86"/>
          <cell r="X86"/>
          <cell r="Y86"/>
          <cell r="Z86">
            <v>0</v>
          </cell>
          <cell r="AE86">
            <v>0</v>
          </cell>
        </row>
        <row r="87">
          <cell r="B87">
            <v>0</v>
          </cell>
          <cell r="V87"/>
          <cell r="W87"/>
          <cell r="X87"/>
          <cell r="Y87"/>
          <cell r="Z87">
            <v>0</v>
          </cell>
          <cell r="AE87">
            <v>0</v>
          </cell>
        </row>
        <row r="88">
          <cell r="B88">
            <v>0</v>
          </cell>
          <cell r="V88"/>
          <cell r="W88"/>
          <cell r="X88"/>
          <cell r="Y88"/>
          <cell r="Z88">
            <v>0</v>
          </cell>
          <cell r="AE88">
            <v>0</v>
          </cell>
        </row>
        <row r="89">
          <cell r="B89">
            <v>0</v>
          </cell>
          <cell r="V89"/>
          <cell r="W89"/>
          <cell r="X89"/>
          <cell r="Y89"/>
          <cell r="Z89">
            <v>0</v>
          </cell>
          <cell r="AE89">
            <v>0</v>
          </cell>
        </row>
      </sheetData>
      <sheetData sheetId="26"/>
      <sheetData sheetId="27"/>
      <sheetData sheetId="28"/>
      <sheetData sheetId="2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BRE"/>
      <sheetName val="A01"/>
      <sheetName val="A02"/>
      <sheetName val="A03"/>
      <sheetName val="A04"/>
      <sheetName val="A05"/>
      <sheetName val="A06"/>
      <sheetName val="A07"/>
      <sheetName val="A08"/>
      <sheetName val="A09"/>
      <sheetName val="A11"/>
      <sheetName val="A11a"/>
      <sheetName val="A19a"/>
      <sheetName val="A19b"/>
      <sheetName val="A21"/>
      <sheetName val="A23"/>
      <sheetName val="A24"/>
      <sheetName val="A25"/>
      <sheetName val="A26"/>
      <sheetName val="A27"/>
      <sheetName val="A28"/>
      <sheetName val="A29"/>
      <sheetName val="A30"/>
      <sheetName val="A30AR"/>
      <sheetName val="A31"/>
      <sheetName val="A32"/>
      <sheetName val="A33"/>
      <sheetName val="A34"/>
      <sheetName val="Control"/>
      <sheetName val="MAC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2">
          <cell r="B12">
            <v>342</v>
          </cell>
          <cell r="X12">
            <v>62</v>
          </cell>
          <cell r="AB12">
            <v>0</v>
          </cell>
        </row>
        <row r="13">
          <cell r="B13">
            <v>587</v>
          </cell>
          <cell r="X13">
            <v>2</v>
          </cell>
          <cell r="AB13">
            <v>134</v>
          </cell>
        </row>
        <row r="14">
          <cell r="B14">
            <v>0</v>
          </cell>
          <cell r="X14">
            <v>0</v>
          </cell>
          <cell r="AB14">
            <v>0</v>
          </cell>
        </row>
        <row r="15">
          <cell r="B15">
            <v>0</v>
          </cell>
          <cell r="X15">
            <v>0</v>
          </cell>
          <cell r="AB15">
            <v>0</v>
          </cell>
        </row>
        <row r="16">
          <cell r="B16">
            <v>0</v>
          </cell>
          <cell r="X16">
            <v>0</v>
          </cell>
          <cell r="AB16">
            <v>0</v>
          </cell>
        </row>
        <row r="17">
          <cell r="B17">
            <v>68</v>
          </cell>
          <cell r="X17">
            <v>1</v>
          </cell>
          <cell r="AB17">
            <v>40</v>
          </cell>
        </row>
        <row r="18">
          <cell r="B18">
            <v>207</v>
          </cell>
          <cell r="X18">
            <v>1</v>
          </cell>
          <cell r="AB18">
            <v>42</v>
          </cell>
        </row>
        <row r="19">
          <cell r="B19">
            <v>76</v>
          </cell>
          <cell r="X19">
            <v>11</v>
          </cell>
          <cell r="AB19">
            <v>0</v>
          </cell>
        </row>
        <row r="20">
          <cell r="B20">
            <v>0</v>
          </cell>
          <cell r="X20">
            <v>0</v>
          </cell>
          <cell r="AB20">
            <v>0</v>
          </cell>
        </row>
        <row r="21">
          <cell r="B21">
            <v>0</v>
          </cell>
          <cell r="X21">
            <v>0</v>
          </cell>
          <cell r="AB21">
            <v>0</v>
          </cell>
        </row>
        <row r="22">
          <cell r="B22">
            <v>40</v>
          </cell>
          <cell r="X22">
            <v>0</v>
          </cell>
          <cell r="AB22">
            <v>24</v>
          </cell>
        </row>
        <row r="23">
          <cell r="B23">
            <v>0</v>
          </cell>
          <cell r="X23">
            <v>0</v>
          </cell>
          <cell r="AB23">
            <v>0</v>
          </cell>
        </row>
        <row r="24">
          <cell r="B24">
            <v>0</v>
          </cell>
          <cell r="X24">
            <v>0</v>
          </cell>
          <cell r="AB24">
            <v>0</v>
          </cell>
        </row>
        <row r="25">
          <cell r="B25">
            <v>0</v>
          </cell>
          <cell r="X25">
            <v>0</v>
          </cell>
          <cell r="AB25">
            <v>0</v>
          </cell>
        </row>
        <row r="26">
          <cell r="B26">
            <v>0</v>
          </cell>
          <cell r="X26">
            <v>0</v>
          </cell>
          <cell r="AB26">
            <v>0</v>
          </cell>
        </row>
        <row r="27">
          <cell r="B27">
            <v>21</v>
          </cell>
          <cell r="X27">
            <v>0</v>
          </cell>
          <cell r="AB27">
            <v>0</v>
          </cell>
        </row>
        <row r="28">
          <cell r="B28">
            <v>0</v>
          </cell>
          <cell r="X28">
            <v>0</v>
          </cell>
          <cell r="AB28">
            <v>0</v>
          </cell>
        </row>
        <row r="29">
          <cell r="B29">
            <v>0</v>
          </cell>
          <cell r="X29">
            <v>0</v>
          </cell>
          <cell r="AB29">
            <v>0</v>
          </cell>
        </row>
        <row r="30">
          <cell r="B30">
            <v>0</v>
          </cell>
          <cell r="X30">
            <v>0</v>
          </cell>
          <cell r="AB30">
            <v>0</v>
          </cell>
        </row>
        <row r="31">
          <cell r="B31">
            <v>0</v>
          </cell>
          <cell r="X31">
            <v>0</v>
          </cell>
          <cell r="AB31">
            <v>0</v>
          </cell>
        </row>
        <row r="32">
          <cell r="B32">
            <v>116</v>
          </cell>
          <cell r="X32">
            <v>14</v>
          </cell>
          <cell r="AB32">
            <v>39</v>
          </cell>
        </row>
        <row r="33">
          <cell r="B33">
            <v>0</v>
          </cell>
          <cell r="X33">
            <v>0</v>
          </cell>
          <cell r="AB33">
            <v>0</v>
          </cell>
        </row>
        <row r="34">
          <cell r="B34">
            <v>129</v>
          </cell>
          <cell r="X34">
            <v>17</v>
          </cell>
          <cell r="AB34">
            <v>11</v>
          </cell>
        </row>
        <row r="35">
          <cell r="B35">
            <v>0</v>
          </cell>
          <cell r="X35">
            <v>0</v>
          </cell>
          <cell r="AB35">
            <v>0</v>
          </cell>
        </row>
        <row r="36">
          <cell r="B36">
            <v>0</v>
          </cell>
          <cell r="X36">
            <v>0</v>
          </cell>
          <cell r="AB36">
            <v>0</v>
          </cell>
        </row>
        <row r="37">
          <cell r="B37">
            <v>0</v>
          </cell>
          <cell r="X37">
            <v>0</v>
          </cell>
          <cell r="AB37">
            <v>0</v>
          </cell>
        </row>
        <row r="38">
          <cell r="B38">
            <v>103</v>
          </cell>
          <cell r="X38">
            <v>22</v>
          </cell>
          <cell r="AB38">
            <v>0</v>
          </cell>
        </row>
        <row r="39">
          <cell r="B39">
            <v>189</v>
          </cell>
          <cell r="X39">
            <v>1</v>
          </cell>
          <cell r="AB39">
            <v>49</v>
          </cell>
        </row>
        <row r="40">
          <cell r="B40">
            <v>0</v>
          </cell>
          <cell r="X40">
            <v>0</v>
          </cell>
          <cell r="AB40">
            <v>0</v>
          </cell>
        </row>
        <row r="41">
          <cell r="B41">
            <v>317</v>
          </cell>
          <cell r="X41">
            <v>6</v>
          </cell>
          <cell r="AB41">
            <v>0</v>
          </cell>
        </row>
        <row r="42">
          <cell r="B42">
            <v>506</v>
          </cell>
          <cell r="X42">
            <v>2</v>
          </cell>
          <cell r="AB42">
            <v>13</v>
          </cell>
        </row>
        <row r="43">
          <cell r="B43">
            <v>207</v>
          </cell>
          <cell r="X43">
            <v>59</v>
          </cell>
          <cell r="AB43">
            <v>0</v>
          </cell>
        </row>
        <row r="44">
          <cell r="B44">
            <v>317</v>
          </cell>
          <cell r="X44">
            <v>0</v>
          </cell>
          <cell r="AB44">
            <v>116</v>
          </cell>
        </row>
        <row r="45">
          <cell r="B45">
            <v>22</v>
          </cell>
          <cell r="X45">
            <v>0</v>
          </cell>
          <cell r="AB45">
            <v>8</v>
          </cell>
        </row>
        <row r="46">
          <cell r="B46">
            <v>0</v>
          </cell>
          <cell r="X46">
            <v>0</v>
          </cell>
          <cell r="AB46">
            <v>0</v>
          </cell>
        </row>
        <row r="47">
          <cell r="B47">
            <v>0</v>
          </cell>
          <cell r="X47">
            <v>0</v>
          </cell>
          <cell r="AB47">
            <v>0</v>
          </cell>
        </row>
        <row r="48">
          <cell r="B48">
            <v>0</v>
          </cell>
          <cell r="X48">
            <v>0</v>
          </cell>
          <cell r="AB48">
            <v>0</v>
          </cell>
        </row>
        <row r="49">
          <cell r="B49">
            <v>32</v>
          </cell>
          <cell r="X49">
            <v>0</v>
          </cell>
          <cell r="AB49">
            <v>13</v>
          </cell>
        </row>
        <row r="50">
          <cell r="B50">
            <v>0</v>
          </cell>
          <cell r="X50">
            <v>0</v>
          </cell>
          <cell r="AB50">
            <v>0</v>
          </cell>
        </row>
        <row r="51">
          <cell r="B51">
            <v>0</v>
          </cell>
          <cell r="X51">
            <v>0</v>
          </cell>
          <cell r="AB51">
            <v>0</v>
          </cell>
        </row>
        <row r="52">
          <cell r="B52">
            <v>0</v>
          </cell>
          <cell r="X52">
            <v>0</v>
          </cell>
          <cell r="AB52">
            <v>0</v>
          </cell>
        </row>
        <row r="53">
          <cell r="B53">
            <v>0</v>
          </cell>
          <cell r="X53">
            <v>0</v>
          </cell>
          <cell r="AB53">
            <v>0</v>
          </cell>
        </row>
        <row r="54">
          <cell r="B54">
            <v>46</v>
          </cell>
          <cell r="X54">
            <v>7</v>
          </cell>
          <cell r="AB54">
            <v>23</v>
          </cell>
        </row>
        <row r="55">
          <cell r="B55">
            <v>634</v>
          </cell>
          <cell r="X55">
            <v>1</v>
          </cell>
          <cell r="AB55">
            <v>210</v>
          </cell>
        </row>
        <row r="56">
          <cell r="B56">
            <v>0</v>
          </cell>
          <cell r="X56">
            <v>0</v>
          </cell>
          <cell r="AB56">
            <v>0</v>
          </cell>
        </row>
        <row r="57">
          <cell r="B57">
            <v>0</v>
          </cell>
          <cell r="X57">
            <v>0</v>
          </cell>
          <cell r="AB57">
            <v>0</v>
          </cell>
        </row>
        <row r="58">
          <cell r="B58">
            <v>673</v>
          </cell>
          <cell r="X58">
            <v>18</v>
          </cell>
          <cell r="AB58">
            <v>226</v>
          </cell>
        </row>
        <row r="59">
          <cell r="B59">
            <v>142</v>
          </cell>
          <cell r="X59">
            <v>20</v>
          </cell>
          <cell r="AB59">
            <v>37</v>
          </cell>
        </row>
        <row r="60">
          <cell r="B60">
            <v>644</v>
          </cell>
          <cell r="X60">
            <v>65</v>
          </cell>
          <cell r="AB60">
            <v>53</v>
          </cell>
        </row>
        <row r="61">
          <cell r="B61">
            <v>297</v>
          </cell>
          <cell r="X61">
            <v>2</v>
          </cell>
          <cell r="AB61">
            <v>26</v>
          </cell>
        </row>
        <row r="62">
          <cell r="B62">
            <v>59</v>
          </cell>
          <cell r="X62">
            <v>0</v>
          </cell>
          <cell r="AB62">
            <v>0</v>
          </cell>
        </row>
        <row r="63">
          <cell r="B63">
            <v>0</v>
          </cell>
          <cell r="X63">
            <v>0</v>
          </cell>
          <cell r="AB63">
            <v>0</v>
          </cell>
        </row>
        <row r="64">
          <cell r="B64">
            <v>0</v>
          </cell>
          <cell r="X64">
            <v>0</v>
          </cell>
          <cell r="AB64">
            <v>0</v>
          </cell>
        </row>
        <row r="65">
          <cell r="B65">
            <v>0</v>
          </cell>
          <cell r="X65">
            <v>0</v>
          </cell>
          <cell r="AB65">
            <v>0</v>
          </cell>
        </row>
        <row r="66">
          <cell r="B66">
            <v>0</v>
          </cell>
          <cell r="X66">
            <v>0</v>
          </cell>
          <cell r="AB66">
            <v>0</v>
          </cell>
        </row>
        <row r="71">
          <cell r="S71">
            <v>40</v>
          </cell>
          <cell r="T71">
            <v>0</v>
          </cell>
          <cell r="U71">
            <v>9</v>
          </cell>
          <cell r="V71">
            <v>38</v>
          </cell>
        </row>
        <row r="72">
          <cell r="S72">
            <v>0</v>
          </cell>
          <cell r="T72">
            <v>58</v>
          </cell>
          <cell r="U72">
            <v>15</v>
          </cell>
          <cell r="V72">
            <v>45</v>
          </cell>
        </row>
        <row r="73"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4">
          <cell r="S74">
            <v>0</v>
          </cell>
          <cell r="T74">
            <v>0</v>
          </cell>
          <cell r="U74">
            <v>0</v>
          </cell>
          <cell r="V74">
            <v>0</v>
          </cell>
        </row>
        <row r="75"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S76">
            <v>1</v>
          </cell>
          <cell r="T76">
            <v>10</v>
          </cell>
          <cell r="U76">
            <v>5</v>
          </cell>
          <cell r="V76">
            <v>1</v>
          </cell>
        </row>
        <row r="77">
          <cell r="S77">
            <v>0</v>
          </cell>
          <cell r="T77">
            <v>12</v>
          </cell>
          <cell r="U77">
            <v>2</v>
          </cell>
          <cell r="V77">
            <v>9</v>
          </cell>
        </row>
        <row r="78">
          <cell r="S78">
            <v>3</v>
          </cell>
          <cell r="T78">
            <v>0</v>
          </cell>
          <cell r="U78">
            <v>1</v>
          </cell>
          <cell r="V78">
            <v>3</v>
          </cell>
        </row>
        <row r="79"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S80">
            <v>0</v>
          </cell>
          <cell r="T80">
            <v>0</v>
          </cell>
          <cell r="U80">
            <v>0</v>
          </cell>
          <cell r="V80">
            <v>0</v>
          </cell>
        </row>
        <row r="81">
          <cell r="S81">
            <v>0</v>
          </cell>
          <cell r="T81">
            <v>4</v>
          </cell>
          <cell r="U81">
            <v>0</v>
          </cell>
          <cell r="V81">
            <v>1</v>
          </cell>
        </row>
        <row r="82"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S84">
            <v>0</v>
          </cell>
          <cell r="T84">
            <v>0</v>
          </cell>
          <cell r="U84">
            <v>0</v>
          </cell>
          <cell r="V84">
            <v>0</v>
          </cell>
        </row>
        <row r="85">
          <cell r="S85">
            <v>0</v>
          </cell>
          <cell r="T85">
            <v>0</v>
          </cell>
          <cell r="U85">
            <v>0</v>
          </cell>
          <cell r="V85">
            <v>0</v>
          </cell>
        </row>
        <row r="86">
          <cell r="S86">
            <v>0</v>
          </cell>
          <cell r="T86">
            <v>1</v>
          </cell>
          <cell r="U86">
            <v>0</v>
          </cell>
          <cell r="V86">
            <v>0</v>
          </cell>
        </row>
        <row r="87">
          <cell r="S87">
            <v>0</v>
          </cell>
          <cell r="T87">
            <v>0</v>
          </cell>
          <cell r="U87">
            <v>0</v>
          </cell>
          <cell r="V87">
            <v>0</v>
          </cell>
        </row>
        <row r="88">
          <cell r="S88">
            <v>0</v>
          </cell>
          <cell r="T88">
            <v>0</v>
          </cell>
          <cell r="U88">
            <v>0</v>
          </cell>
          <cell r="V88">
            <v>0</v>
          </cell>
        </row>
        <row r="89">
          <cell r="S89">
            <v>0</v>
          </cell>
          <cell r="T89">
            <v>0</v>
          </cell>
          <cell r="U89">
            <v>0</v>
          </cell>
          <cell r="V89">
            <v>0</v>
          </cell>
        </row>
        <row r="90">
          <cell r="S90">
            <v>0</v>
          </cell>
          <cell r="T90">
            <v>0</v>
          </cell>
          <cell r="U90">
            <v>0</v>
          </cell>
          <cell r="V90">
            <v>0</v>
          </cell>
        </row>
        <row r="91">
          <cell r="S91">
            <v>8</v>
          </cell>
          <cell r="T91">
            <v>29</v>
          </cell>
          <cell r="U91">
            <v>8</v>
          </cell>
          <cell r="V91">
            <v>11</v>
          </cell>
        </row>
        <row r="92">
          <cell r="S92">
            <v>0</v>
          </cell>
          <cell r="T92">
            <v>0</v>
          </cell>
          <cell r="U92">
            <v>0</v>
          </cell>
          <cell r="V92">
            <v>0</v>
          </cell>
        </row>
        <row r="93">
          <cell r="S93">
            <v>4</v>
          </cell>
          <cell r="T93">
            <v>3</v>
          </cell>
          <cell r="U93">
            <v>4</v>
          </cell>
          <cell r="V93">
            <v>11</v>
          </cell>
        </row>
        <row r="94">
          <cell r="S94">
            <v>0</v>
          </cell>
          <cell r="T94">
            <v>0</v>
          </cell>
          <cell r="U94">
            <v>0</v>
          </cell>
          <cell r="V94">
            <v>0</v>
          </cell>
        </row>
        <row r="95"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S97">
            <v>2</v>
          </cell>
          <cell r="T97">
            <v>0</v>
          </cell>
          <cell r="U97">
            <v>1</v>
          </cell>
          <cell r="V97">
            <v>6</v>
          </cell>
        </row>
        <row r="98">
          <cell r="S98">
            <v>1</v>
          </cell>
          <cell r="T98">
            <v>28</v>
          </cell>
          <cell r="U98">
            <v>0</v>
          </cell>
          <cell r="V98">
            <v>12</v>
          </cell>
        </row>
        <row r="99">
          <cell r="S99">
            <v>0</v>
          </cell>
          <cell r="T99">
            <v>0</v>
          </cell>
          <cell r="U99">
            <v>0</v>
          </cell>
          <cell r="V99">
            <v>0</v>
          </cell>
        </row>
        <row r="100">
          <cell r="S100">
            <v>8</v>
          </cell>
          <cell r="T100">
            <v>6</v>
          </cell>
          <cell r="U100">
            <v>2</v>
          </cell>
          <cell r="V100">
            <v>33</v>
          </cell>
        </row>
        <row r="101">
          <cell r="S101">
            <v>0</v>
          </cell>
          <cell r="T101">
            <v>10</v>
          </cell>
          <cell r="U101">
            <v>2</v>
          </cell>
          <cell r="V101">
            <v>73</v>
          </cell>
        </row>
        <row r="102">
          <cell r="S102">
            <v>67</v>
          </cell>
          <cell r="T102">
            <v>0</v>
          </cell>
          <cell r="U102">
            <v>3</v>
          </cell>
          <cell r="V102">
            <v>34</v>
          </cell>
        </row>
        <row r="103">
          <cell r="S103">
            <v>4</v>
          </cell>
          <cell r="T103">
            <v>58</v>
          </cell>
          <cell r="U103">
            <v>10</v>
          </cell>
          <cell r="V103">
            <v>26</v>
          </cell>
        </row>
        <row r="104">
          <cell r="S104">
            <v>0</v>
          </cell>
          <cell r="T104">
            <v>6</v>
          </cell>
          <cell r="U104">
            <v>1</v>
          </cell>
          <cell r="V104">
            <v>0</v>
          </cell>
        </row>
        <row r="105">
          <cell r="S105">
            <v>0</v>
          </cell>
          <cell r="T105">
            <v>0</v>
          </cell>
          <cell r="U105">
            <v>0</v>
          </cell>
          <cell r="V105">
            <v>0</v>
          </cell>
        </row>
        <row r="106">
          <cell r="S106">
            <v>0</v>
          </cell>
          <cell r="T106">
            <v>0</v>
          </cell>
          <cell r="U106">
            <v>0</v>
          </cell>
          <cell r="V106">
            <v>0</v>
          </cell>
        </row>
        <row r="107"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08">
          <cell r="S108">
            <v>0</v>
          </cell>
          <cell r="T108">
            <v>0</v>
          </cell>
          <cell r="U108">
            <v>1</v>
          </cell>
          <cell r="V108">
            <v>0</v>
          </cell>
        </row>
        <row r="109">
          <cell r="S109">
            <v>0</v>
          </cell>
          <cell r="T109">
            <v>0</v>
          </cell>
          <cell r="U109">
            <v>0</v>
          </cell>
          <cell r="V109">
            <v>0</v>
          </cell>
        </row>
        <row r="110">
          <cell r="S110">
            <v>0</v>
          </cell>
          <cell r="T110">
            <v>0</v>
          </cell>
          <cell r="V110">
            <v>0</v>
          </cell>
          <cell r="AD110">
            <v>0</v>
          </cell>
        </row>
        <row r="111">
          <cell r="S111">
            <v>0</v>
          </cell>
          <cell r="T111">
            <v>0</v>
          </cell>
          <cell r="U111">
            <v>0</v>
          </cell>
          <cell r="V111">
            <v>0</v>
          </cell>
        </row>
        <row r="112">
          <cell r="S112">
            <v>0</v>
          </cell>
          <cell r="T112">
            <v>0</v>
          </cell>
          <cell r="U112">
            <v>0</v>
          </cell>
          <cell r="V112">
            <v>0</v>
          </cell>
        </row>
        <row r="113">
          <cell r="S113">
            <v>6</v>
          </cell>
          <cell r="T113">
            <v>33</v>
          </cell>
          <cell r="U113">
            <v>1</v>
          </cell>
          <cell r="V113">
            <v>1</v>
          </cell>
        </row>
        <row r="114">
          <cell r="S114">
            <v>0</v>
          </cell>
          <cell r="T114">
            <v>75</v>
          </cell>
          <cell r="U114">
            <v>29</v>
          </cell>
          <cell r="V114">
            <v>54</v>
          </cell>
        </row>
        <row r="115">
          <cell r="S115">
            <v>0</v>
          </cell>
          <cell r="T115">
            <v>0</v>
          </cell>
          <cell r="U115">
            <v>0</v>
          </cell>
          <cell r="V115">
            <v>0</v>
          </cell>
        </row>
        <row r="116">
          <cell r="S116">
            <v>0</v>
          </cell>
          <cell r="T116">
            <v>0</v>
          </cell>
          <cell r="U116">
            <v>0</v>
          </cell>
          <cell r="V116">
            <v>0</v>
          </cell>
        </row>
        <row r="117">
          <cell r="S117">
            <v>4</v>
          </cell>
          <cell r="T117">
            <v>95</v>
          </cell>
          <cell r="U117">
            <v>21</v>
          </cell>
          <cell r="V117">
            <v>17</v>
          </cell>
        </row>
        <row r="118">
          <cell r="S118">
            <v>12</v>
          </cell>
          <cell r="T118">
            <v>26</v>
          </cell>
          <cell r="U118">
            <v>10</v>
          </cell>
          <cell r="V118">
            <v>5</v>
          </cell>
        </row>
        <row r="119">
          <cell r="S119">
            <v>50</v>
          </cell>
          <cell r="T119">
            <v>49</v>
          </cell>
          <cell r="U119">
            <v>10</v>
          </cell>
          <cell r="V119">
            <v>48</v>
          </cell>
        </row>
        <row r="120">
          <cell r="S120">
            <v>1</v>
          </cell>
          <cell r="T120">
            <v>12</v>
          </cell>
          <cell r="U120">
            <v>5</v>
          </cell>
          <cell r="V120">
            <v>13</v>
          </cell>
        </row>
        <row r="121">
          <cell r="S121">
            <v>0</v>
          </cell>
          <cell r="T121">
            <v>0</v>
          </cell>
          <cell r="U121">
            <v>0</v>
          </cell>
          <cell r="V121">
            <v>15</v>
          </cell>
        </row>
        <row r="122">
          <cell r="S122">
            <v>0</v>
          </cell>
          <cell r="T122">
            <v>0</v>
          </cell>
          <cell r="U122">
            <v>0</v>
          </cell>
          <cell r="V122">
            <v>0</v>
          </cell>
        </row>
        <row r="123">
          <cell r="S123">
            <v>0</v>
          </cell>
          <cell r="T123">
            <v>0</v>
          </cell>
          <cell r="U123">
            <v>0</v>
          </cell>
          <cell r="V123">
            <v>0</v>
          </cell>
        </row>
        <row r="124">
          <cell r="S124">
            <v>0</v>
          </cell>
          <cell r="T124">
            <v>0</v>
          </cell>
          <cell r="U124">
            <v>0</v>
          </cell>
          <cell r="V124">
            <v>0</v>
          </cell>
        </row>
        <row r="125">
          <cell r="S125">
            <v>0</v>
          </cell>
          <cell r="T125">
            <v>0</v>
          </cell>
          <cell r="U125">
            <v>0</v>
          </cell>
          <cell r="V125">
            <v>0</v>
          </cell>
        </row>
      </sheetData>
      <sheetData sheetId="8">
        <row r="12">
          <cell r="B12">
            <v>2950</v>
          </cell>
          <cell r="AS12">
            <v>3707</v>
          </cell>
        </row>
        <row r="62">
          <cell r="B62">
            <v>345</v>
          </cell>
        </row>
        <row r="107">
          <cell r="C107">
            <v>134</v>
          </cell>
        </row>
        <row r="108">
          <cell r="C108">
            <v>75</v>
          </cell>
        </row>
        <row r="109">
          <cell r="C109">
            <v>70</v>
          </cell>
        </row>
        <row r="112">
          <cell r="C112">
            <v>59</v>
          </cell>
        </row>
      </sheetData>
      <sheetData sheetId="9"/>
      <sheetData sheetId="10"/>
      <sheetData sheetId="11"/>
      <sheetData sheetId="12"/>
      <sheetData sheetId="13"/>
      <sheetData sheetId="14">
        <row r="32">
          <cell r="C32">
            <v>51</v>
          </cell>
        </row>
        <row r="33">
          <cell r="C33">
            <v>433</v>
          </cell>
        </row>
        <row r="102">
          <cell r="F102">
            <v>38</v>
          </cell>
          <cell r="G102">
            <v>293</v>
          </cell>
          <cell r="H102">
            <v>6</v>
          </cell>
          <cell r="I102">
            <v>22</v>
          </cell>
        </row>
      </sheetData>
      <sheetData sheetId="15"/>
      <sheetData sheetId="16">
        <row r="13">
          <cell r="C13">
            <v>54</v>
          </cell>
        </row>
        <row r="14">
          <cell r="C14">
            <v>0</v>
          </cell>
        </row>
        <row r="15">
          <cell r="C15">
            <v>19</v>
          </cell>
        </row>
        <row r="16">
          <cell r="C16">
            <v>20</v>
          </cell>
        </row>
      </sheetData>
      <sheetData sheetId="17"/>
      <sheetData sheetId="18"/>
      <sheetData sheetId="19"/>
      <sheetData sheetId="20"/>
      <sheetData sheetId="21"/>
      <sheetData sheetId="22">
        <row r="13">
          <cell r="B13"/>
          <cell r="C13"/>
          <cell r="D13"/>
          <cell r="E13"/>
          <cell r="F13"/>
          <cell r="G13"/>
          <cell r="H13"/>
          <cell r="I13"/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B14"/>
          <cell r="C14"/>
          <cell r="D14"/>
          <cell r="E14"/>
          <cell r="F14"/>
          <cell r="G14"/>
          <cell r="H14">
            <v>0</v>
          </cell>
          <cell r="I14">
            <v>1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2</v>
          </cell>
          <cell r="Y14">
            <v>2</v>
          </cell>
        </row>
        <row r="15">
          <cell r="B15"/>
          <cell r="C15"/>
          <cell r="D15"/>
          <cell r="E15"/>
          <cell r="F15"/>
          <cell r="G15"/>
          <cell r="H15"/>
          <cell r="I15"/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  <row r="16">
          <cell r="B16"/>
          <cell r="C16"/>
          <cell r="D16"/>
          <cell r="E16"/>
          <cell r="F16"/>
          <cell r="G16"/>
          <cell r="H16"/>
          <cell r="I16"/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B17"/>
          <cell r="C17"/>
          <cell r="D17"/>
          <cell r="E17"/>
          <cell r="F17"/>
          <cell r="G17"/>
          <cell r="H17"/>
          <cell r="I17"/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B18"/>
          <cell r="C18"/>
          <cell r="D18"/>
          <cell r="E18"/>
          <cell r="F18"/>
          <cell r="G18"/>
          <cell r="H18"/>
          <cell r="I18"/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B19"/>
          <cell r="C19"/>
          <cell r="D19"/>
          <cell r="E19"/>
          <cell r="F19"/>
          <cell r="G19"/>
          <cell r="H19"/>
          <cell r="I19"/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6</v>
          </cell>
        </row>
        <row r="20">
          <cell r="B20"/>
          <cell r="C20"/>
          <cell r="D20"/>
          <cell r="E20"/>
          <cell r="F20"/>
          <cell r="G20"/>
          <cell r="H20"/>
          <cell r="I20"/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B21"/>
          <cell r="C21"/>
          <cell r="D21"/>
          <cell r="E21"/>
          <cell r="F21"/>
          <cell r="G21"/>
          <cell r="H21"/>
          <cell r="I21"/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B22"/>
          <cell r="C22"/>
          <cell r="D22"/>
          <cell r="E22"/>
          <cell r="F22"/>
          <cell r="G22"/>
          <cell r="H22"/>
          <cell r="I22"/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B23"/>
          <cell r="C23"/>
          <cell r="D23"/>
          <cell r="E23"/>
          <cell r="F23"/>
          <cell r="G23"/>
          <cell r="H23"/>
          <cell r="I23"/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B24"/>
          <cell r="C24"/>
          <cell r="D24"/>
          <cell r="E24"/>
          <cell r="F24"/>
          <cell r="G24"/>
          <cell r="H24"/>
          <cell r="I24"/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B25"/>
          <cell r="C25"/>
          <cell r="D25"/>
          <cell r="E25"/>
          <cell r="F25"/>
          <cell r="G25"/>
          <cell r="H25"/>
          <cell r="I25"/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B26"/>
          <cell r="C26"/>
          <cell r="D26"/>
          <cell r="E26"/>
          <cell r="F26"/>
          <cell r="G26"/>
          <cell r="H26"/>
          <cell r="I26"/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B27"/>
          <cell r="C27"/>
          <cell r="D27"/>
          <cell r="E27"/>
          <cell r="F27"/>
          <cell r="G27"/>
          <cell r="H27"/>
          <cell r="I27"/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B28"/>
          <cell r="C28"/>
          <cell r="D28"/>
          <cell r="E28"/>
          <cell r="F28"/>
          <cell r="G28"/>
          <cell r="H28"/>
          <cell r="I28"/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B29"/>
          <cell r="C29"/>
          <cell r="D29"/>
          <cell r="E29"/>
          <cell r="F29"/>
          <cell r="G29"/>
          <cell r="H29"/>
          <cell r="I29"/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B30"/>
          <cell r="C30"/>
          <cell r="D30"/>
          <cell r="E30"/>
          <cell r="F30"/>
          <cell r="G30"/>
          <cell r="H30"/>
          <cell r="I30"/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B31"/>
          <cell r="C31"/>
          <cell r="D31"/>
          <cell r="E31"/>
          <cell r="F31"/>
          <cell r="G31"/>
          <cell r="H31"/>
          <cell r="I31"/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B32"/>
          <cell r="C32"/>
          <cell r="D32"/>
          <cell r="E32"/>
          <cell r="F32"/>
          <cell r="G32"/>
          <cell r="H32"/>
          <cell r="I32"/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B33"/>
          <cell r="C33"/>
          <cell r="D33"/>
          <cell r="E33"/>
          <cell r="F33"/>
          <cell r="G33"/>
          <cell r="H33"/>
          <cell r="I33"/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B34"/>
          <cell r="C34"/>
          <cell r="D34"/>
          <cell r="E34"/>
          <cell r="F34"/>
          <cell r="G34"/>
          <cell r="H34"/>
          <cell r="I34"/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B35"/>
          <cell r="C35"/>
          <cell r="D35">
            <v>1</v>
          </cell>
          <cell r="E35"/>
          <cell r="F35"/>
          <cell r="G35"/>
          <cell r="H35"/>
          <cell r="I35">
            <v>3</v>
          </cell>
          <cell r="R35">
            <v>1</v>
          </cell>
          <cell r="S35">
            <v>0</v>
          </cell>
          <cell r="T35">
            <v>1</v>
          </cell>
          <cell r="U35">
            <v>0</v>
          </cell>
          <cell r="V35">
            <v>0</v>
          </cell>
          <cell r="W35">
            <v>0</v>
          </cell>
          <cell r="X35">
            <v>1</v>
          </cell>
          <cell r="Y35">
            <v>5</v>
          </cell>
        </row>
        <row r="36">
          <cell r="B36"/>
          <cell r="C36"/>
          <cell r="D36"/>
          <cell r="E36"/>
          <cell r="F36"/>
          <cell r="G36"/>
          <cell r="H36"/>
          <cell r="I36"/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B37"/>
          <cell r="C37"/>
          <cell r="D37"/>
          <cell r="E37"/>
          <cell r="F37"/>
          <cell r="G37"/>
          <cell r="H37"/>
          <cell r="I37"/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B38"/>
          <cell r="C38"/>
          <cell r="D38"/>
          <cell r="E38"/>
          <cell r="F38"/>
          <cell r="G38"/>
          <cell r="H38"/>
          <cell r="I38"/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B39"/>
          <cell r="C39"/>
          <cell r="D39"/>
          <cell r="E39"/>
          <cell r="F39"/>
          <cell r="G39"/>
          <cell r="H39"/>
          <cell r="I39"/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B40"/>
          <cell r="C40"/>
          <cell r="D40"/>
          <cell r="E40"/>
          <cell r="F40"/>
          <cell r="G40"/>
          <cell r="H40">
            <v>1</v>
          </cell>
          <cell r="I40">
            <v>1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1</v>
          </cell>
          <cell r="W40">
            <v>0</v>
          </cell>
          <cell r="X40">
            <v>21</v>
          </cell>
          <cell r="Y40">
            <v>27</v>
          </cell>
        </row>
        <row r="41">
          <cell r="B41"/>
          <cell r="C41"/>
          <cell r="D41"/>
          <cell r="E41"/>
          <cell r="F41"/>
          <cell r="G41"/>
          <cell r="H41"/>
          <cell r="I41"/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</row>
        <row r="42">
          <cell r="B42"/>
          <cell r="C42"/>
          <cell r="D42"/>
          <cell r="E42"/>
          <cell r="F42"/>
          <cell r="G42"/>
          <cell r="H42"/>
          <cell r="I42"/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</row>
        <row r="43">
          <cell r="B43"/>
          <cell r="C43"/>
          <cell r="D43"/>
          <cell r="E43"/>
          <cell r="F43"/>
          <cell r="G43"/>
          <cell r="H43"/>
          <cell r="I43"/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</row>
        <row r="44">
          <cell r="B44"/>
          <cell r="C44"/>
          <cell r="D44"/>
          <cell r="E44"/>
          <cell r="F44"/>
          <cell r="G44"/>
          <cell r="H44"/>
          <cell r="I44"/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</row>
        <row r="45">
          <cell r="B45"/>
          <cell r="C45"/>
          <cell r="D45"/>
          <cell r="E45"/>
          <cell r="F45"/>
          <cell r="G45"/>
          <cell r="H45"/>
          <cell r="I45"/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</row>
        <row r="46">
          <cell r="B46"/>
          <cell r="C46"/>
          <cell r="D46"/>
          <cell r="E46"/>
          <cell r="F46"/>
          <cell r="G46"/>
          <cell r="H46"/>
          <cell r="I46"/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B47"/>
          <cell r="C47"/>
          <cell r="D47"/>
          <cell r="E47"/>
          <cell r="F47"/>
          <cell r="G47"/>
          <cell r="H47"/>
          <cell r="I47"/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B48"/>
          <cell r="C48"/>
          <cell r="D48"/>
          <cell r="E48"/>
          <cell r="F48"/>
          <cell r="G48"/>
          <cell r="H48"/>
          <cell r="I48"/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B49"/>
          <cell r="C49"/>
          <cell r="D49"/>
          <cell r="E49"/>
          <cell r="F49"/>
          <cell r="G49"/>
          <cell r="H49"/>
          <cell r="I49"/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B50"/>
          <cell r="C50"/>
          <cell r="D50"/>
          <cell r="E50"/>
          <cell r="F50"/>
          <cell r="G50"/>
          <cell r="H50"/>
          <cell r="I50"/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1">
          <cell r="B51"/>
          <cell r="C51"/>
          <cell r="D51"/>
          <cell r="E51"/>
          <cell r="F51"/>
          <cell r="G51"/>
          <cell r="H51"/>
          <cell r="I51"/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B52"/>
          <cell r="C52"/>
          <cell r="D52"/>
          <cell r="E52"/>
          <cell r="F52"/>
          <cell r="G52"/>
          <cell r="H52"/>
          <cell r="I52"/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B53"/>
          <cell r="C53"/>
          <cell r="D53"/>
          <cell r="E53"/>
          <cell r="F53"/>
          <cell r="G53"/>
          <cell r="H53"/>
          <cell r="I53"/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B54"/>
          <cell r="C54"/>
          <cell r="D54"/>
          <cell r="E54"/>
          <cell r="F54"/>
          <cell r="G54"/>
          <cell r="H54"/>
          <cell r="I54"/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B55"/>
          <cell r="C55"/>
          <cell r="D55"/>
          <cell r="E55"/>
          <cell r="F55"/>
          <cell r="G55"/>
          <cell r="H55"/>
          <cell r="I55"/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B56"/>
          <cell r="C56"/>
          <cell r="D56"/>
          <cell r="E56"/>
          <cell r="F56"/>
          <cell r="G56"/>
          <cell r="H56"/>
          <cell r="I56"/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B57"/>
          <cell r="C57"/>
          <cell r="D57"/>
          <cell r="E57"/>
          <cell r="F57"/>
          <cell r="G57"/>
          <cell r="H57"/>
          <cell r="I57"/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B58"/>
          <cell r="C58"/>
          <cell r="D58"/>
          <cell r="E58"/>
          <cell r="F58"/>
          <cell r="G58"/>
          <cell r="H58"/>
          <cell r="I58"/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</row>
        <row r="59">
          <cell r="B59"/>
          <cell r="C59"/>
          <cell r="D59"/>
          <cell r="E59"/>
          <cell r="F59"/>
          <cell r="G59"/>
          <cell r="H59"/>
          <cell r="I59"/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B60"/>
          <cell r="C60"/>
          <cell r="D60"/>
          <cell r="E60"/>
          <cell r="F60"/>
          <cell r="G60"/>
          <cell r="H60"/>
          <cell r="I60"/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B61"/>
          <cell r="C61"/>
          <cell r="D61"/>
          <cell r="E61"/>
          <cell r="F61"/>
          <cell r="G61"/>
          <cell r="H61"/>
          <cell r="I61"/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</row>
        <row r="62">
          <cell r="B62"/>
          <cell r="C62"/>
          <cell r="D62"/>
          <cell r="E62"/>
          <cell r="F62"/>
          <cell r="G62"/>
          <cell r="H62"/>
          <cell r="I62"/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B63"/>
          <cell r="C63"/>
          <cell r="D63"/>
          <cell r="E63"/>
          <cell r="F63"/>
          <cell r="G63"/>
          <cell r="H63"/>
          <cell r="I63"/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B64"/>
          <cell r="C64"/>
          <cell r="D64"/>
          <cell r="E64"/>
          <cell r="F64"/>
          <cell r="G64"/>
          <cell r="H64"/>
          <cell r="I64"/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B65"/>
          <cell r="C65"/>
          <cell r="D65"/>
          <cell r="E65"/>
          <cell r="F65"/>
          <cell r="G65"/>
          <cell r="H65"/>
          <cell r="I65"/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B66"/>
          <cell r="C66"/>
          <cell r="D66"/>
          <cell r="E66"/>
          <cell r="F66"/>
          <cell r="G66"/>
          <cell r="H66"/>
          <cell r="I66"/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</row>
        <row r="67">
          <cell r="B67"/>
          <cell r="C67"/>
          <cell r="D67"/>
          <cell r="E67"/>
          <cell r="F67"/>
          <cell r="G67"/>
          <cell r="H67"/>
          <cell r="I67"/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</sheetData>
      <sheetData sheetId="23"/>
      <sheetData sheetId="24"/>
      <sheetData sheetId="25">
        <row r="35">
          <cell r="B35">
            <v>0</v>
          </cell>
          <cell r="V35"/>
          <cell r="W35"/>
          <cell r="X35"/>
          <cell r="Y35"/>
          <cell r="Z35">
            <v>0</v>
          </cell>
          <cell r="AE35">
            <v>0</v>
          </cell>
        </row>
        <row r="36">
          <cell r="B36">
            <v>11</v>
          </cell>
          <cell r="V36"/>
          <cell r="W36"/>
          <cell r="X36"/>
          <cell r="Y36"/>
          <cell r="Z36">
            <v>0</v>
          </cell>
          <cell r="AE36">
            <v>0</v>
          </cell>
        </row>
        <row r="37">
          <cell r="B37">
            <v>0</v>
          </cell>
          <cell r="V37"/>
          <cell r="W37"/>
          <cell r="X37"/>
          <cell r="Y37"/>
          <cell r="Z37">
            <v>0</v>
          </cell>
          <cell r="AE37">
            <v>0</v>
          </cell>
        </row>
        <row r="38">
          <cell r="B38">
            <v>0</v>
          </cell>
          <cell r="V38"/>
          <cell r="W38"/>
          <cell r="X38"/>
          <cell r="Y38"/>
          <cell r="Z38">
            <v>0</v>
          </cell>
          <cell r="AE38">
            <v>0</v>
          </cell>
        </row>
        <row r="39">
          <cell r="B39">
            <v>0</v>
          </cell>
          <cell r="V39"/>
          <cell r="W39"/>
          <cell r="X39"/>
          <cell r="Y39"/>
          <cell r="Z39">
            <v>0</v>
          </cell>
          <cell r="AE39">
            <v>0</v>
          </cell>
        </row>
        <row r="40">
          <cell r="B40">
            <v>0</v>
          </cell>
          <cell r="V40"/>
          <cell r="W40"/>
          <cell r="X40"/>
          <cell r="Y40"/>
          <cell r="Z40">
            <v>0</v>
          </cell>
          <cell r="AE40">
            <v>0</v>
          </cell>
        </row>
        <row r="41">
          <cell r="B41">
            <v>1</v>
          </cell>
          <cell r="V41"/>
          <cell r="W41"/>
          <cell r="X41"/>
          <cell r="Y41"/>
          <cell r="Z41">
            <v>0</v>
          </cell>
          <cell r="AE41">
            <v>0</v>
          </cell>
        </row>
        <row r="42">
          <cell r="B42">
            <v>1</v>
          </cell>
          <cell r="V42"/>
          <cell r="W42"/>
          <cell r="X42"/>
          <cell r="Y42"/>
          <cell r="Z42">
            <v>0</v>
          </cell>
          <cell r="AE42">
            <v>0</v>
          </cell>
        </row>
        <row r="43">
          <cell r="B43">
            <v>0</v>
          </cell>
          <cell r="V43"/>
          <cell r="W43"/>
          <cell r="X43"/>
          <cell r="Y43"/>
          <cell r="Z43">
            <v>0</v>
          </cell>
          <cell r="AE43">
            <v>0</v>
          </cell>
        </row>
        <row r="44">
          <cell r="B44">
            <v>0</v>
          </cell>
          <cell r="V44"/>
          <cell r="W44"/>
          <cell r="X44"/>
          <cell r="Y44"/>
          <cell r="Z44">
            <v>0</v>
          </cell>
          <cell r="AE44">
            <v>0</v>
          </cell>
        </row>
        <row r="45">
          <cell r="B45">
            <v>0</v>
          </cell>
          <cell r="V45"/>
          <cell r="W45"/>
          <cell r="X45"/>
          <cell r="Y45"/>
          <cell r="Z45">
            <v>0</v>
          </cell>
          <cell r="AE45">
            <v>0</v>
          </cell>
        </row>
        <row r="46">
          <cell r="B46">
            <v>0</v>
          </cell>
          <cell r="V46"/>
          <cell r="W46"/>
          <cell r="X46"/>
          <cell r="Y46"/>
          <cell r="Z46">
            <v>0</v>
          </cell>
          <cell r="AE46">
            <v>0</v>
          </cell>
        </row>
        <row r="47">
          <cell r="B47">
            <v>0</v>
          </cell>
          <cell r="V47"/>
          <cell r="W47"/>
          <cell r="X47"/>
          <cell r="Y47"/>
          <cell r="Z47">
            <v>0</v>
          </cell>
          <cell r="AE47">
            <v>0</v>
          </cell>
        </row>
        <row r="48">
          <cell r="B48">
            <v>0</v>
          </cell>
          <cell r="V48"/>
          <cell r="W48"/>
          <cell r="X48"/>
          <cell r="Y48"/>
          <cell r="Z48">
            <v>0</v>
          </cell>
          <cell r="AE48">
            <v>0</v>
          </cell>
        </row>
        <row r="49">
          <cell r="B49">
            <v>0</v>
          </cell>
          <cell r="V49"/>
          <cell r="W49"/>
          <cell r="X49"/>
          <cell r="Y49"/>
          <cell r="Z49">
            <v>0</v>
          </cell>
          <cell r="AE49">
            <v>0</v>
          </cell>
        </row>
        <row r="50">
          <cell r="B50">
            <v>0</v>
          </cell>
          <cell r="V50"/>
          <cell r="W50"/>
          <cell r="X50"/>
          <cell r="Y50"/>
          <cell r="Z50">
            <v>0</v>
          </cell>
          <cell r="AE50">
            <v>0</v>
          </cell>
        </row>
        <row r="51">
          <cell r="B51">
            <v>0</v>
          </cell>
          <cell r="V51"/>
          <cell r="W51"/>
          <cell r="X51"/>
          <cell r="Y51"/>
          <cell r="Z51">
            <v>0</v>
          </cell>
          <cell r="AE51">
            <v>0</v>
          </cell>
        </row>
        <row r="52">
          <cell r="B52">
            <v>0</v>
          </cell>
          <cell r="V52"/>
          <cell r="W52"/>
          <cell r="X52"/>
          <cell r="Y52"/>
          <cell r="Z52">
            <v>0</v>
          </cell>
          <cell r="AE52">
            <v>0</v>
          </cell>
        </row>
        <row r="53">
          <cell r="B53">
            <v>0</v>
          </cell>
          <cell r="V53"/>
          <cell r="W53"/>
          <cell r="X53"/>
          <cell r="Y53"/>
          <cell r="Z53">
            <v>0</v>
          </cell>
          <cell r="AE53">
            <v>0</v>
          </cell>
        </row>
        <row r="54">
          <cell r="B54">
            <v>0</v>
          </cell>
          <cell r="V54"/>
          <cell r="W54"/>
          <cell r="X54"/>
          <cell r="Y54"/>
          <cell r="Z54">
            <v>0</v>
          </cell>
          <cell r="AE54">
            <v>0</v>
          </cell>
        </row>
        <row r="55">
          <cell r="B55">
            <v>0</v>
          </cell>
          <cell r="V55"/>
          <cell r="W55"/>
          <cell r="X55"/>
          <cell r="Y55"/>
          <cell r="Z55">
            <v>0</v>
          </cell>
          <cell r="AE55">
            <v>0</v>
          </cell>
        </row>
        <row r="56">
          <cell r="B56">
            <v>0</v>
          </cell>
          <cell r="V56"/>
          <cell r="W56"/>
          <cell r="X56"/>
          <cell r="Y56"/>
          <cell r="Z56">
            <v>0</v>
          </cell>
          <cell r="AE56">
            <v>0</v>
          </cell>
        </row>
        <row r="57">
          <cell r="B57">
            <v>4</v>
          </cell>
          <cell r="V57"/>
          <cell r="W57"/>
          <cell r="X57"/>
          <cell r="Y57"/>
          <cell r="Z57">
            <v>0</v>
          </cell>
          <cell r="AE57">
            <v>0</v>
          </cell>
        </row>
        <row r="58">
          <cell r="B58">
            <v>0</v>
          </cell>
          <cell r="V58"/>
          <cell r="W58"/>
          <cell r="X58"/>
          <cell r="Y58"/>
          <cell r="Z58">
            <v>0</v>
          </cell>
          <cell r="AE58">
            <v>0</v>
          </cell>
        </row>
        <row r="59">
          <cell r="B59">
            <v>0</v>
          </cell>
          <cell r="V59"/>
          <cell r="W59"/>
          <cell r="X59"/>
          <cell r="Y59"/>
          <cell r="Z59">
            <v>0</v>
          </cell>
          <cell r="AE59">
            <v>0</v>
          </cell>
        </row>
        <row r="60">
          <cell r="B60">
            <v>0</v>
          </cell>
          <cell r="V60"/>
          <cell r="W60"/>
          <cell r="X60"/>
          <cell r="Y60"/>
          <cell r="Z60">
            <v>0</v>
          </cell>
          <cell r="AE60">
            <v>0</v>
          </cell>
        </row>
        <row r="61">
          <cell r="B61">
            <v>0</v>
          </cell>
          <cell r="V61"/>
          <cell r="W61"/>
          <cell r="X61"/>
          <cell r="Y61"/>
          <cell r="Z61">
            <v>0</v>
          </cell>
          <cell r="AE61">
            <v>0</v>
          </cell>
        </row>
        <row r="62">
          <cell r="B62">
            <v>0</v>
          </cell>
          <cell r="V62"/>
          <cell r="W62"/>
          <cell r="X62"/>
          <cell r="Y62"/>
          <cell r="Z62">
            <v>0</v>
          </cell>
          <cell r="AE62">
            <v>0</v>
          </cell>
        </row>
        <row r="63">
          <cell r="B63">
            <v>0</v>
          </cell>
          <cell r="V63"/>
          <cell r="W63"/>
          <cell r="X63"/>
          <cell r="Y63"/>
          <cell r="Z63">
            <v>0</v>
          </cell>
          <cell r="AE63">
            <v>0</v>
          </cell>
        </row>
        <row r="64">
          <cell r="B64">
            <v>1</v>
          </cell>
          <cell r="V64"/>
          <cell r="W64"/>
          <cell r="X64"/>
          <cell r="Y64"/>
          <cell r="Z64">
            <v>0</v>
          </cell>
          <cell r="AE64">
            <v>0</v>
          </cell>
        </row>
        <row r="65">
          <cell r="B65">
            <v>0</v>
          </cell>
          <cell r="V65"/>
          <cell r="W65"/>
          <cell r="X65"/>
          <cell r="Y65"/>
          <cell r="Z65">
            <v>0</v>
          </cell>
          <cell r="AE65">
            <v>0</v>
          </cell>
        </row>
        <row r="66">
          <cell r="B66">
            <v>0</v>
          </cell>
          <cell r="V66"/>
          <cell r="W66"/>
          <cell r="X66"/>
          <cell r="Y66"/>
          <cell r="Z66">
            <v>0</v>
          </cell>
          <cell r="AE66">
            <v>0</v>
          </cell>
        </row>
        <row r="67">
          <cell r="B67">
            <v>9</v>
          </cell>
          <cell r="V67"/>
          <cell r="W67"/>
          <cell r="X67"/>
          <cell r="Y67"/>
          <cell r="Z67">
            <v>0</v>
          </cell>
          <cell r="AE67">
            <v>0</v>
          </cell>
        </row>
        <row r="68">
          <cell r="B68">
            <v>0</v>
          </cell>
          <cell r="V68"/>
          <cell r="W68"/>
          <cell r="X68"/>
          <cell r="Y68"/>
          <cell r="Z68">
            <v>0</v>
          </cell>
          <cell r="AE68">
            <v>0</v>
          </cell>
        </row>
        <row r="69">
          <cell r="B69">
            <v>0</v>
          </cell>
          <cell r="V69"/>
          <cell r="W69"/>
          <cell r="X69"/>
          <cell r="Y69"/>
          <cell r="Z69">
            <v>0</v>
          </cell>
          <cell r="AE69">
            <v>0</v>
          </cell>
        </row>
        <row r="70">
          <cell r="B70">
            <v>0</v>
          </cell>
          <cell r="V70"/>
          <cell r="W70"/>
          <cell r="X70"/>
          <cell r="Y70"/>
          <cell r="Z70">
            <v>0</v>
          </cell>
          <cell r="AE70">
            <v>0</v>
          </cell>
        </row>
        <row r="71">
          <cell r="B71">
            <v>0</v>
          </cell>
          <cell r="V71"/>
          <cell r="W71"/>
          <cell r="X71"/>
          <cell r="Y71"/>
          <cell r="Z71">
            <v>0</v>
          </cell>
          <cell r="AE71">
            <v>0</v>
          </cell>
        </row>
        <row r="72">
          <cell r="B72">
            <v>0</v>
          </cell>
          <cell r="V72"/>
          <cell r="W72"/>
          <cell r="X72"/>
          <cell r="Y72"/>
          <cell r="Z72">
            <v>0</v>
          </cell>
          <cell r="AE72">
            <v>0</v>
          </cell>
        </row>
        <row r="73">
          <cell r="B73">
            <v>0</v>
          </cell>
          <cell r="V73"/>
          <cell r="W73"/>
          <cell r="X73"/>
          <cell r="Y73"/>
          <cell r="Z73">
            <v>0</v>
          </cell>
          <cell r="AE73">
            <v>0</v>
          </cell>
        </row>
        <row r="74">
          <cell r="B74">
            <v>0</v>
          </cell>
          <cell r="W74"/>
          <cell r="X74"/>
          <cell r="Y74"/>
          <cell r="Z74">
            <v>0</v>
          </cell>
          <cell r="AE74">
            <v>0</v>
          </cell>
        </row>
        <row r="75">
          <cell r="B75">
            <v>0</v>
          </cell>
          <cell r="V75"/>
          <cell r="W75"/>
          <cell r="X75"/>
          <cell r="Y75"/>
          <cell r="Z75">
            <v>0</v>
          </cell>
          <cell r="AE75">
            <v>0</v>
          </cell>
        </row>
        <row r="76">
          <cell r="B76">
            <v>0</v>
          </cell>
          <cell r="V76"/>
          <cell r="W76"/>
          <cell r="X76"/>
          <cell r="Y76"/>
          <cell r="Z76">
            <v>0</v>
          </cell>
          <cell r="AE76">
            <v>0</v>
          </cell>
        </row>
        <row r="77">
          <cell r="B77">
            <v>0</v>
          </cell>
          <cell r="V77"/>
          <cell r="W77"/>
          <cell r="X77"/>
          <cell r="Y77"/>
          <cell r="Z77">
            <v>0</v>
          </cell>
          <cell r="AE77">
            <v>0</v>
          </cell>
        </row>
        <row r="78">
          <cell r="B78">
            <v>4</v>
          </cell>
          <cell r="V78"/>
          <cell r="W78"/>
          <cell r="X78"/>
          <cell r="Y78"/>
          <cell r="Z78">
            <v>0</v>
          </cell>
          <cell r="AE78">
            <v>0</v>
          </cell>
        </row>
        <row r="79">
          <cell r="B79">
            <v>0</v>
          </cell>
          <cell r="V79"/>
          <cell r="W79"/>
          <cell r="X79"/>
          <cell r="Y79"/>
          <cell r="Z79">
            <v>0</v>
          </cell>
          <cell r="AE79">
            <v>0</v>
          </cell>
        </row>
        <row r="80">
          <cell r="B80">
            <v>0</v>
          </cell>
          <cell r="V80"/>
          <cell r="W80"/>
          <cell r="X80"/>
          <cell r="Y80"/>
          <cell r="Z80">
            <v>0</v>
          </cell>
          <cell r="AE80">
            <v>0</v>
          </cell>
        </row>
        <row r="81">
          <cell r="B81">
            <v>0</v>
          </cell>
          <cell r="V81"/>
          <cell r="W81"/>
          <cell r="X81"/>
          <cell r="Y81"/>
          <cell r="Z81">
            <v>0</v>
          </cell>
          <cell r="AE81">
            <v>0</v>
          </cell>
        </row>
        <row r="82">
          <cell r="B82">
            <v>0</v>
          </cell>
          <cell r="V82"/>
          <cell r="W82"/>
          <cell r="X82"/>
          <cell r="Y82"/>
          <cell r="Z82">
            <v>0</v>
          </cell>
          <cell r="AE82">
            <v>0</v>
          </cell>
        </row>
        <row r="83">
          <cell r="B83">
            <v>2</v>
          </cell>
          <cell r="V83"/>
          <cell r="W83"/>
          <cell r="X83"/>
          <cell r="Y83"/>
          <cell r="Z83">
            <v>0</v>
          </cell>
          <cell r="AE83">
            <v>0</v>
          </cell>
        </row>
        <row r="84">
          <cell r="B84">
            <v>35</v>
          </cell>
          <cell r="V84"/>
          <cell r="W84"/>
          <cell r="X84"/>
          <cell r="Y84"/>
          <cell r="Z84">
            <v>0</v>
          </cell>
          <cell r="AE84">
            <v>0</v>
          </cell>
        </row>
        <row r="85">
          <cell r="B85">
            <v>1</v>
          </cell>
          <cell r="V85"/>
          <cell r="W85"/>
          <cell r="X85"/>
          <cell r="Y85"/>
          <cell r="Z85">
            <v>0</v>
          </cell>
          <cell r="AE85">
            <v>0</v>
          </cell>
        </row>
        <row r="86">
          <cell r="B86">
            <v>0</v>
          </cell>
          <cell r="V86"/>
          <cell r="W86"/>
          <cell r="X86"/>
          <cell r="Y86"/>
          <cell r="Z86">
            <v>0</v>
          </cell>
          <cell r="AE86">
            <v>0</v>
          </cell>
        </row>
        <row r="87">
          <cell r="B87">
            <v>0</v>
          </cell>
          <cell r="V87"/>
          <cell r="W87"/>
          <cell r="X87"/>
          <cell r="Y87"/>
          <cell r="Z87">
            <v>0</v>
          </cell>
          <cell r="AE87">
            <v>0</v>
          </cell>
        </row>
        <row r="88">
          <cell r="B88">
            <v>0</v>
          </cell>
          <cell r="V88"/>
          <cell r="W88"/>
          <cell r="X88"/>
          <cell r="Y88"/>
          <cell r="Z88">
            <v>0</v>
          </cell>
          <cell r="AE88">
            <v>0</v>
          </cell>
        </row>
        <row r="89">
          <cell r="B89">
            <v>0</v>
          </cell>
          <cell r="V89"/>
          <cell r="W89"/>
          <cell r="X89"/>
          <cell r="Y89"/>
          <cell r="Z89">
            <v>0</v>
          </cell>
          <cell r="AE89">
            <v>0</v>
          </cell>
        </row>
      </sheetData>
      <sheetData sheetId="26"/>
      <sheetData sheetId="27"/>
      <sheetData sheetId="28"/>
      <sheetData sheetId="2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BRE"/>
      <sheetName val="A01"/>
      <sheetName val="A02"/>
      <sheetName val="A03"/>
      <sheetName val="A04"/>
      <sheetName val="A05"/>
      <sheetName val="A06"/>
      <sheetName val="A07"/>
      <sheetName val="A08"/>
      <sheetName val="A09"/>
      <sheetName val="A11"/>
      <sheetName val="A11a"/>
      <sheetName val="A19a"/>
      <sheetName val="A19b"/>
      <sheetName val="A21"/>
      <sheetName val="A23"/>
      <sheetName val="A24"/>
      <sheetName val="A25"/>
      <sheetName val="A26"/>
      <sheetName val="A27"/>
      <sheetName val="A28"/>
      <sheetName val="A29"/>
      <sheetName val="A30"/>
      <sheetName val="A30AR"/>
      <sheetName val="A31"/>
      <sheetName val="A32"/>
      <sheetName val="A33"/>
      <sheetName val="A34"/>
      <sheetName val="Control"/>
      <sheetName val="MAC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2">
          <cell r="B12">
            <v>298</v>
          </cell>
          <cell r="X12">
            <v>80</v>
          </cell>
          <cell r="AB12">
            <v>0</v>
          </cell>
        </row>
        <row r="13">
          <cell r="B13">
            <v>452</v>
          </cell>
          <cell r="X13">
            <v>4</v>
          </cell>
          <cell r="AB13">
            <v>94</v>
          </cell>
        </row>
        <row r="14">
          <cell r="B14">
            <v>0</v>
          </cell>
          <cell r="X14">
            <v>0</v>
          </cell>
          <cell r="AB14">
            <v>0</v>
          </cell>
        </row>
        <row r="15">
          <cell r="B15">
            <v>0</v>
          </cell>
          <cell r="X15">
            <v>0</v>
          </cell>
          <cell r="AB15">
            <v>0</v>
          </cell>
        </row>
        <row r="16">
          <cell r="B16">
            <v>0</v>
          </cell>
          <cell r="X16">
            <v>0</v>
          </cell>
          <cell r="AB16">
            <v>0</v>
          </cell>
        </row>
        <row r="17">
          <cell r="B17">
            <v>39</v>
          </cell>
          <cell r="X17">
            <v>0</v>
          </cell>
          <cell r="AB17">
            <v>12</v>
          </cell>
        </row>
        <row r="18">
          <cell r="B18">
            <v>188</v>
          </cell>
          <cell r="X18">
            <v>0</v>
          </cell>
          <cell r="AB18">
            <v>28</v>
          </cell>
        </row>
        <row r="19">
          <cell r="B19">
            <v>67</v>
          </cell>
          <cell r="X19">
            <v>13</v>
          </cell>
          <cell r="AB19">
            <v>0</v>
          </cell>
        </row>
        <row r="20">
          <cell r="B20">
            <v>0</v>
          </cell>
          <cell r="X20">
            <v>0</v>
          </cell>
          <cell r="AB20">
            <v>0</v>
          </cell>
        </row>
        <row r="21">
          <cell r="B21">
            <v>0</v>
          </cell>
          <cell r="X21">
            <v>0</v>
          </cell>
          <cell r="AB21">
            <v>0</v>
          </cell>
        </row>
        <row r="22">
          <cell r="B22">
            <v>23</v>
          </cell>
          <cell r="X22">
            <v>0</v>
          </cell>
          <cell r="AB22">
            <v>14</v>
          </cell>
        </row>
        <row r="23">
          <cell r="B23">
            <v>0</v>
          </cell>
          <cell r="X23">
            <v>0</v>
          </cell>
          <cell r="AB23">
            <v>0</v>
          </cell>
        </row>
        <row r="24">
          <cell r="B24">
            <v>0</v>
          </cell>
          <cell r="X24">
            <v>0</v>
          </cell>
          <cell r="AB24">
            <v>0</v>
          </cell>
        </row>
        <row r="25">
          <cell r="B25">
            <v>0</v>
          </cell>
          <cell r="X25">
            <v>0</v>
          </cell>
          <cell r="AB25">
            <v>0</v>
          </cell>
        </row>
        <row r="26">
          <cell r="B26">
            <v>0</v>
          </cell>
          <cell r="X26">
            <v>0</v>
          </cell>
          <cell r="AB26">
            <v>0</v>
          </cell>
        </row>
        <row r="27">
          <cell r="B27">
            <v>0</v>
          </cell>
          <cell r="X27">
            <v>0</v>
          </cell>
          <cell r="AB27">
            <v>0</v>
          </cell>
        </row>
        <row r="28">
          <cell r="B28">
            <v>0</v>
          </cell>
          <cell r="X28">
            <v>0</v>
          </cell>
          <cell r="AB28">
            <v>0</v>
          </cell>
        </row>
        <row r="29">
          <cell r="B29">
            <v>0</v>
          </cell>
          <cell r="X29">
            <v>0</v>
          </cell>
          <cell r="AB29">
            <v>0</v>
          </cell>
        </row>
        <row r="30">
          <cell r="B30">
            <v>0</v>
          </cell>
          <cell r="X30">
            <v>0</v>
          </cell>
          <cell r="AB30">
            <v>0</v>
          </cell>
        </row>
        <row r="31">
          <cell r="B31">
            <v>0</v>
          </cell>
          <cell r="X31">
            <v>0</v>
          </cell>
          <cell r="AB31">
            <v>0</v>
          </cell>
        </row>
        <row r="32">
          <cell r="B32">
            <v>97</v>
          </cell>
          <cell r="X32">
            <v>7</v>
          </cell>
          <cell r="AB32">
            <v>23</v>
          </cell>
        </row>
        <row r="33">
          <cell r="B33">
            <v>0</v>
          </cell>
          <cell r="X33">
            <v>0</v>
          </cell>
          <cell r="AB33">
            <v>0</v>
          </cell>
        </row>
        <row r="34">
          <cell r="B34">
            <v>123</v>
          </cell>
          <cell r="X34">
            <v>19</v>
          </cell>
          <cell r="AB34">
            <v>10</v>
          </cell>
        </row>
        <row r="35">
          <cell r="B35">
            <v>0</v>
          </cell>
          <cell r="X35">
            <v>0</v>
          </cell>
          <cell r="AB35">
            <v>0</v>
          </cell>
        </row>
        <row r="36">
          <cell r="B36">
            <v>0</v>
          </cell>
          <cell r="X36">
            <v>0</v>
          </cell>
          <cell r="AB36">
            <v>0</v>
          </cell>
        </row>
        <row r="37">
          <cell r="B37">
            <v>0</v>
          </cell>
          <cell r="X37">
            <v>0</v>
          </cell>
          <cell r="AB37">
            <v>0</v>
          </cell>
        </row>
        <row r="38">
          <cell r="B38">
            <v>108</v>
          </cell>
          <cell r="X38">
            <v>23</v>
          </cell>
          <cell r="AB38">
            <v>0</v>
          </cell>
        </row>
        <row r="39">
          <cell r="B39">
            <v>188</v>
          </cell>
          <cell r="X39">
            <v>2</v>
          </cell>
          <cell r="AB39">
            <v>35</v>
          </cell>
        </row>
        <row r="40">
          <cell r="B40">
            <v>0</v>
          </cell>
          <cell r="X40">
            <v>0</v>
          </cell>
          <cell r="AB40">
            <v>0</v>
          </cell>
        </row>
        <row r="41">
          <cell r="B41">
            <v>270</v>
          </cell>
          <cell r="X41">
            <v>8</v>
          </cell>
          <cell r="AB41">
            <v>0</v>
          </cell>
        </row>
        <row r="42">
          <cell r="B42">
            <v>376</v>
          </cell>
          <cell r="X42">
            <v>0</v>
          </cell>
          <cell r="AB42">
            <v>16</v>
          </cell>
        </row>
        <row r="43">
          <cell r="B43">
            <v>118</v>
          </cell>
          <cell r="X43">
            <v>22</v>
          </cell>
          <cell r="AB43">
            <v>0</v>
          </cell>
        </row>
        <row r="44">
          <cell r="B44">
            <v>302</v>
          </cell>
          <cell r="X44">
            <v>2</v>
          </cell>
          <cell r="AB44">
            <v>89</v>
          </cell>
        </row>
        <row r="45">
          <cell r="B45">
            <v>18</v>
          </cell>
          <cell r="X45">
            <v>0</v>
          </cell>
          <cell r="AB45">
            <v>5</v>
          </cell>
        </row>
        <row r="46">
          <cell r="B46">
            <v>0</v>
          </cell>
          <cell r="X46">
            <v>0</v>
          </cell>
          <cell r="AB46">
            <v>0</v>
          </cell>
        </row>
        <row r="47">
          <cell r="B47">
            <v>0</v>
          </cell>
          <cell r="X47">
            <v>0</v>
          </cell>
          <cell r="AB47">
            <v>0</v>
          </cell>
        </row>
        <row r="48">
          <cell r="B48">
            <v>0</v>
          </cell>
          <cell r="X48">
            <v>0</v>
          </cell>
          <cell r="AB48">
            <v>0</v>
          </cell>
        </row>
        <row r="49">
          <cell r="B49">
            <v>39</v>
          </cell>
          <cell r="X49">
            <v>0</v>
          </cell>
          <cell r="AB49">
            <v>10</v>
          </cell>
        </row>
        <row r="50">
          <cell r="B50">
            <v>0</v>
          </cell>
          <cell r="X50">
            <v>0</v>
          </cell>
          <cell r="AB50">
            <v>0</v>
          </cell>
        </row>
        <row r="51">
          <cell r="B51">
            <v>0</v>
          </cell>
          <cell r="X51">
            <v>0</v>
          </cell>
          <cell r="AB51">
            <v>0</v>
          </cell>
        </row>
        <row r="52">
          <cell r="B52">
            <v>0</v>
          </cell>
          <cell r="X52">
            <v>0</v>
          </cell>
          <cell r="AB52">
            <v>0</v>
          </cell>
        </row>
        <row r="53">
          <cell r="B53">
            <v>0</v>
          </cell>
          <cell r="X53">
            <v>0</v>
          </cell>
          <cell r="AB53">
            <v>0</v>
          </cell>
        </row>
        <row r="54">
          <cell r="B54">
            <v>43</v>
          </cell>
          <cell r="X54">
            <v>7</v>
          </cell>
          <cell r="AB54">
            <v>33</v>
          </cell>
        </row>
        <row r="55">
          <cell r="B55">
            <v>657</v>
          </cell>
          <cell r="X55">
            <v>3</v>
          </cell>
          <cell r="AB55">
            <v>192</v>
          </cell>
        </row>
        <row r="56">
          <cell r="B56">
            <v>0</v>
          </cell>
          <cell r="X56">
            <v>0</v>
          </cell>
          <cell r="AB56">
            <v>0</v>
          </cell>
        </row>
        <row r="57">
          <cell r="B57">
            <v>0</v>
          </cell>
          <cell r="X57">
            <v>0</v>
          </cell>
          <cell r="AB57">
            <v>0</v>
          </cell>
        </row>
        <row r="58">
          <cell r="B58">
            <v>403</v>
          </cell>
          <cell r="X58">
            <v>6</v>
          </cell>
          <cell r="AB58">
            <v>114</v>
          </cell>
        </row>
        <row r="59">
          <cell r="B59">
            <v>123</v>
          </cell>
          <cell r="X59">
            <v>27</v>
          </cell>
          <cell r="AB59">
            <v>26</v>
          </cell>
        </row>
        <row r="60">
          <cell r="B60">
            <v>556</v>
          </cell>
          <cell r="X60">
            <v>45</v>
          </cell>
          <cell r="AB60">
            <v>55</v>
          </cell>
        </row>
        <row r="61">
          <cell r="B61">
            <v>256</v>
          </cell>
          <cell r="X61">
            <v>1</v>
          </cell>
          <cell r="AB61">
            <v>33</v>
          </cell>
        </row>
        <row r="62">
          <cell r="B62">
            <v>70</v>
          </cell>
          <cell r="X62">
            <v>0</v>
          </cell>
          <cell r="AB62">
            <v>0</v>
          </cell>
        </row>
        <row r="63">
          <cell r="B63">
            <v>0</v>
          </cell>
          <cell r="X63">
            <v>0</v>
          </cell>
          <cell r="AB63">
            <v>0</v>
          </cell>
        </row>
        <row r="64">
          <cell r="B64">
            <v>0</v>
          </cell>
          <cell r="X64">
            <v>0</v>
          </cell>
          <cell r="AB64">
            <v>0</v>
          </cell>
        </row>
        <row r="65">
          <cell r="B65">
            <v>0</v>
          </cell>
          <cell r="X65">
            <v>0</v>
          </cell>
          <cell r="AB65">
            <v>0</v>
          </cell>
        </row>
        <row r="66">
          <cell r="B66">
            <v>0</v>
          </cell>
          <cell r="X66">
            <v>0</v>
          </cell>
          <cell r="AB66">
            <v>0</v>
          </cell>
        </row>
        <row r="71">
          <cell r="U71">
            <v>11</v>
          </cell>
          <cell r="V71">
            <v>35</v>
          </cell>
          <cell r="W71">
            <v>18</v>
          </cell>
        </row>
        <row r="72">
          <cell r="U72">
            <v>5</v>
          </cell>
          <cell r="V72">
            <v>34</v>
          </cell>
          <cell r="W72">
            <v>177</v>
          </cell>
        </row>
        <row r="73">
          <cell r="U73"/>
          <cell r="V73"/>
          <cell r="W73"/>
        </row>
        <row r="74">
          <cell r="U74"/>
          <cell r="V74"/>
          <cell r="W74"/>
        </row>
        <row r="75">
          <cell r="U75"/>
          <cell r="V75"/>
          <cell r="W75"/>
        </row>
        <row r="76">
          <cell r="U76">
            <v>1</v>
          </cell>
          <cell r="V76">
            <v>1</v>
          </cell>
          <cell r="W76">
            <v>10</v>
          </cell>
        </row>
        <row r="77">
          <cell r="U77">
            <v>0</v>
          </cell>
          <cell r="V77">
            <v>8</v>
          </cell>
          <cell r="W77">
            <v>1</v>
          </cell>
        </row>
        <row r="78">
          <cell r="U78">
            <v>0</v>
          </cell>
          <cell r="V78">
            <v>2</v>
          </cell>
          <cell r="W78">
            <v>13</v>
          </cell>
        </row>
        <row r="79">
          <cell r="U79"/>
          <cell r="V79"/>
          <cell r="W79"/>
        </row>
        <row r="80">
          <cell r="U80"/>
          <cell r="V80"/>
          <cell r="W80"/>
        </row>
        <row r="81">
          <cell r="U81">
            <v>1</v>
          </cell>
          <cell r="V81">
            <v>1</v>
          </cell>
          <cell r="W81"/>
        </row>
        <row r="82">
          <cell r="U82"/>
          <cell r="V82"/>
          <cell r="W82"/>
        </row>
        <row r="83">
          <cell r="U83"/>
          <cell r="V83"/>
          <cell r="W83"/>
        </row>
        <row r="84">
          <cell r="U84"/>
          <cell r="V84"/>
          <cell r="W84"/>
        </row>
        <row r="85">
          <cell r="U85"/>
          <cell r="V85"/>
          <cell r="W85"/>
        </row>
        <row r="86">
          <cell r="U86"/>
          <cell r="V86"/>
          <cell r="W86"/>
        </row>
        <row r="87">
          <cell r="U87"/>
          <cell r="V87"/>
          <cell r="W87"/>
        </row>
        <row r="88">
          <cell r="U88"/>
          <cell r="V88"/>
          <cell r="W88"/>
        </row>
        <row r="89">
          <cell r="U89"/>
          <cell r="V89"/>
          <cell r="W89"/>
        </row>
        <row r="90">
          <cell r="U90"/>
          <cell r="V90"/>
          <cell r="W90"/>
        </row>
        <row r="91">
          <cell r="U91">
            <v>5</v>
          </cell>
          <cell r="V91">
            <v>19</v>
          </cell>
          <cell r="W91"/>
        </row>
        <row r="92">
          <cell r="U92"/>
          <cell r="V92"/>
          <cell r="W92"/>
        </row>
        <row r="93">
          <cell r="U93">
            <v>2</v>
          </cell>
          <cell r="V93">
            <v>8</v>
          </cell>
          <cell r="W93">
            <v>11</v>
          </cell>
        </row>
        <row r="94">
          <cell r="U94"/>
          <cell r="V94"/>
          <cell r="W94"/>
        </row>
        <row r="95">
          <cell r="U95"/>
          <cell r="V95"/>
          <cell r="W95"/>
        </row>
        <row r="96">
          <cell r="U96"/>
          <cell r="V96"/>
          <cell r="W96"/>
        </row>
        <row r="97">
          <cell r="U97">
            <v>0</v>
          </cell>
          <cell r="V97">
            <v>5</v>
          </cell>
          <cell r="W97">
            <v>23</v>
          </cell>
        </row>
        <row r="98">
          <cell r="U98">
            <v>0</v>
          </cell>
          <cell r="V98">
            <v>14</v>
          </cell>
          <cell r="W98">
            <v>78</v>
          </cell>
        </row>
        <row r="99">
          <cell r="U99"/>
          <cell r="V99"/>
          <cell r="W99"/>
        </row>
        <row r="100">
          <cell r="U100">
            <v>4</v>
          </cell>
          <cell r="V100">
            <v>28</v>
          </cell>
          <cell r="W100">
            <v>48</v>
          </cell>
        </row>
        <row r="101">
          <cell r="U101">
            <v>1</v>
          </cell>
          <cell r="V101">
            <v>51</v>
          </cell>
          <cell r="W101">
            <v>27</v>
          </cell>
        </row>
        <row r="102">
          <cell r="U102">
            <v>1</v>
          </cell>
          <cell r="V102">
            <v>14</v>
          </cell>
          <cell r="W102"/>
        </row>
        <row r="103">
          <cell r="U103">
            <v>7</v>
          </cell>
          <cell r="V103">
            <v>30</v>
          </cell>
          <cell r="W103"/>
        </row>
        <row r="104">
          <cell r="U104">
            <v>0</v>
          </cell>
          <cell r="V104">
            <v>4</v>
          </cell>
          <cell r="W104"/>
        </row>
        <row r="105">
          <cell r="U105"/>
          <cell r="V105"/>
          <cell r="W105"/>
        </row>
        <row r="106">
          <cell r="U106"/>
          <cell r="V106"/>
          <cell r="W106"/>
        </row>
        <row r="107">
          <cell r="U107"/>
          <cell r="V107"/>
          <cell r="W107"/>
        </row>
        <row r="108">
          <cell r="U108"/>
          <cell r="V108"/>
          <cell r="W108"/>
        </row>
        <row r="109">
          <cell r="U109"/>
          <cell r="V109"/>
          <cell r="W109"/>
        </row>
        <row r="110">
          <cell r="V110"/>
          <cell r="W110"/>
          <cell r="AG110"/>
        </row>
        <row r="111">
          <cell r="U111"/>
          <cell r="V111"/>
          <cell r="W111"/>
        </row>
        <row r="112">
          <cell r="U112"/>
          <cell r="V112"/>
          <cell r="W112"/>
        </row>
        <row r="113">
          <cell r="U113">
            <v>1</v>
          </cell>
          <cell r="V113">
            <v>1</v>
          </cell>
          <cell r="W113">
            <v>30</v>
          </cell>
        </row>
        <row r="114">
          <cell r="U114">
            <v>18</v>
          </cell>
          <cell r="V114">
            <v>41</v>
          </cell>
          <cell r="W114"/>
        </row>
        <row r="115">
          <cell r="U115"/>
          <cell r="V115"/>
          <cell r="W115"/>
        </row>
        <row r="116">
          <cell r="U116"/>
          <cell r="V116"/>
          <cell r="W116"/>
        </row>
        <row r="117">
          <cell r="U117">
            <v>14</v>
          </cell>
          <cell r="V117">
            <v>16</v>
          </cell>
          <cell r="W117">
            <v>16</v>
          </cell>
        </row>
        <row r="118">
          <cell r="U118">
            <v>4</v>
          </cell>
          <cell r="V118">
            <v>1</v>
          </cell>
          <cell r="W118"/>
        </row>
        <row r="119">
          <cell r="U119">
            <v>13</v>
          </cell>
          <cell r="V119">
            <v>36</v>
          </cell>
          <cell r="W119"/>
        </row>
        <row r="120">
          <cell r="U120">
            <v>4</v>
          </cell>
          <cell r="V120">
            <v>17</v>
          </cell>
          <cell r="W120">
            <v>46</v>
          </cell>
        </row>
        <row r="121">
          <cell r="U121">
            <v>0</v>
          </cell>
          <cell r="V121">
            <v>4</v>
          </cell>
          <cell r="W121">
            <v>9</v>
          </cell>
        </row>
        <row r="122">
          <cell r="U122"/>
          <cell r="V122"/>
          <cell r="W122"/>
        </row>
        <row r="123">
          <cell r="U123"/>
          <cell r="V123"/>
          <cell r="W123"/>
        </row>
        <row r="124">
          <cell r="U124"/>
          <cell r="V124"/>
          <cell r="W124"/>
        </row>
        <row r="125">
          <cell r="U125"/>
          <cell r="V125"/>
          <cell r="W125"/>
        </row>
      </sheetData>
      <sheetData sheetId="8">
        <row r="12">
          <cell r="B12">
            <v>3235</v>
          </cell>
          <cell r="AS12">
            <v>3977</v>
          </cell>
        </row>
        <row r="62">
          <cell r="B62">
            <v>301</v>
          </cell>
        </row>
        <row r="107">
          <cell r="C107">
            <v>152</v>
          </cell>
        </row>
        <row r="108">
          <cell r="C108">
            <v>58</v>
          </cell>
        </row>
        <row r="109">
          <cell r="C109">
            <v>57</v>
          </cell>
        </row>
        <row r="112">
          <cell r="C112">
            <v>79</v>
          </cell>
        </row>
      </sheetData>
      <sheetData sheetId="9"/>
      <sheetData sheetId="10"/>
      <sheetData sheetId="11"/>
      <sheetData sheetId="12"/>
      <sheetData sheetId="13"/>
      <sheetData sheetId="14">
        <row r="32">
          <cell r="C32">
            <v>57</v>
          </cell>
        </row>
        <row r="33">
          <cell r="C33">
            <v>531</v>
          </cell>
        </row>
        <row r="102">
          <cell r="F102">
            <v>31</v>
          </cell>
          <cell r="G102">
            <v>279</v>
          </cell>
          <cell r="H102">
            <v>1</v>
          </cell>
          <cell r="I102">
            <v>15</v>
          </cell>
        </row>
      </sheetData>
      <sheetData sheetId="15"/>
      <sheetData sheetId="16">
        <row r="13">
          <cell r="C13">
            <v>42</v>
          </cell>
        </row>
        <row r="14">
          <cell r="C14">
            <v>0</v>
          </cell>
        </row>
        <row r="15">
          <cell r="C15">
            <v>17</v>
          </cell>
        </row>
        <row r="16">
          <cell r="C16">
            <v>18</v>
          </cell>
        </row>
      </sheetData>
      <sheetData sheetId="17"/>
      <sheetData sheetId="18"/>
      <sheetData sheetId="19"/>
      <sheetData sheetId="20"/>
      <sheetData sheetId="21"/>
      <sheetData sheetId="22">
        <row r="13">
          <cell r="B13"/>
          <cell r="C13"/>
          <cell r="D13"/>
          <cell r="E13"/>
          <cell r="F13"/>
          <cell r="G13"/>
          <cell r="H13"/>
          <cell r="I13"/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B14"/>
          <cell r="C14"/>
          <cell r="D14"/>
          <cell r="E14"/>
          <cell r="F14"/>
          <cell r="G14"/>
          <cell r="H14">
            <v>4</v>
          </cell>
          <cell r="I14">
            <v>1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5</v>
          </cell>
          <cell r="Y14">
            <v>1</v>
          </cell>
        </row>
        <row r="15">
          <cell r="B15"/>
          <cell r="C15"/>
          <cell r="D15"/>
          <cell r="E15"/>
          <cell r="F15"/>
          <cell r="G15"/>
          <cell r="H15"/>
          <cell r="I15"/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  <row r="16">
          <cell r="B16"/>
          <cell r="C16"/>
          <cell r="D16"/>
          <cell r="E16"/>
          <cell r="F16"/>
          <cell r="G16"/>
          <cell r="H16"/>
          <cell r="I16"/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B17"/>
          <cell r="C17"/>
          <cell r="D17"/>
          <cell r="E17"/>
          <cell r="F17"/>
          <cell r="G17"/>
          <cell r="H17"/>
          <cell r="I17"/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B18"/>
          <cell r="C18"/>
          <cell r="D18"/>
          <cell r="E18"/>
          <cell r="F18"/>
          <cell r="G18"/>
          <cell r="H18"/>
          <cell r="I18"/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B19"/>
          <cell r="C19"/>
          <cell r="D19"/>
          <cell r="E19"/>
          <cell r="F19"/>
          <cell r="G19"/>
          <cell r="H19">
            <v>0</v>
          </cell>
          <cell r="I19">
            <v>10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30</v>
          </cell>
        </row>
        <row r="20">
          <cell r="B20"/>
          <cell r="C20"/>
          <cell r="D20"/>
          <cell r="E20"/>
          <cell r="F20"/>
          <cell r="G20"/>
          <cell r="H20"/>
          <cell r="I20"/>
          <cell r="R20">
            <v>3</v>
          </cell>
          <cell r="S20">
            <v>1</v>
          </cell>
          <cell r="T20">
            <v>0</v>
          </cell>
          <cell r="U20">
            <v>0</v>
          </cell>
          <cell r="V20">
            <v>0</v>
          </cell>
          <cell r="W20">
            <v>1</v>
          </cell>
          <cell r="X20">
            <v>0</v>
          </cell>
          <cell r="Y20">
            <v>0</v>
          </cell>
        </row>
        <row r="21">
          <cell r="B21"/>
          <cell r="C21"/>
          <cell r="D21"/>
          <cell r="E21"/>
          <cell r="F21"/>
          <cell r="G21"/>
          <cell r="H21"/>
          <cell r="I21"/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B22"/>
          <cell r="C22"/>
          <cell r="D22"/>
          <cell r="E22"/>
          <cell r="F22"/>
          <cell r="G22"/>
          <cell r="H22"/>
          <cell r="I22"/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B23"/>
          <cell r="C23"/>
          <cell r="D23"/>
          <cell r="E23"/>
          <cell r="F23"/>
          <cell r="G23"/>
          <cell r="H23"/>
          <cell r="I23"/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B24"/>
          <cell r="C24"/>
          <cell r="D24"/>
          <cell r="E24"/>
          <cell r="F24"/>
          <cell r="G24"/>
          <cell r="H24"/>
          <cell r="I24"/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B25"/>
          <cell r="C25"/>
          <cell r="D25"/>
          <cell r="E25"/>
          <cell r="F25"/>
          <cell r="G25"/>
          <cell r="H25"/>
          <cell r="I25"/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B26"/>
          <cell r="C26"/>
          <cell r="D26"/>
          <cell r="E26"/>
          <cell r="F26"/>
          <cell r="G26"/>
          <cell r="H26"/>
          <cell r="I26"/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B27"/>
          <cell r="C27"/>
          <cell r="D27"/>
          <cell r="E27"/>
          <cell r="F27"/>
          <cell r="G27"/>
          <cell r="H27"/>
          <cell r="I27"/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B28"/>
          <cell r="C28"/>
          <cell r="D28"/>
          <cell r="E28"/>
          <cell r="F28"/>
          <cell r="G28"/>
          <cell r="H28"/>
          <cell r="I28"/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B29"/>
          <cell r="C29"/>
          <cell r="D29"/>
          <cell r="E29"/>
          <cell r="F29"/>
          <cell r="G29"/>
          <cell r="H29"/>
          <cell r="I29"/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B30"/>
          <cell r="C30"/>
          <cell r="D30"/>
          <cell r="E30"/>
          <cell r="F30"/>
          <cell r="G30"/>
          <cell r="H30"/>
          <cell r="I30"/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B31"/>
          <cell r="C31"/>
          <cell r="D31"/>
          <cell r="E31"/>
          <cell r="F31"/>
          <cell r="G31"/>
          <cell r="H31"/>
          <cell r="I31"/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B32"/>
          <cell r="C32"/>
          <cell r="D32"/>
          <cell r="E32"/>
          <cell r="F32"/>
          <cell r="G32"/>
          <cell r="H32"/>
          <cell r="I32"/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B33"/>
          <cell r="C33"/>
          <cell r="D33"/>
          <cell r="E33"/>
          <cell r="F33"/>
          <cell r="G33"/>
          <cell r="H33"/>
          <cell r="I33"/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B34"/>
          <cell r="C34"/>
          <cell r="D34"/>
          <cell r="E34"/>
          <cell r="F34"/>
          <cell r="G34"/>
          <cell r="H34"/>
          <cell r="I34"/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B35">
            <v>0</v>
          </cell>
          <cell r="C35">
            <v>1</v>
          </cell>
          <cell r="D35"/>
          <cell r="E35"/>
          <cell r="F35"/>
          <cell r="G35"/>
          <cell r="H35">
            <v>3</v>
          </cell>
          <cell r="I35">
            <v>1</v>
          </cell>
          <cell r="R35">
            <v>4</v>
          </cell>
          <cell r="S35">
            <v>4</v>
          </cell>
          <cell r="T35">
            <v>0</v>
          </cell>
          <cell r="U35">
            <v>1</v>
          </cell>
          <cell r="V35">
            <v>0</v>
          </cell>
          <cell r="W35">
            <v>1</v>
          </cell>
          <cell r="X35">
            <v>5</v>
          </cell>
          <cell r="Y35">
            <v>8</v>
          </cell>
        </row>
        <row r="36">
          <cell r="B36"/>
          <cell r="C36"/>
          <cell r="D36"/>
          <cell r="E36"/>
          <cell r="F36"/>
          <cell r="G36"/>
          <cell r="H36"/>
          <cell r="I36"/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B37"/>
          <cell r="C37"/>
          <cell r="D37"/>
          <cell r="E37"/>
          <cell r="F37"/>
          <cell r="G37"/>
          <cell r="H37"/>
          <cell r="I37"/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B38"/>
          <cell r="C38"/>
          <cell r="D38"/>
          <cell r="E38"/>
          <cell r="F38"/>
          <cell r="G38"/>
          <cell r="H38"/>
          <cell r="I38"/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B39"/>
          <cell r="C39"/>
          <cell r="D39"/>
          <cell r="E39"/>
          <cell r="F39"/>
          <cell r="G39"/>
          <cell r="H39"/>
          <cell r="I39"/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B40"/>
          <cell r="C40"/>
          <cell r="D40">
            <v>1</v>
          </cell>
          <cell r="E40">
            <v>0</v>
          </cell>
          <cell r="F40">
            <v>2</v>
          </cell>
          <cell r="G40">
            <v>2</v>
          </cell>
          <cell r="H40">
            <v>29</v>
          </cell>
          <cell r="I40">
            <v>58</v>
          </cell>
          <cell r="R40">
            <v>0</v>
          </cell>
          <cell r="S40">
            <v>0</v>
          </cell>
          <cell r="T40">
            <v>1</v>
          </cell>
          <cell r="U40">
            <v>0</v>
          </cell>
          <cell r="V40">
            <v>2</v>
          </cell>
          <cell r="W40">
            <v>2</v>
          </cell>
          <cell r="X40">
            <v>30</v>
          </cell>
          <cell r="Y40">
            <v>58</v>
          </cell>
        </row>
        <row r="41">
          <cell r="B41"/>
          <cell r="C41"/>
          <cell r="D41"/>
          <cell r="E41"/>
          <cell r="F41"/>
          <cell r="G41"/>
          <cell r="H41"/>
          <cell r="I41"/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</row>
        <row r="42">
          <cell r="B42"/>
          <cell r="C42"/>
          <cell r="D42"/>
          <cell r="E42"/>
          <cell r="F42"/>
          <cell r="G42"/>
          <cell r="H42"/>
          <cell r="I42"/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</row>
        <row r="43">
          <cell r="B43"/>
          <cell r="C43"/>
          <cell r="D43"/>
          <cell r="E43"/>
          <cell r="F43"/>
          <cell r="G43"/>
          <cell r="H43"/>
          <cell r="I43"/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</row>
        <row r="44">
          <cell r="B44"/>
          <cell r="C44"/>
          <cell r="D44"/>
          <cell r="E44"/>
          <cell r="F44"/>
          <cell r="G44"/>
          <cell r="H44"/>
          <cell r="I44"/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</row>
        <row r="45">
          <cell r="B45"/>
          <cell r="C45"/>
          <cell r="D45"/>
          <cell r="E45"/>
          <cell r="F45"/>
          <cell r="G45"/>
          <cell r="H45"/>
          <cell r="I45"/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</row>
        <row r="46">
          <cell r="B46"/>
          <cell r="C46"/>
          <cell r="D46"/>
          <cell r="E46"/>
          <cell r="F46"/>
          <cell r="G46"/>
          <cell r="H46"/>
          <cell r="I46"/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B47"/>
          <cell r="C47"/>
          <cell r="D47"/>
          <cell r="E47"/>
          <cell r="F47"/>
          <cell r="G47"/>
          <cell r="H47"/>
          <cell r="I47"/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B48"/>
          <cell r="C48"/>
          <cell r="D48"/>
          <cell r="E48"/>
          <cell r="F48"/>
          <cell r="G48"/>
          <cell r="H48"/>
          <cell r="I48"/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B49"/>
          <cell r="C49"/>
          <cell r="D49"/>
          <cell r="E49"/>
          <cell r="F49"/>
          <cell r="G49"/>
          <cell r="H49"/>
          <cell r="I49"/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B50"/>
          <cell r="C50"/>
          <cell r="D50"/>
          <cell r="E50"/>
          <cell r="F50"/>
          <cell r="G50"/>
          <cell r="H50"/>
          <cell r="I50"/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1">
          <cell r="B51"/>
          <cell r="C51"/>
          <cell r="D51"/>
          <cell r="E51"/>
          <cell r="F51"/>
          <cell r="G51"/>
          <cell r="H51"/>
          <cell r="I51"/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B52"/>
          <cell r="C52"/>
          <cell r="D52"/>
          <cell r="E52"/>
          <cell r="F52"/>
          <cell r="G52"/>
          <cell r="H52"/>
          <cell r="I52"/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B53"/>
          <cell r="C53"/>
          <cell r="D53"/>
          <cell r="E53"/>
          <cell r="F53"/>
          <cell r="G53"/>
          <cell r="H53"/>
          <cell r="I53"/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B54"/>
          <cell r="C54"/>
          <cell r="D54"/>
          <cell r="E54"/>
          <cell r="F54"/>
          <cell r="G54"/>
          <cell r="H54"/>
          <cell r="I54"/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B55"/>
          <cell r="C55"/>
          <cell r="D55"/>
          <cell r="E55"/>
          <cell r="F55"/>
          <cell r="G55"/>
          <cell r="H55"/>
          <cell r="I55"/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B56"/>
          <cell r="C56"/>
          <cell r="D56"/>
          <cell r="E56"/>
          <cell r="F56"/>
          <cell r="G56"/>
          <cell r="H56"/>
          <cell r="I56"/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B57"/>
          <cell r="C57"/>
          <cell r="D57"/>
          <cell r="E57"/>
          <cell r="F57"/>
          <cell r="G57"/>
          <cell r="H57"/>
          <cell r="I57"/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B58"/>
          <cell r="C58"/>
          <cell r="D58"/>
          <cell r="E58"/>
          <cell r="F58"/>
          <cell r="G58"/>
          <cell r="H58"/>
          <cell r="I58"/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</row>
        <row r="59">
          <cell r="B59"/>
          <cell r="C59"/>
          <cell r="D59"/>
          <cell r="E59"/>
          <cell r="F59"/>
          <cell r="G59"/>
          <cell r="H59"/>
          <cell r="I59"/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B60"/>
          <cell r="C60"/>
          <cell r="D60"/>
          <cell r="E60"/>
          <cell r="F60"/>
          <cell r="G60"/>
          <cell r="H60"/>
          <cell r="I60"/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B61"/>
          <cell r="C61"/>
          <cell r="D61"/>
          <cell r="E61"/>
          <cell r="F61"/>
          <cell r="G61"/>
          <cell r="H61"/>
          <cell r="I61"/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</row>
        <row r="62">
          <cell r="B62"/>
          <cell r="C62"/>
          <cell r="D62"/>
          <cell r="E62"/>
          <cell r="F62"/>
          <cell r="G62"/>
          <cell r="H62"/>
          <cell r="I62"/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B63"/>
          <cell r="C63"/>
          <cell r="D63"/>
          <cell r="E63"/>
          <cell r="F63"/>
          <cell r="G63"/>
          <cell r="H63"/>
          <cell r="I63"/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B64"/>
          <cell r="C64"/>
          <cell r="D64"/>
          <cell r="E64"/>
          <cell r="F64"/>
          <cell r="G64"/>
          <cell r="H64"/>
          <cell r="I64"/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B65"/>
          <cell r="C65"/>
          <cell r="D65"/>
          <cell r="E65"/>
          <cell r="F65"/>
          <cell r="G65"/>
          <cell r="H65"/>
          <cell r="I65"/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B66"/>
          <cell r="C66"/>
          <cell r="D66"/>
          <cell r="E66"/>
          <cell r="F66"/>
          <cell r="G66"/>
          <cell r="H66"/>
          <cell r="I66"/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</row>
        <row r="67">
          <cell r="B67"/>
          <cell r="C67"/>
          <cell r="D67"/>
          <cell r="E67"/>
          <cell r="F67"/>
          <cell r="G67"/>
          <cell r="H67"/>
          <cell r="I67"/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</sheetData>
      <sheetData sheetId="23"/>
      <sheetData sheetId="24"/>
      <sheetData sheetId="25">
        <row r="35">
          <cell r="B35">
            <v>0</v>
          </cell>
          <cell r="V35"/>
          <cell r="W35"/>
          <cell r="Z35">
            <v>0</v>
          </cell>
          <cell r="AA35"/>
          <cell r="AB35"/>
          <cell r="AE35">
            <v>0</v>
          </cell>
        </row>
        <row r="36">
          <cell r="B36">
            <v>1</v>
          </cell>
          <cell r="V36">
            <v>0</v>
          </cell>
          <cell r="W36">
            <v>0</v>
          </cell>
          <cell r="Z36">
            <v>0</v>
          </cell>
          <cell r="AA36">
            <v>0</v>
          </cell>
          <cell r="AB36">
            <v>0</v>
          </cell>
          <cell r="AE36">
            <v>0</v>
          </cell>
        </row>
        <row r="37">
          <cell r="B37">
            <v>0</v>
          </cell>
          <cell r="V37"/>
          <cell r="W37"/>
          <cell r="Z37">
            <v>0</v>
          </cell>
          <cell r="AA37"/>
          <cell r="AB37"/>
          <cell r="AE37">
            <v>0</v>
          </cell>
        </row>
        <row r="38">
          <cell r="B38">
            <v>0</v>
          </cell>
          <cell r="V38"/>
          <cell r="W38"/>
          <cell r="Z38">
            <v>0</v>
          </cell>
          <cell r="AA38"/>
          <cell r="AB38"/>
          <cell r="AE38">
            <v>0</v>
          </cell>
        </row>
        <row r="39">
          <cell r="B39">
            <v>0</v>
          </cell>
          <cell r="V39"/>
          <cell r="W39"/>
          <cell r="Z39">
            <v>0</v>
          </cell>
          <cell r="AA39"/>
          <cell r="AB39"/>
          <cell r="AE39">
            <v>0</v>
          </cell>
        </row>
        <row r="40">
          <cell r="B40">
            <v>0</v>
          </cell>
          <cell r="V40"/>
          <cell r="W40"/>
          <cell r="Z40">
            <v>0</v>
          </cell>
          <cell r="AA40"/>
          <cell r="AB40"/>
          <cell r="AE40">
            <v>0</v>
          </cell>
        </row>
        <row r="41">
          <cell r="B41">
            <v>1</v>
          </cell>
          <cell r="V41">
            <v>0</v>
          </cell>
          <cell r="W41">
            <v>0</v>
          </cell>
          <cell r="Z41">
            <v>0</v>
          </cell>
          <cell r="AA41"/>
          <cell r="AB41"/>
          <cell r="AE41">
            <v>0</v>
          </cell>
        </row>
        <row r="42">
          <cell r="B42">
            <v>2</v>
          </cell>
          <cell r="V42">
            <v>0</v>
          </cell>
          <cell r="W42">
            <v>0</v>
          </cell>
          <cell r="Z42">
            <v>0</v>
          </cell>
          <cell r="AA42"/>
          <cell r="AB42"/>
          <cell r="AE42">
            <v>0</v>
          </cell>
        </row>
        <row r="43">
          <cell r="B43">
            <v>0</v>
          </cell>
          <cell r="V43"/>
          <cell r="W43"/>
          <cell r="Z43">
            <v>0</v>
          </cell>
          <cell r="AA43"/>
          <cell r="AB43"/>
          <cell r="AE43">
            <v>0</v>
          </cell>
        </row>
        <row r="44">
          <cell r="B44">
            <v>0</v>
          </cell>
          <cell r="V44"/>
          <cell r="W44"/>
          <cell r="Z44">
            <v>0</v>
          </cell>
          <cell r="AA44"/>
          <cell r="AB44"/>
          <cell r="AE44">
            <v>0</v>
          </cell>
        </row>
        <row r="45">
          <cell r="B45">
            <v>0</v>
          </cell>
          <cell r="V45"/>
          <cell r="W45"/>
          <cell r="Z45">
            <v>0</v>
          </cell>
          <cell r="AA45"/>
          <cell r="AB45"/>
          <cell r="AE45">
            <v>0</v>
          </cell>
        </row>
        <row r="46">
          <cell r="B46">
            <v>0</v>
          </cell>
          <cell r="V46"/>
          <cell r="W46"/>
          <cell r="Z46">
            <v>0</v>
          </cell>
          <cell r="AA46"/>
          <cell r="AB46"/>
          <cell r="AE46">
            <v>0</v>
          </cell>
        </row>
        <row r="47">
          <cell r="B47">
            <v>0</v>
          </cell>
          <cell r="V47"/>
          <cell r="W47"/>
          <cell r="Z47">
            <v>0</v>
          </cell>
          <cell r="AA47"/>
          <cell r="AB47"/>
          <cell r="AE47">
            <v>0</v>
          </cell>
        </row>
        <row r="48">
          <cell r="B48">
            <v>0</v>
          </cell>
          <cell r="V48"/>
          <cell r="W48"/>
          <cell r="Z48">
            <v>0</v>
          </cell>
          <cell r="AA48"/>
          <cell r="AB48"/>
          <cell r="AE48">
            <v>0</v>
          </cell>
        </row>
        <row r="49">
          <cell r="B49">
            <v>0</v>
          </cell>
          <cell r="V49"/>
          <cell r="W49"/>
          <cell r="Z49">
            <v>0</v>
          </cell>
          <cell r="AA49"/>
          <cell r="AB49"/>
          <cell r="AE49">
            <v>0</v>
          </cell>
        </row>
        <row r="50">
          <cell r="B50">
            <v>0</v>
          </cell>
          <cell r="V50"/>
          <cell r="W50"/>
          <cell r="Z50">
            <v>0</v>
          </cell>
          <cell r="AA50"/>
          <cell r="AB50"/>
          <cell r="AE50">
            <v>0</v>
          </cell>
        </row>
        <row r="51">
          <cell r="B51">
            <v>0</v>
          </cell>
          <cell r="V51"/>
          <cell r="W51"/>
          <cell r="Z51">
            <v>0</v>
          </cell>
          <cell r="AA51"/>
          <cell r="AB51"/>
          <cell r="AE51">
            <v>0</v>
          </cell>
        </row>
        <row r="52">
          <cell r="B52">
            <v>0</v>
          </cell>
          <cell r="V52"/>
          <cell r="W52"/>
          <cell r="Z52">
            <v>0</v>
          </cell>
          <cell r="AA52"/>
          <cell r="AB52"/>
          <cell r="AE52">
            <v>0</v>
          </cell>
        </row>
        <row r="53">
          <cell r="B53">
            <v>0</v>
          </cell>
          <cell r="V53"/>
          <cell r="W53"/>
          <cell r="Z53">
            <v>0</v>
          </cell>
          <cell r="AA53"/>
          <cell r="AB53"/>
          <cell r="AE53">
            <v>0</v>
          </cell>
        </row>
        <row r="54">
          <cell r="B54">
            <v>0</v>
          </cell>
          <cell r="V54"/>
          <cell r="W54"/>
          <cell r="Z54">
            <v>0</v>
          </cell>
          <cell r="AA54"/>
          <cell r="AB54"/>
          <cell r="AE54">
            <v>0</v>
          </cell>
        </row>
        <row r="55">
          <cell r="B55">
            <v>0</v>
          </cell>
          <cell r="V55"/>
          <cell r="W55"/>
          <cell r="Z55">
            <v>0</v>
          </cell>
          <cell r="AA55"/>
          <cell r="AB55"/>
          <cell r="AE55">
            <v>0</v>
          </cell>
        </row>
        <row r="56">
          <cell r="B56">
            <v>0</v>
          </cell>
          <cell r="V56"/>
          <cell r="W56"/>
          <cell r="Z56">
            <v>0</v>
          </cell>
          <cell r="AA56"/>
          <cell r="AB56"/>
          <cell r="AE56">
            <v>0</v>
          </cell>
        </row>
        <row r="57">
          <cell r="B57">
            <v>0</v>
          </cell>
          <cell r="V57"/>
          <cell r="W57"/>
          <cell r="Z57">
            <v>0</v>
          </cell>
          <cell r="AA57"/>
          <cell r="AB57"/>
          <cell r="AE57">
            <v>0</v>
          </cell>
        </row>
        <row r="58">
          <cell r="B58">
            <v>0</v>
          </cell>
          <cell r="V58"/>
          <cell r="W58"/>
          <cell r="Z58">
            <v>0</v>
          </cell>
          <cell r="AA58"/>
          <cell r="AB58"/>
          <cell r="AE58">
            <v>0</v>
          </cell>
        </row>
        <row r="59">
          <cell r="B59">
            <v>0</v>
          </cell>
          <cell r="V59"/>
          <cell r="W59"/>
          <cell r="Z59">
            <v>0</v>
          </cell>
          <cell r="AA59"/>
          <cell r="AB59"/>
          <cell r="AE59">
            <v>0</v>
          </cell>
        </row>
        <row r="60">
          <cell r="B60">
            <v>0</v>
          </cell>
          <cell r="V60"/>
          <cell r="W60"/>
          <cell r="Z60">
            <v>0</v>
          </cell>
          <cell r="AA60"/>
          <cell r="AB60"/>
          <cell r="AE60">
            <v>0</v>
          </cell>
        </row>
        <row r="61">
          <cell r="B61">
            <v>0</v>
          </cell>
          <cell r="V61"/>
          <cell r="W61"/>
          <cell r="Z61">
            <v>0</v>
          </cell>
          <cell r="AA61"/>
          <cell r="AB61"/>
          <cell r="AE61">
            <v>0</v>
          </cell>
        </row>
        <row r="62">
          <cell r="B62">
            <v>2</v>
          </cell>
          <cell r="V62">
            <v>0</v>
          </cell>
          <cell r="W62">
            <v>0</v>
          </cell>
          <cell r="Z62">
            <v>0</v>
          </cell>
          <cell r="AA62"/>
          <cell r="AB62"/>
          <cell r="AE62">
            <v>0</v>
          </cell>
        </row>
        <row r="63">
          <cell r="B63">
            <v>0</v>
          </cell>
          <cell r="V63"/>
          <cell r="W63"/>
          <cell r="Z63">
            <v>0</v>
          </cell>
          <cell r="AA63"/>
          <cell r="AB63"/>
          <cell r="AE63">
            <v>0</v>
          </cell>
        </row>
        <row r="64">
          <cell r="B64">
            <v>0</v>
          </cell>
          <cell r="V64"/>
          <cell r="W64"/>
          <cell r="Z64">
            <v>0</v>
          </cell>
          <cell r="AA64"/>
          <cell r="AB64"/>
          <cell r="AE64">
            <v>0</v>
          </cell>
        </row>
        <row r="65">
          <cell r="B65">
            <v>0</v>
          </cell>
          <cell r="V65"/>
          <cell r="W65"/>
          <cell r="Z65">
            <v>0</v>
          </cell>
          <cell r="AA65"/>
          <cell r="AB65"/>
          <cell r="AE65">
            <v>0</v>
          </cell>
        </row>
        <row r="66">
          <cell r="B66">
            <v>0</v>
          </cell>
          <cell r="V66"/>
          <cell r="W66"/>
          <cell r="Z66">
            <v>0</v>
          </cell>
          <cell r="AA66"/>
          <cell r="AB66"/>
          <cell r="AE66">
            <v>0</v>
          </cell>
        </row>
        <row r="67">
          <cell r="B67">
            <v>9</v>
          </cell>
          <cell r="V67">
            <v>0</v>
          </cell>
          <cell r="W67">
            <v>0</v>
          </cell>
          <cell r="Z67">
            <v>0</v>
          </cell>
          <cell r="AA67"/>
          <cell r="AB67"/>
          <cell r="AE67">
            <v>0</v>
          </cell>
        </row>
        <row r="68">
          <cell r="B68">
            <v>0</v>
          </cell>
          <cell r="V68"/>
          <cell r="W68"/>
          <cell r="Z68">
            <v>0</v>
          </cell>
          <cell r="AA68"/>
          <cell r="AB68"/>
          <cell r="AE68">
            <v>0</v>
          </cell>
        </row>
        <row r="69">
          <cell r="B69">
            <v>0</v>
          </cell>
          <cell r="V69"/>
          <cell r="W69"/>
          <cell r="Z69">
            <v>0</v>
          </cell>
          <cell r="AA69"/>
          <cell r="AB69"/>
          <cell r="AE69">
            <v>0</v>
          </cell>
        </row>
        <row r="70">
          <cell r="B70">
            <v>0</v>
          </cell>
          <cell r="V70"/>
          <cell r="W70"/>
          <cell r="Z70">
            <v>0</v>
          </cell>
          <cell r="AA70"/>
          <cell r="AB70"/>
          <cell r="AE70">
            <v>0</v>
          </cell>
        </row>
        <row r="71">
          <cell r="B71">
            <v>0</v>
          </cell>
          <cell r="V71"/>
          <cell r="W71"/>
          <cell r="Z71">
            <v>0</v>
          </cell>
          <cell r="AA71"/>
          <cell r="AB71"/>
          <cell r="AE71">
            <v>0</v>
          </cell>
        </row>
        <row r="72">
          <cell r="B72">
            <v>0</v>
          </cell>
          <cell r="V72"/>
          <cell r="W72"/>
          <cell r="Z72">
            <v>0</v>
          </cell>
          <cell r="AA72"/>
          <cell r="AB72"/>
          <cell r="AE72">
            <v>0</v>
          </cell>
        </row>
        <row r="73">
          <cell r="B73">
            <v>0</v>
          </cell>
          <cell r="V73"/>
          <cell r="W73"/>
          <cell r="Z73">
            <v>0</v>
          </cell>
          <cell r="AA73"/>
          <cell r="AB73"/>
          <cell r="AE73">
            <v>0</v>
          </cell>
        </row>
        <row r="74">
          <cell r="B74">
            <v>0</v>
          </cell>
          <cell r="W74"/>
          <cell r="Z74">
            <v>0</v>
          </cell>
          <cell r="AA74"/>
          <cell r="AB74"/>
          <cell r="AE74">
            <v>0</v>
          </cell>
          <cell r="AH74"/>
        </row>
        <row r="75">
          <cell r="B75">
            <v>0</v>
          </cell>
          <cell r="V75"/>
          <cell r="W75"/>
          <cell r="Z75">
            <v>0</v>
          </cell>
          <cell r="AA75"/>
          <cell r="AB75"/>
          <cell r="AE75">
            <v>0</v>
          </cell>
        </row>
        <row r="76">
          <cell r="B76">
            <v>0</v>
          </cell>
          <cell r="V76"/>
          <cell r="W76"/>
          <cell r="Z76">
            <v>0</v>
          </cell>
          <cell r="AA76"/>
          <cell r="AB76"/>
          <cell r="AE76">
            <v>0</v>
          </cell>
        </row>
        <row r="77">
          <cell r="B77">
            <v>1</v>
          </cell>
          <cell r="V77">
            <v>0</v>
          </cell>
          <cell r="W77">
            <v>0</v>
          </cell>
          <cell r="Z77">
            <v>0</v>
          </cell>
          <cell r="AA77"/>
          <cell r="AB77"/>
          <cell r="AE77">
            <v>0</v>
          </cell>
        </row>
        <row r="78">
          <cell r="B78">
            <v>1</v>
          </cell>
          <cell r="V78">
            <v>0</v>
          </cell>
          <cell r="W78">
            <v>0</v>
          </cell>
          <cell r="Z78">
            <v>0</v>
          </cell>
          <cell r="AA78"/>
          <cell r="AB78"/>
          <cell r="AE78">
            <v>0</v>
          </cell>
        </row>
        <row r="79">
          <cell r="B79">
            <v>0</v>
          </cell>
          <cell r="V79"/>
          <cell r="W79"/>
          <cell r="Z79">
            <v>0</v>
          </cell>
          <cell r="AA79"/>
          <cell r="AB79"/>
          <cell r="AE79">
            <v>0</v>
          </cell>
        </row>
        <row r="80">
          <cell r="B80">
            <v>0</v>
          </cell>
          <cell r="V80"/>
          <cell r="W80"/>
          <cell r="Z80">
            <v>0</v>
          </cell>
          <cell r="AA80"/>
          <cell r="AB80"/>
          <cell r="AE80">
            <v>0</v>
          </cell>
        </row>
        <row r="81">
          <cell r="B81">
            <v>0</v>
          </cell>
          <cell r="V81"/>
          <cell r="W81"/>
          <cell r="Z81">
            <v>0</v>
          </cell>
          <cell r="AA81"/>
          <cell r="AB81"/>
          <cell r="AE81">
            <v>0</v>
          </cell>
        </row>
        <row r="82">
          <cell r="B82">
            <v>1</v>
          </cell>
          <cell r="V82">
            <v>0</v>
          </cell>
          <cell r="W82">
            <v>0</v>
          </cell>
          <cell r="Z82">
            <v>0</v>
          </cell>
          <cell r="AA82"/>
          <cell r="AB82"/>
          <cell r="AE82">
            <v>0</v>
          </cell>
        </row>
        <row r="83">
          <cell r="B83">
            <v>0</v>
          </cell>
          <cell r="V83"/>
          <cell r="W83"/>
          <cell r="Z83">
            <v>0</v>
          </cell>
          <cell r="AA83"/>
          <cell r="AB83"/>
          <cell r="AE83">
            <v>0</v>
          </cell>
        </row>
        <row r="84">
          <cell r="B84">
            <v>37</v>
          </cell>
          <cell r="V84">
            <v>0</v>
          </cell>
          <cell r="W84">
            <v>0</v>
          </cell>
          <cell r="Z84">
            <v>0</v>
          </cell>
          <cell r="AA84"/>
          <cell r="AB84"/>
          <cell r="AE84">
            <v>0</v>
          </cell>
        </row>
        <row r="85">
          <cell r="B85">
            <v>0</v>
          </cell>
          <cell r="V85"/>
          <cell r="W85"/>
          <cell r="Z85">
            <v>0</v>
          </cell>
          <cell r="AA85"/>
          <cell r="AB85"/>
          <cell r="AE85">
            <v>0</v>
          </cell>
        </row>
        <row r="86">
          <cell r="B86">
            <v>0</v>
          </cell>
          <cell r="V86"/>
          <cell r="W86"/>
          <cell r="Z86">
            <v>0</v>
          </cell>
          <cell r="AA86"/>
          <cell r="AB86"/>
          <cell r="AE86">
            <v>0</v>
          </cell>
        </row>
        <row r="87">
          <cell r="B87">
            <v>0</v>
          </cell>
          <cell r="V87"/>
          <cell r="W87"/>
          <cell r="Z87">
            <v>0</v>
          </cell>
          <cell r="AA87"/>
          <cell r="AB87"/>
          <cell r="AE87">
            <v>0</v>
          </cell>
        </row>
        <row r="88">
          <cell r="B88">
            <v>0</v>
          </cell>
          <cell r="V88"/>
          <cell r="W88"/>
          <cell r="Z88">
            <v>0</v>
          </cell>
          <cell r="AA88"/>
          <cell r="AB88"/>
          <cell r="AE88">
            <v>0</v>
          </cell>
        </row>
        <row r="89">
          <cell r="B89">
            <v>0</v>
          </cell>
          <cell r="V89"/>
          <cell r="W89"/>
          <cell r="Z89">
            <v>0</v>
          </cell>
          <cell r="AA89"/>
          <cell r="AB89"/>
          <cell r="AE89">
            <v>0</v>
          </cell>
        </row>
      </sheetData>
      <sheetData sheetId="26"/>
      <sheetData sheetId="27"/>
      <sheetData sheetId="28"/>
      <sheetData sheetId="2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BRE"/>
      <sheetName val="A01"/>
      <sheetName val="A02"/>
      <sheetName val="A03"/>
      <sheetName val="A04"/>
      <sheetName val="A05"/>
      <sheetName val="A06"/>
      <sheetName val="A07"/>
      <sheetName val="A08"/>
      <sheetName val="A09"/>
      <sheetName val="A11"/>
      <sheetName val="A11a"/>
      <sheetName val="A19a"/>
      <sheetName val="A19b"/>
      <sheetName val="A21"/>
      <sheetName val="A23"/>
      <sheetName val="A24"/>
      <sheetName val="A25"/>
      <sheetName val="A26"/>
      <sheetName val="A27"/>
      <sheetName val="A28"/>
      <sheetName val="A29"/>
      <sheetName val="A30"/>
      <sheetName val="A30AR"/>
      <sheetName val="A31"/>
      <sheetName val="A32"/>
      <sheetName val="A33"/>
      <sheetName val="A34"/>
      <sheetName val="Control"/>
      <sheetName val="MAC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1">
          <cell r="V71">
            <v>50</v>
          </cell>
          <cell r="W71">
            <v>34</v>
          </cell>
        </row>
        <row r="72">
          <cell r="V72">
            <v>43</v>
          </cell>
          <cell r="W72">
            <v>245</v>
          </cell>
        </row>
        <row r="73">
          <cell r="V73"/>
          <cell r="W73"/>
        </row>
        <row r="74">
          <cell r="V74"/>
          <cell r="W74"/>
        </row>
        <row r="75">
          <cell r="V75"/>
          <cell r="W75"/>
        </row>
        <row r="76">
          <cell r="V76">
            <v>0</v>
          </cell>
          <cell r="W76">
            <v>5</v>
          </cell>
        </row>
        <row r="77">
          <cell r="V77">
            <v>6</v>
          </cell>
          <cell r="W77"/>
        </row>
        <row r="78">
          <cell r="V78">
            <v>1</v>
          </cell>
          <cell r="W78">
            <v>21</v>
          </cell>
        </row>
        <row r="79">
          <cell r="V79"/>
          <cell r="W79"/>
        </row>
        <row r="80">
          <cell r="V80"/>
          <cell r="W80"/>
        </row>
        <row r="81">
          <cell r="V81">
            <v>0</v>
          </cell>
          <cell r="W81"/>
        </row>
        <row r="82">
          <cell r="V82"/>
          <cell r="W82"/>
        </row>
        <row r="83">
          <cell r="V83"/>
          <cell r="W83"/>
        </row>
        <row r="84">
          <cell r="V84"/>
          <cell r="W84"/>
        </row>
        <row r="85">
          <cell r="V85"/>
          <cell r="W85"/>
        </row>
        <row r="86">
          <cell r="V86"/>
          <cell r="W86"/>
        </row>
        <row r="87">
          <cell r="V87"/>
          <cell r="W87"/>
        </row>
        <row r="88">
          <cell r="V88"/>
          <cell r="W88"/>
        </row>
        <row r="89">
          <cell r="V89"/>
          <cell r="W89"/>
        </row>
        <row r="90">
          <cell r="V90"/>
          <cell r="W90"/>
        </row>
        <row r="91">
          <cell r="V91"/>
          <cell r="W91"/>
        </row>
        <row r="92">
          <cell r="V92"/>
          <cell r="W92"/>
        </row>
        <row r="93">
          <cell r="V93">
            <v>3</v>
          </cell>
          <cell r="W93">
            <v>15</v>
          </cell>
        </row>
        <row r="94">
          <cell r="V94"/>
          <cell r="W94"/>
        </row>
        <row r="95">
          <cell r="V95"/>
          <cell r="W95"/>
        </row>
        <row r="96">
          <cell r="V96"/>
          <cell r="W96"/>
        </row>
        <row r="97">
          <cell r="V97">
            <v>6</v>
          </cell>
          <cell r="W97">
            <v>17</v>
          </cell>
        </row>
        <row r="98">
          <cell r="V98">
            <v>21</v>
          </cell>
          <cell r="W98">
            <v>67</v>
          </cell>
        </row>
        <row r="99">
          <cell r="V99"/>
          <cell r="W99"/>
        </row>
        <row r="100">
          <cell r="V100">
            <v>46</v>
          </cell>
          <cell r="W100">
            <v>48</v>
          </cell>
        </row>
        <row r="101">
          <cell r="V101">
            <v>61</v>
          </cell>
          <cell r="W101">
            <v>32</v>
          </cell>
        </row>
        <row r="102">
          <cell r="V102">
            <v>36</v>
          </cell>
          <cell r="W102"/>
        </row>
        <row r="103">
          <cell r="V103">
            <v>26</v>
          </cell>
          <cell r="W103"/>
        </row>
        <row r="104">
          <cell r="V104"/>
          <cell r="W104"/>
        </row>
        <row r="105">
          <cell r="V105"/>
          <cell r="W105"/>
        </row>
        <row r="106">
          <cell r="V106">
            <v>3</v>
          </cell>
          <cell r="W106"/>
        </row>
        <row r="107">
          <cell r="V107"/>
          <cell r="W107"/>
        </row>
        <row r="108">
          <cell r="V108"/>
          <cell r="W108"/>
        </row>
        <row r="109">
          <cell r="V109"/>
          <cell r="W109"/>
        </row>
        <row r="110">
          <cell r="V110"/>
          <cell r="W110"/>
        </row>
        <row r="111">
          <cell r="V111"/>
          <cell r="W111"/>
        </row>
        <row r="112">
          <cell r="V112"/>
          <cell r="W112"/>
        </row>
        <row r="113">
          <cell r="V113"/>
          <cell r="W113"/>
        </row>
        <row r="114">
          <cell r="V114">
            <v>43</v>
          </cell>
          <cell r="W114"/>
        </row>
        <row r="115">
          <cell r="V115"/>
          <cell r="W115"/>
        </row>
        <row r="116">
          <cell r="V116"/>
          <cell r="W116"/>
        </row>
        <row r="117">
          <cell r="V117">
            <v>15</v>
          </cell>
          <cell r="W117">
            <v>47</v>
          </cell>
        </row>
        <row r="118">
          <cell r="V118">
            <v>4</v>
          </cell>
          <cell r="W118"/>
        </row>
        <row r="119">
          <cell r="V119">
            <v>39</v>
          </cell>
          <cell r="W119">
            <v>1</v>
          </cell>
        </row>
        <row r="120">
          <cell r="V120">
            <v>14</v>
          </cell>
          <cell r="W120">
            <v>17</v>
          </cell>
        </row>
        <row r="121">
          <cell r="V121"/>
          <cell r="W121"/>
        </row>
        <row r="122">
          <cell r="V122"/>
          <cell r="W122"/>
        </row>
        <row r="123">
          <cell r="V123"/>
          <cell r="W123"/>
        </row>
        <row r="124">
          <cell r="V124"/>
          <cell r="W124"/>
        </row>
        <row r="125">
          <cell r="V125"/>
          <cell r="W125"/>
        </row>
      </sheetData>
      <sheetData sheetId="8">
        <row r="12">
          <cell r="B12">
            <v>2912</v>
          </cell>
          <cell r="AS12">
            <v>3903</v>
          </cell>
        </row>
        <row r="62">
          <cell r="B62">
            <v>291</v>
          </cell>
        </row>
        <row r="107">
          <cell r="C107">
            <v>118</v>
          </cell>
        </row>
        <row r="108">
          <cell r="C108">
            <v>52</v>
          </cell>
        </row>
        <row r="109">
          <cell r="C109">
            <v>66</v>
          </cell>
        </row>
        <row r="112">
          <cell r="C112">
            <v>106</v>
          </cell>
        </row>
      </sheetData>
      <sheetData sheetId="9"/>
      <sheetData sheetId="10"/>
      <sheetData sheetId="11"/>
      <sheetData sheetId="12"/>
      <sheetData sheetId="13"/>
      <sheetData sheetId="14">
        <row r="32">
          <cell r="C32">
            <v>66</v>
          </cell>
        </row>
        <row r="33">
          <cell r="C33">
            <v>585</v>
          </cell>
        </row>
        <row r="102">
          <cell r="F102">
            <v>33</v>
          </cell>
          <cell r="G102">
            <v>285</v>
          </cell>
          <cell r="H102">
            <v>2</v>
          </cell>
          <cell r="I102">
            <v>24</v>
          </cell>
        </row>
      </sheetData>
      <sheetData sheetId="15"/>
      <sheetData sheetId="16">
        <row r="13">
          <cell r="C13">
            <v>41</v>
          </cell>
        </row>
        <row r="14">
          <cell r="C14">
            <v>0</v>
          </cell>
        </row>
        <row r="15">
          <cell r="C15">
            <v>36</v>
          </cell>
        </row>
        <row r="16">
          <cell r="C16">
            <v>19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35">
          <cell r="AA35"/>
          <cell r="AB35"/>
        </row>
        <row r="36">
          <cell r="AA36"/>
          <cell r="AB36"/>
        </row>
        <row r="37">
          <cell r="AA37"/>
          <cell r="AB37"/>
        </row>
        <row r="38">
          <cell r="AA38"/>
          <cell r="AB38"/>
        </row>
        <row r="39">
          <cell r="AA39"/>
          <cell r="AB39"/>
        </row>
        <row r="40">
          <cell r="AA40"/>
          <cell r="AB40"/>
        </row>
        <row r="41">
          <cell r="AA41"/>
          <cell r="AB41"/>
        </row>
        <row r="42">
          <cell r="AA42"/>
          <cell r="AB42"/>
        </row>
        <row r="43">
          <cell r="AA43"/>
          <cell r="AB43"/>
        </row>
        <row r="44">
          <cell r="AA44"/>
          <cell r="AB44"/>
        </row>
        <row r="45">
          <cell r="AA45"/>
          <cell r="AB45"/>
        </row>
        <row r="46">
          <cell r="AA46"/>
          <cell r="AB46"/>
        </row>
        <row r="47">
          <cell r="AA47"/>
          <cell r="AB47"/>
        </row>
        <row r="48">
          <cell r="AA48"/>
          <cell r="AB48"/>
        </row>
        <row r="49">
          <cell r="AA49"/>
          <cell r="AB49"/>
        </row>
        <row r="50">
          <cell r="AA50"/>
          <cell r="AB50"/>
        </row>
        <row r="51">
          <cell r="AA51"/>
          <cell r="AB51"/>
        </row>
        <row r="52">
          <cell r="AA52"/>
          <cell r="AB52"/>
        </row>
        <row r="53">
          <cell r="AA53"/>
          <cell r="AB53"/>
        </row>
        <row r="54">
          <cell r="AA54"/>
          <cell r="AB54"/>
        </row>
        <row r="55">
          <cell r="AA55"/>
          <cell r="AB55"/>
        </row>
        <row r="56">
          <cell r="AA56"/>
          <cell r="AB56"/>
        </row>
        <row r="57">
          <cell r="AA57"/>
          <cell r="AB57"/>
        </row>
        <row r="58">
          <cell r="AA58"/>
          <cell r="AB58"/>
        </row>
        <row r="59">
          <cell r="AA59"/>
          <cell r="AB59"/>
        </row>
        <row r="60">
          <cell r="AA60"/>
          <cell r="AB60"/>
        </row>
        <row r="61">
          <cell r="AA61"/>
          <cell r="AB61"/>
        </row>
        <row r="62">
          <cell r="AA62"/>
          <cell r="AB62"/>
        </row>
        <row r="63">
          <cell r="AA63"/>
          <cell r="AB63"/>
        </row>
        <row r="64">
          <cell r="AA64"/>
          <cell r="AB64"/>
        </row>
        <row r="65">
          <cell r="AA65"/>
          <cell r="AB65"/>
        </row>
        <row r="66">
          <cell r="AA66"/>
          <cell r="AB66"/>
        </row>
        <row r="67">
          <cell r="AA67"/>
          <cell r="AB67"/>
        </row>
        <row r="68">
          <cell r="AA68"/>
          <cell r="AB68"/>
        </row>
        <row r="69">
          <cell r="AA69"/>
          <cell r="AB69"/>
        </row>
        <row r="70">
          <cell r="AA70"/>
          <cell r="AB70"/>
        </row>
        <row r="71">
          <cell r="AA71"/>
          <cell r="AB71"/>
        </row>
        <row r="72">
          <cell r="AA72"/>
          <cell r="AB72"/>
        </row>
        <row r="73">
          <cell r="AA73"/>
          <cell r="AB73"/>
        </row>
        <row r="74">
          <cell r="AA74"/>
          <cell r="AB74"/>
        </row>
        <row r="75">
          <cell r="AA75"/>
          <cell r="AB75"/>
        </row>
        <row r="76">
          <cell r="AA76"/>
          <cell r="AB76"/>
        </row>
        <row r="77">
          <cell r="AA77"/>
          <cell r="AB77"/>
        </row>
        <row r="78">
          <cell r="AA78"/>
          <cell r="AB78"/>
        </row>
        <row r="79">
          <cell r="AA79"/>
          <cell r="AB79"/>
        </row>
        <row r="80">
          <cell r="AA80"/>
          <cell r="AB80"/>
        </row>
        <row r="81">
          <cell r="AA81"/>
          <cell r="AB81"/>
        </row>
        <row r="82">
          <cell r="AA82"/>
          <cell r="AB82"/>
        </row>
        <row r="83">
          <cell r="AA83"/>
          <cell r="AB83"/>
        </row>
        <row r="84">
          <cell r="AA84"/>
          <cell r="AB84"/>
        </row>
        <row r="85">
          <cell r="AA85"/>
          <cell r="AB85"/>
        </row>
        <row r="86">
          <cell r="AA86"/>
          <cell r="AB86"/>
        </row>
        <row r="87">
          <cell r="AA87"/>
          <cell r="AB87"/>
        </row>
        <row r="88">
          <cell r="AA88"/>
          <cell r="AB88"/>
        </row>
        <row r="89">
          <cell r="AA89"/>
          <cell r="AB89"/>
        </row>
      </sheetData>
      <sheetData sheetId="26"/>
      <sheetData sheetId="27"/>
      <sheetData sheetId="28"/>
      <sheetData sheetId="2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BRE"/>
      <sheetName val="A01"/>
      <sheetName val="A02"/>
      <sheetName val="A03"/>
      <sheetName val="A04"/>
      <sheetName val="A05"/>
      <sheetName val="A06"/>
      <sheetName val="A07"/>
      <sheetName val="A08"/>
      <sheetName val="A09"/>
      <sheetName val="A11"/>
      <sheetName val="A11a"/>
      <sheetName val="A19a"/>
      <sheetName val="A19b"/>
      <sheetName val="A21"/>
      <sheetName val="A23"/>
      <sheetName val="A24"/>
      <sheetName val="A25"/>
      <sheetName val="A26"/>
      <sheetName val="A27"/>
      <sheetName val="A28"/>
      <sheetName val="A29"/>
      <sheetName val="A30"/>
      <sheetName val="A30AR"/>
      <sheetName val="A31"/>
      <sheetName val="A32"/>
      <sheetName val="A33"/>
      <sheetName val="A34"/>
      <sheetName val="Control"/>
      <sheetName val="MAC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2">
          <cell r="B12">
            <v>187</v>
          </cell>
          <cell r="X12">
            <v>62</v>
          </cell>
          <cell r="AB12">
            <v>0</v>
          </cell>
        </row>
        <row r="13">
          <cell r="B13">
            <v>714</v>
          </cell>
          <cell r="X13">
            <v>1</v>
          </cell>
          <cell r="AB13">
            <v>140</v>
          </cell>
        </row>
        <row r="14">
          <cell r="B14">
            <v>0</v>
          </cell>
          <cell r="X14">
            <v>0</v>
          </cell>
          <cell r="AB14">
            <v>0</v>
          </cell>
        </row>
        <row r="15">
          <cell r="B15">
            <v>0</v>
          </cell>
          <cell r="X15">
            <v>0</v>
          </cell>
          <cell r="AB15">
            <v>0</v>
          </cell>
        </row>
        <row r="16">
          <cell r="B16">
            <v>0</v>
          </cell>
          <cell r="X16">
            <v>0</v>
          </cell>
          <cell r="AB16">
            <v>0</v>
          </cell>
        </row>
        <row r="17">
          <cell r="B17">
            <v>9</v>
          </cell>
          <cell r="X17">
            <v>0</v>
          </cell>
          <cell r="AB17">
            <v>1</v>
          </cell>
        </row>
        <row r="18">
          <cell r="B18">
            <v>0</v>
          </cell>
          <cell r="X18">
            <v>0</v>
          </cell>
          <cell r="AB18">
            <v>0</v>
          </cell>
        </row>
        <row r="19">
          <cell r="B19">
            <v>72</v>
          </cell>
          <cell r="X19">
            <v>16</v>
          </cell>
          <cell r="AB19">
            <v>0</v>
          </cell>
        </row>
        <row r="20">
          <cell r="B20">
            <v>0</v>
          </cell>
          <cell r="X20">
            <v>0</v>
          </cell>
          <cell r="AB20">
            <v>0</v>
          </cell>
        </row>
        <row r="21">
          <cell r="B21">
            <v>0</v>
          </cell>
          <cell r="X21">
            <v>0</v>
          </cell>
          <cell r="AB21">
            <v>0</v>
          </cell>
        </row>
        <row r="22">
          <cell r="B22">
            <v>23</v>
          </cell>
          <cell r="X22">
            <v>0</v>
          </cell>
          <cell r="AB22">
            <v>6</v>
          </cell>
        </row>
        <row r="23">
          <cell r="B23">
            <v>0</v>
          </cell>
          <cell r="X23">
            <v>0</v>
          </cell>
          <cell r="AB23">
            <v>0</v>
          </cell>
        </row>
        <row r="24">
          <cell r="B24">
            <v>0</v>
          </cell>
          <cell r="X24">
            <v>0</v>
          </cell>
          <cell r="AB24">
            <v>0</v>
          </cell>
        </row>
        <row r="25">
          <cell r="B25">
            <v>0</v>
          </cell>
          <cell r="X25">
            <v>0</v>
          </cell>
          <cell r="AB25">
            <v>0</v>
          </cell>
        </row>
        <row r="26">
          <cell r="B26">
            <v>0</v>
          </cell>
          <cell r="X26">
            <v>0</v>
          </cell>
          <cell r="AB26">
            <v>0</v>
          </cell>
        </row>
        <row r="27">
          <cell r="B27">
            <v>0</v>
          </cell>
          <cell r="X27">
            <v>0</v>
          </cell>
          <cell r="AB27">
            <v>0</v>
          </cell>
        </row>
        <row r="28">
          <cell r="B28">
            <v>0</v>
          </cell>
          <cell r="X28">
            <v>0</v>
          </cell>
          <cell r="AB28">
            <v>0</v>
          </cell>
        </row>
        <row r="29">
          <cell r="B29">
            <v>0</v>
          </cell>
          <cell r="X29">
            <v>0</v>
          </cell>
          <cell r="AB29">
            <v>0</v>
          </cell>
        </row>
        <row r="30">
          <cell r="B30">
            <v>0</v>
          </cell>
          <cell r="X30">
            <v>0</v>
          </cell>
          <cell r="AB30">
            <v>0</v>
          </cell>
        </row>
        <row r="31">
          <cell r="B31">
            <v>0</v>
          </cell>
          <cell r="X31">
            <v>0</v>
          </cell>
          <cell r="AB31">
            <v>0</v>
          </cell>
        </row>
        <row r="32">
          <cell r="B32">
            <v>111</v>
          </cell>
          <cell r="X32">
            <v>7</v>
          </cell>
          <cell r="AB32">
            <v>27</v>
          </cell>
        </row>
        <row r="33">
          <cell r="B33">
            <v>0</v>
          </cell>
          <cell r="X33">
            <v>0</v>
          </cell>
          <cell r="AB33">
            <v>0</v>
          </cell>
        </row>
        <row r="34">
          <cell r="B34">
            <v>67</v>
          </cell>
          <cell r="X34">
            <v>5</v>
          </cell>
          <cell r="AB34">
            <v>8</v>
          </cell>
        </row>
        <row r="35">
          <cell r="B35">
            <v>0</v>
          </cell>
          <cell r="X35">
            <v>0</v>
          </cell>
          <cell r="AB35">
            <v>0</v>
          </cell>
        </row>
        <row r="36">
          <cell r="B36">
            <v>0</v>
          </cell>
          <cell r="X36">
            <v>0</v>
          </cell>
          <cell r="AB36">
            <v>0</v>
          </cell>
        </row>
        <row r="37">
          <cell r="B37">
            <v>0</v>
          </cell>
          <cell r="X37">
            <v>0</v>
          </cell>
          <cell r="AB37">
            <v>0</v>
          </cell>
        </row>
        <row r="38">
          <cell r="B38">
            <v>66</v>
          </cell>
          <cell r="X38">
            <v>13</v>
          </cell>
          <cell r="AB38">
            <v>0</v>
          </cell>
        </row>
        <row r="39">
          <cell r="B39">
            <v>421</v>
          </cell>
          <cell r="X39">
            <v>5</v>
          </cell>
          <cell r="AB39">
            <v>109</v>
          </cell>
        </row>
        <row r="40">
          <cell r="B40">
            <v>0</v>
          </cell>
          <cell r="X40">
            <v>0</v>
          </cell>
          <cell r="AB40">
            <v>0</v>
          </cell>
        </row>
        <row r="41">
          <cell r="B41">
            <v>274</v>
          </cell>
          <cell r="X41">
            <v>2</v>
          </cell>
          <cell r="AB41">
            <v>0</v>
          </cell>
        </row>
        <row r="42">
          <cell r="B42">
            <v>445</v>
          </cell>
          <cell r="X42">
            <v>0</v>
          </cell>
          <cell r="AB42">
            <v>12</v>
          </cell>
        </row>
        <row r="43">
          <cell r="B43">
            <v>133</v>
          </cell>
          <cell r="X43">
            <v>25</v>
          </cell>
          <cell r="AB43">
            <v>0</v>
          </cell>
        </row>
        <row r="44">
          <cell r="B44">
            <v>361</v>
          </cell>
          <cell r="X44">
            <v>3</v>
          </cell>
          <cell r="AB44">
            <v>151</v>
          </cell>
        </row>
        <row r="45">
          <cell r="B45">
            <v>33</v>
          </cell>
          <cell r="X45">
            <v>0</v>
          </cell>
          <cell r="AB45">
            <v>11</v>
          </cell>
        </row>
        <row r="46">
          <cell r="B46">
            <v>0</v>
          </cell>
          <cell r="X46">
            <v>0</v>
          </cell>
          <cell r="AB46">
            <v>0</v>
          </cell>
        </row>
        <row r="47">
          <cell r="B47">
            <v>0</v>
          </cell>
          <cell r="X47">
            <v>0</v>
          </cell>
          <cell r="AB47">
            <v>0</v>
          </cell>
        </row>
        <row r="48">
          <cell r="B48">
            <v>0</v>
          </cell>
          <cell r="X48">
            <v>0</v>
          </cell>
          <cell r="AB48">
            <v>0</v>
          </cell>
        </row>
        <row r="49">
          <cell r="B49">
            <v>66</v>
          </cell>
          <cell r="X49">
            <v>1</v>
          </cell>
          <cell r="AB49">
            <v>19</v>
          </cell>
        </row>
        <row r="50">
          <cell r="B50">
            <v>0</v>
          </cell>
          <cell r="X50">
            <v>0</v>
          </cell>
          <cell r="AB50">
            <v>0</v>
          </cell>
        </row>
        <row r="51">
          <cell r="B51">
            <v>0</v>
          </cell>
          <cell r="X51">
            <v>0</v>
          </cell>
          <cell r="AB51">
            <v>0</v>
          </cell>
        </row>
        <row r="52">
          <cell r="B52">
            <v>0</v>
          </cell>
          <cell r="X52">
            <v>0</v>
          </cell>
          <cell r="AB52">
            <v>0</v>
          </cell>
        </row>
        <row r="53">
          <cell r="B53">
            <v>0</v>
          </cell>
          <cell r="X53">
            <v>0</v>
          </cell>
          <cell r="AB53">
            <v>0</v>
          </cell>
        </row>
        <row r="54">
          <cell r="B54">
            <v>82</v>
          </cell>
          <cell r="X54">
            <v>5</v>
          </cell>
          <cell r="AB54">
            <v>48</v>
          </cell>
        </row>
        <row r="55">
          <cell r="B55">
            <v>634</v>
          </cell>
          <cell r="X55">
            <v>4</v>
          </cell>
          <cell r="AB55">
            <v>161</v>
          </cell>
        </row>
        <row r="56">
          <cell r="B56">
            <v>0</v>
          </cell>
          <cell r="X56">
            <v>0</v>
          </cell>
          <cell r="AB56">
            <v>0</v>
          </cell>
        </row>
        <row r="57">
          <cell r="B57">
            <v>0</v>
          </cell>
          <cell r="X57">
            <v>0</v>
          </cell>
          <cell r="AB57">
            <v>0</v>
          </cell>
        </row>
        <row r="58">
          <cell r="B58">
            <v>561</v>
          </cell>
          <cell r="X58">
            <v>59</v>
          </cell>
          <cell r="AB58">
            <v>259</v>
          </cell>
        </row>
        <row r="59">
          <cell r="B59">
            <v>132</v>
          </cell>
          <cell r="X59">
            <v>6</v>
          </cell>
          <cell r="AB59">
            <v>48</v>
          </cell>
        </row>
        <row r="60">
          <cell r="B60">
            <v>439</v>
          </cell>
          <cell r="X60">
            <v>42</v>
          </cell>
          <cell r="AB60">
            <v>65</v>
          </cell>
        </row>
        <row r="61">
          <cell r="B61">
            <v>245</v>
          </cell>
          <cell r="X61">
            <v>1</v>
          </cell>
          <cell r="AB61">
            <v>38</v>
          </cell>
        </row>
        <row r="62">
          <cell r="B62">
            <v>5</v>
          </cell>
          <cell r="X62">
            <v>0</v>
          </cell>
          <cell r="AB62">
            <v>0</v>
          </cell>
        </row>
        <row r="63">
          <cell r="B63">
            <v>0</v>
          </cell>
          <cell r="X63">
            <v>0</v>
          </cell>
          <cell r="AB63">
            <v>0</v>
          </cell>
        </row>
        <row r="64">
          <cell r="B64">
            <v>0</v>
          </cell>
          <cell r="X64">
            <v>0</v>
          </cell>
          <cell r="AB64">
            <v>0</v>
          </cell>
        </row>
        <row r="65">
          <cell r="B65">
            <v>0</v>
          </cell>
          <cell r="X65">
            <v>0</v>
          </cell>
          <cell r="AB65">
            <v>0</v>
          </cell>
        </row>
        <row r="66">
          <cell r="B66">
            <v>0</v>
          </cell>
          <cell r="X66">
            <v>0</v>
          </cell>
          <cell r="AB66">
            <v>0</v>
          </cell>
        </row>
        <row r="71">
          <cell r="U71">
            <v>13</v>
          </cell>
          <cell r="V71">
            <v>19</v>
          </cell>
          <cell r="W71">
            <v>23</v>
          </cell>
        </row>
        <row r="72">
          <cell r="V72">
            <v>40</v>
          </cell>
          <cell r="W72">
            <v>141</v>
          </cell>
        </row>
        <row r="73">
          <cell r="V73"/>
          <cell r="W73"/>
        </row>
        <row r="74">
          <cell r="V74"/>
          <cell r="W74"/>
        </row>
        <row r="75">
          <cell r="V75"/>
          <cell r="W75"/>
        </row>
        <row r="76">
          <cell r="V76"/>
          <cell r="W76"/>
        </row>
        <row r="77">
          <cell r="V77"/>
          <cell r="W77"/>
        </row>
        <row r="78">
          <cell r="V78">
            <v>4</v>
          </cell>
          <cell r="W78">
            <v>8</v>
          </cell>
        </row>
        <row r="79">
          <cell r="V79"/>
          <cell r="W79"/>
        </row>
        <row r="80">
          <cell r="V80"/>
          <cell r="W80"/>
        </row>
        <row r="81">
          <cell r="V81">
            <v>4</v>
          </cell>
          <cell r="W81">
            <v>38</v>
          </cell>
        </row>
        <row r="82">
          <cell r="V82"/>
          <cell r="W82"/>
        </row>
        <row r="83">
          <cell r="V83"/>
          <cell r="W83"/>
        </row>
        <row r="84">
          <cell r="V84"/>
          <cell r="W84"/>
        </row>
        <row r="85">
          <cell r="V85"/>
          <cell r="W85"/>
        </row>
        <row r="86">
          <cell r="V86"/>
          <cell r="W86"/>
        </row>
        <row r="87">
          <cell r="V87"/>
          <cell r="W87"/>
        </row>
        <row r="88">
          <cell r="V88"/>
          <cell r="W88"/>
        </row>
        <row r="89">
          <cell r="V89"/>
          <cell r="W89"/>
        </row>
        <row r="90">
          <cell r="V90"/>
          <cell r="W90"/>
        </row>
        <row r="91">
          <cell r="V91">
            <v>15</v>
          </cell>
          <cell r="W91"/>
        </row>
        <row r="92">
          <cell r="V92"/>
          <cell r="W92"/>
        </row>
        <row r="93">
          <cell r="V93">
            <v>8</v>
          </cell>
          <cell r="W93">
            <v>10</v>
          </cell>
        </row>
        <row r="94">
          <cell r="V94"/>
          <cell r="W94"/>
        </row>
        <row r="95">
          <cell r="V95"/>
          <cell r="W95"/>
        </row>
        <row r="96">
          <cell r="V96"/>
          <cell r="W96"/>
        </row>
        <row r="97">
          <cell r="V97">
            <v>6</v>
          </cell>
          <cell r="W97">
            <v>15</v>
          </cell>
        </row>
        <row r="98">
          <cell r="V98">
            <v>29</v>
          </cell>
          <cell r="W98">
            <v>62</v>
          </cell>
        </row>
        <row r="99">
          <cell r="V99"/>
          <cell r="W99"/>
        </row>
        <row r="100">
          <cell r="V100">
            <v>78</v>
          </cell>
          <cell r="W100">
            <v>42</v>
          </cell>
        </row>
        <row r="101">
          <cell r="V101">
            <v>95</v>
          </cell>
          <cell r="W101">
            <v>45</v>
          </cell>
        </row>
        <row r="102">
          <cell r="V102">
            <v>23</v>
          </cell>
          <cell r="W102"/>
        </row>
        <row r="103">
          <cell r="V103">
            <v>33</v>
          </cell>
          <cell r="W103"/>
        </row>
        <row r="104">
          <cell r="V104">
            <v>1</v>
          </cell>
          <cell r="W104"/>
        </row>
        <row r="105">
          <cell r="V105"/>
          <cell r="W105"/>
        </row>
        <row r="106">
          <cell r="V106"/>
          <cell r="W106"/>
        </row>
        <row r="107">
          <cell r="V107"/>
          <cell r="W107"/>
        </row>
        <row r="108">
          <cell r="V108">
            <v>2</v>
          </cell>
          <cell r="W108"/>
        </row>
        <row r="109">
          <cell r="V109"/>
          <cell r="W109"/>
        </row>
        <row r="110">
          <cell r="V110"/>
          <cell r="W110"/>
        </row>
        <row r="111">
          <cell r="V111"/>
          <cell r="W111"/>
        </row>
        <row r="112">
          <cell r="V112"/>
          <cell r="W112"/>
        </row>
        <row r="113">
          <cell r="V113">
            <v>1</v>
          </cell>
          <cell r="W113">
            <v>1</v>
          </cell>
        </row>
        <row r="114">
          <cell r="V114">
            <v>51</v>
          </cell>
          <cell r="W114"/>
        </row>
        <row r="115">
          <cell r="V115"/>
          <cell r="W115"/>
        </row>
        <row r="116">
          <cell r="V116"/>
          <cell r="W116"/>
        </row>
        <row r="117">
          <cell r="V117">
            <v>7</v>
          </cell>
          <cell r="W117">
            <v>11</v>
          </cell>
        </row>
        <row r="118">
          <cell r="V118">
            <v>8</v>
          </cell>
          <cell r="W118"/>
        </row>
        <row r="119">
          <cell r="V119">
            <v>35</v>
          </cell>
          <cell r="W119"/>
        </row>
        <row r="120">
          <cell r="V120">
            <v>12</v>
          </cell>
          <cell r="W120">
            <v>41</v>
          </cell>
        </row>
        <row r="121">
          <cell r="V121"/>
          <cell r="W121"/>
        </row>
        <row r="122">
          <cell r="V122"/>
          <cell r="W122"/>
        </row>
        <row r="123">
          <cell r="V123"/>
          <cell r="W123"/>
        </row>
        <row r="124">
          <cell r="V124"/>
          <cell r="W124"/>
        </row>
        <row r="125">
          <cell r="V125"/>
          <cell r="W125"/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3">
          <cell r="B13"/>
          <cell r="C13"/>
          <cell r="D13"/>
          <cell r="E13"/>
          <cell r="F13"/>
          <cell r="G13"/>
          <cell r="H13"/>
          <cell r="I13"/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B14"/>
          <cell r="C14"/>
          <cell r="D14"/>
          <cell r="E14"/>
          <cell r="F14"/>
          <cell r="G14"/>
          <cell r="H14"/>
          <cell r="I14"/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B15"/>
          <cell r="C15"/>
          <cell r="D15"/>
          <cell r="E15"/>
          <cell r="F15"/>
          <cell r="G15"/>
          <cell r="H15"/>
          <cell r="I15"/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  <row r="16">
          <cell r="B16"/>
          <cell r="C16"/>
          <cell r="D16"/>
          <cell r="E16"/>
          <cell r="F16"/>
          <cell r="G16"/>
          <cell r="H16"/>
          <cell r="I16"/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B17"/>
          <cell r="C17"/>
          <cell r="D17"/>
          <cell r="E17"/>
          <cell r="F17"/>
          <cell r="G17"/>
          <cell r="H17"/>
          <cell r="I17"/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B18"/>
          <cell r="C18"/>
          <cell r="D18"/>
          <cell r="E18"/>
          <cell r="F18"/>
          <cell r="G18"/>
          <cell r="H18"/>
          <cell r="I18"/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B19"/>
          <cell r="C19"/>
          <cell r="D19"/>
          <cell r="E19"/>
          <cell r="F19"/>
          <cell r="G19"/>
          <cell r="H19"/>
          <cell r="I19"/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B20"/>
          <cell r="C20"/>
          <cell r="D20"/>
          <cell r="E20"/>
          <cell r="F20"/>
          <cell r="G20"/>
          <cell r="H20"/>
          <cell r="I20"/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B21"/>
          <cell r="C21"/>
          <cell r="D21"/>
          <cell r="E21"/>
          <cell r="F21"/>
          <cell r="G21"/>
          <cell r="H21"/>
          <cell r="I21"/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B22"/>
          <cell r="C22"/>
          <cell r="D22"/>
          <cell r="E22"/>
          <cell r="F22"/>
          <cell r="G22"/>
          <cell r="H22"/>
          <cell r="I22"/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B23"/>
          <cell r="C23"/>
          <cell r="D23"/>
          <cell r="E23"/>
          <cell r="F23"/>
          <cell r="G23"/>
          <cell r="H23"/>
          <cell r="I23"/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B24"/>
          <cell r="C24"/>
          <cell r="D24"/>
          <cell r="E24"/>
          <cell r="F24"/>
          <cell r="G24"/>
          <cell r="H24"/>
          <cell r="I24"/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B25"/>
          <cell r="C25"/>
          <cell r="D25"/>
          <cell r="E25"/>
          <cell r="F25"/>
          <cell r="G25"/>
          <cell r="H25"/>
          <cell r="I25"/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B26"/>
          <cell r="C26"/>
          <cell r="D26"/>
          <cell r="E26"/>
          <cell r="F26"/>
          <cell r="G26"/>
          <cell r="H26"/>
          <cell r="I26"/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B27"/>
          <cell r="C27"/>
          <cell r="D27"/>
          <cell r="E27"/>
          <cell r="F27"/>
          <cell r="G27"/>
          <cell r="H27"/>
          <cell r="I27"/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B28"/>
          <cell r="C28"/>
          <cell r="D28"/>
          <cell r="E28"/>
          <cell r="F28"/>
          <cell r="G28"/>
          <cell r="H28"/>
          <cell r="I28"/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B29"/>
          <cell r="C29"/>
          <cell r="D29"/>
          <cell r="E29"/>
          <cell r="F29"/>
          <cell r="G29"/>
          <cell r="H29"/>
          <cell r="I29"/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B30"/>
          <cell r="C30"/>
          <cell r="D30"/>
          <cell r="E30"/>
          <cell r="F30"/>
          <cell r="G30"/>
          <cell r="H30"/>
          <cell r="I30"/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B31"/>
          <cell r="C31"/>
          <cell r="D31"/>
          <cell r="E31"/>
          <cell r="F31"/>
          <cell r="G31"/>
          <cell r="H31"/>
          <cell r="I31"/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B32"/>
          <cell r="C32"/>
          <cell r="D32"/>
          <cell r="E32"/>
          <cell r="F32"/>
          <cell r="G32"/>
          <cell r="H32"/>
          <cell r="I32"/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B33"/>
          <cell r="C33"/>
          <cell r="D33"/>
          <cell r="E33"/>
          <cell r="F33"/>
          <cell r="G33"/>
          <cell r="H33"/>
          <cell r="I33"/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B34"/>
          <cell r="C34"/>
          <cell r="D34"/>
          <cell r="E34"/>
          <cell r="F34"/>
          <cell r="G34"/>
          <cell r="H34"/>
          <cell r="I34"/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B35"/>
          <cell r="C35"/>
          <cell r="D35"/>
          <cell r="E35"/>
          <cell r="F35"/>
          <cell r="G35"/>
          <cell r="H35"/>
          <cell r="I35"/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</row>
        <row r="36">
          <cell r="B36"/>
          <cell r="C36"/>
          <cell r="D36"/>
          <cell r="E36"/>
          <cell r="F36"/>
          <cell r="G36"/>
          <cell r="H36"/>
          <cell r="I36"/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B37"/>
          <cell r="C37"/>
          <cell r="D37"/>
          <cell r="E37"/>
          <cell r="F37"/>
          <cell r="G37"/>
          <cell r="H37"/>
          <cell r="I37"/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B38"/>
          <cell r="C38"/>
          <cell r="D38"/>
          <cell r="E38"/>
          <cell r="F38"/>
          <cell r="G38"/>
          <cell r="H38"/>
          <cell r="I38"/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B39"/>
          <cell r="C39"/>
          <cell r="D39"/>
          <cell r="E39"/>
          <cell r="F39"/>
          <cell r="G39"/>
          <cell r="H39"/>
          <cell r="I39"/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B40"/>
          <cell r="C40"/>
          <cell r="D40"/>
          <cell r="E40"/>
          <cell r="F40"/>
          <cell r="G40"/>
          <cell r="H40"/>
          <cell r="I40"/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</row>
        <row r="41">
          <cell r="B41"/>
          <cell r="C41"/>
          <cell r="D41"/>
          <cell r="E41"/>
          <cell r="F41"/>
          <cell r="G41"/>
          <cell r="H41"/>
          <cell r="I41"/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</row>
        <row r="42">
          <cell r="B42"/>
          <cell r="C42"/>
          <cell r="D42"/>
          <cell r="E42"/>
          <cell r="F42"/>
          <cell r="G42"/>
          <cell r="H42"/>
          <cell r="I42"/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</row>
        <row r="43">
          <cell r="B43"/>
          <cell r="C43"/>
          <cell r="D43"/>
          <cell r="E43"/>
          <cell r="F43"/>
          <cell r="G43"/>
          <cell r="H43"/>
          <cell r="I43"/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</row>
        <row r="44">
          <cell r="B44"/>
          <cell r="C44"/>
          <cell r="D44"/>
          <cell r="E44"/>
          <cell r="F44"/>
          <cell r="G44"/>
          <cell r="H44"/>
          <cell r="I44"/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</row>
        <row r="45">
          <cell r="B45"/>
          <cell r="C45"/>
          <cell r="D45"/>
          <cell r="E45"/>
          <cell r="F45"/>
          <cell r="G45"/>
          <cell r="H45"/>
          <cell r="I45"/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</row>
        <row r="46">
          <cell r="B46"/>
          <cell r="C46"/>
          <cell r="D46"/>
          <cell r="E46"/>
          <cell r="F46"/>
          <cell r="G46"/>
          <cell r="H46"/>
          <cell r="I46"/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B47"/>
          <cell r="C47"/>
          <cell r="D47"/>
          <cell r="E47"/>
          <cell r="F47"/>
          <cell r="G47"/>
          <cell r="H47"/>
          <cell r="I47"/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B48"/>
          <cell r="C48"/>
          <cell r="D48"/>
          <cell r="E48"/>
          <cell r="F48"/>
          <cell r="G48"/>
          <cell r="H48"/>
          <cell r="I48"/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B49"/>
          <cell r="C49"/>
          <cell r="D49"/>
          <cell r="E49"/>
          <cell r="F49"/>
          <cell r="G49"/>
          <cell r="H49"/>
          <cell r="I49"/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B50"/>
          <cell r="C50"/>
          <cell r="D50"/>
          <cell r="E50"/>
          <cell r="F50"/>
          <cell r="G50"/>
          <cell r="H50"/>
          <cell r="I50"/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1">
          <cell r="B51"/>
          <cell r="C51"/>
          <cell r="D51"/>
          <cell r="E51"/>
          <cell r="F51"/>
          <cell r="G51"/>
          <cell r="H51"/>
          <cell r="I51"/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B52"/>
          <cell r="C52"/>
          <cell r="D52"/>
          <cell r="E52"/>
          <cell r="F52"/>
          <cell r="G52"/>
          <cell r="H52"/>
          <cell r="I52"/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B53"/>
          <cell r="C53"/>
          <cell r="D53"/>
          <cell r="E53"/>
          <cell r="F53"/>
          <cell r="G53"/>
          <cell r="H53"/>
          <cell r="I53"/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B54"/>
          <cell r="C54"/>
          <cell r="D54"/>
          <cell r="E54"/>
          <cell r="F54"/>
          <cell r="G54"/>
          <cell r="H54"/>
          <cell r="I54"/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B55"/>
          <cell r="C55"/>
          <cell r="D55"/>
          <cell r="E55"/>
          <cell r="F55"/>
          <cell r="G55"/>
          <cell r="H55"/>
          <cell r="I55"/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B56"/>
          <cell r="C56"/>
          <cell r="D56"/>
          <cell r="E56"/>
          <cell r="F56"/>
          <cell r="G56"/>
          <cell r="H56"/>
          <cell r="I56"/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B57"/>
          <cell r="C57"/>
          <cell r="D57"/>
          <cell r="E57"/>
          <cell r="F57"/>
          <cell r="G57"/>
          <cell r="H57"/>
          <cell r="I57"/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B58"/>
          <cell r="C58"/>
          <cell r="D58"/>
          <cell r="E58"/>
          <cell r="F58"/>
          <cell r="G58"/>
          <cell r="H58"/>
          <cell r="I58"/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</row>
        <row r="59">
          <cell r="B59"/>
          <cell r="C59"/>
          <cell r="D59"/>
          <cell r="E59"/>
          <cell r="F59"/>
          <cell r="G59"/>
          <cell r="H59"/>
          <cell r="I59"/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B60"/>
          <cell r="C60"/>
          <cell r="D60"/>
          <cell r="E60"/>
          <cell r="F60"/>
          <cell r="G60"/>
          <cell r="H60"/>
          <cell r="I60"/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B61"/>
          <cell r="C61"/>
          <cell r="D61"/>
          <cell r="E61"/>
          <cell r="F61"/>
          <cell r="G61"/>
          <cell r="H61"/>
          <cell r="I61"/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</row>
        <row r="62">
          <cell r="B62"/>
          <cell r="C62"/>
          <cell r="D62"/>
          <cell r="E62"/>
          <cell r="F62"/>
          <cell r="G62"/>
          <cell r="H62"/>
          <cell r="I62"/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B63"/>
          <cell r="C63"/>
          <cell r="D63"/>
          <cell r="E63"/>
          <cell r="F63"/>
          <cell r="G63"/>
          <cell r="H63"/>
          <cell r="I63"/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B64"/>
          <cell r="C64"/>
          <cell r="D64"/>
          <cell r="E64"/>
          <cell r="F64"/>
          <cell r="G64"/>
          <cell r="H64"/>
          <cell r="I64"/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B65"/>
          <cell r="C65"/>
          <cell r="D65"/>
          <cell r="E65"/>
          <cell r="F65"/>
          <cell r="G65"/>
          <cell r="H65"/>
          <cell r="I65"/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B66"/>
          <cell r="C66"/>
          <cell r="D66"/>
          <cell r="E66"/>
          <cell r="F66"/>
          <cell r="G66"/>
          <cell r="H66"/>
          <cell r="I66"/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</row>
        <row r="67">
          <cell r="B67"/>
          <cell r="C67"/>
          <cell r="D67"/>
          <cell r="E67"/>
          <cell r="F67"/>
          <cell r="G67"/>
          <cell r="H67"/>
          <cell r="I67"/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</sheetData>
      <sheetData sheetId="23"/>
      <sheetData sheetId="24"/>
      <sheetData sheetId="25">
        <row r="35">
          <cell r="B35">
            <v>0</v>
          </cell>
          <cell r="V35"/>
          <cell r="W35"/>
          <cell r="Z35">
            <v>0</v>
          </cell>
          <cell r="AA35"/>
          <cell r="AB35"/>
          <cell r="AE35">
            <v>0</v>
          </cell>
        </row>
        <row r="36">
          <cell r="B36">
            <v>0</v>
          </cell>
          <cell r="Z36">
            <v>0</v>
          </cell>
          <cell r="AA36"/>
          <cell r="AB36"/>
          <cell r="AE36">
            <v>0</v>
          </cell>
        </row>
        <row r="37">
          <cell r="B37">
            <v>0</v>
          </cell>
          <cell r="Z37">
            <v>0</v>
          </cell>
          <cell r="AA37"/>
          <cell r="AB37"/>
          <cell r="AE37">
            <v>0</v>
          </cell>
        </row>
        <row r="38">
          <cell r="B38">
            <v>0</v>
          </cell>
          <cell r="Z38">
            <v>0</v>
          </cell>
          <cell r="AA38"/>
          <cell r="AB38"/>
          <cell r="AE38">
            <v>0</v>
          </cell>
        </row>
        <row r="39">
          <cell r="B39">
            <v>0</v>
          </cell>
          <cell r="Z39">
            <v>0</v>
          </cell>
          <cell r="AA39"/>
          <cell r="AB39"/>
          <cell r="AE39">
            <v>0</v>
          </cell>
        </row>
        <row r="40">
          <cell r="B40">
            <v>0</v>
          </cell>
          <cell r="Z40">
            <v>0</v>
          </cell>
          <cell r="AA40"/>
          <cell r="AB40"/>
          <cell r="AE40">
            <v>0</v>
          </cell>
        </row>
        <row r="41">
          <cell r="B41">
            <v>0</v>
          </cell>
          <cell r="Z41">
            <v>0</v>
          </cell>
          <cell r="AA41"/>
          <cell r="AB41"/>
          <cell r="AE41">
            <v>0</v>
          </cell>
        </row>
        <row r="42">
          <cell r="B42">
            <v>0</v>
          </cell>
          <cell r="Z42">
            <v>0</v>
          </cell>
          <cell r="AA42"/>
          <cell r="AB42"/>
          <cell r="AE42">
            <v>0</v>
          </cell>
        </row>
        <row r="43">
          <cell r="B43">
            <v>0</v>
          </cell>
          <cell r="Z43">
            <v>0</v>
          </cell>
          <cell r="AA43"/>
          <cell r="AB43"/>
          <cell r="AE43">
            <v>0</v>
          </cell>
        </row>
        <row r="44">
          <cell r="B44">
            <v>0</v>
          </cell>
          <cell r="Z44">
            <v>0</v>
          </cell>
          <cell r="AA44"/>
          <cell r="AB44"/>
          <cell r="AE44">
            <v>0</v>
          </cell>
        </row>
        <row r="45">
          <cell r="B45">
            <v>0</v>
          </cell>
          <cell r="Z45">
            <v>0</v>
          </cell>
          <cell r="AA45"/>
          <cell r="AB45"/>
          <cell r="AE45">
            <v>0</v>
          </cell>
        </row>
        <row r="46">
          <cell r="B46">
            <v>0</v>
          </cell>
          <cell r="Z46">
            <v>0</v>
          </cell>
          <cell r="AA46"/>
          <cell r="AB46"/>
          <cell r="AE46">
            <v>0</v>
          </cell>
        </row>
        <row r="47">
          <cell r="B47">
            <v>0</v>
          </cell>
          <cell r="Z47">
            <v>0</v>
          </cell>
          <cell r="AA47"/>
          <cell r="AB47"/>
          <cell r="AE47">
            <v>0</v>
          </cell>
        </row>
        <row r="48">
          <cell r="B48">
            <v>0</v>
          </cell>
          <cell r="Z48">
            <v>0</v>
          </cell>
          <cell r="AA48"/>
          <cell r="AB48"/>
          <cell r="AE48">
            <v>0</v>
          </cell>
        </row>
        <row r="49">
          <cell r="B49">
            <v>0</v>
          </cell>
          <cell r="Z49">
            <v>0</v>
          </cell>
          <cell r="AA49"/>
          <cell r="AB49"/>
          <cell r="AE49">
            <v>0</v>
          </cell>
        </row>
        <row r="50">
          <cell r="B50">
            <v>0</v>
          </cell>
          <cell r="Z50">
            <v>0</v>
          </cell>
          <cell r="AA50"/>
          <cell r="AB50"/>
          <cell r="AE50">
            <v>0</v>
          </cell>
        </row>
        <row r="51">
          <cell r="B51">
            <v>0</v>
          </cell>
          <cell r="Z51">
            <v>0</v>
          </cell>
          <cell r="AA51"/>
          <cell r="AB51"/>
          <cell r="AE51">
            <v>0</v>
          </cell>
        </row>
        <row r="52">
          <cell r="B52">
            <v>0</v>
          </cell>
          <cell r="Z52">
            <v>0</v>
          </cell>
          <cell r="AA52"/>
          <cell r="AB52"/>
          <cell r="AE52">
            <v>0</v>
          </cell>
        </row>
        <row r="53">
          <cell r="B53">
            <v>0</v>
          </cell>
          <cell r="Z53">
            <v>0</v>
          </cell>
          <cell r="AA53"/>
          <cell r="AB53"/>
          <cell r="AE53">
            <v>0</v>
          </cell>
        </row>
        <row r="54">
          <cell r="B54">
            <v>0</v>
          </cell>
          <cell r="Z54">
            <v>0</v>
          </cell>
          <cell r="AA54"/>
          <cell r="AB54"/>
          <cell r="AE54">
            <v>0</v>
          </cell>
        </row>
        <row r="55">
          <cell r="B55">
            <v>0</v>
          </cell>
          <cell r="Z55">
            <v>0</v>
          </cell>
          <cell r="AA55"/>
          <cell r="AB55"/>
          <cell r="AE55">
            <v>0</v>
          </cell>
        </row>
        <row r="56">
          <cell r="B56">
            <v>0</v>
          </cell>
          <cell r="Z56">
            <v>0</v>
          </cell>
          <cell r="AA56"/>
          <cell r="AB56"/>
          <cell r="AE56">
            <v>0</v>
          </cell>
        </row>
        <row r="57">
          <cell r="B57">
            <v>0</v>
          </cell>
          <cell r="Z57">
            <v>0</v>
          </cell>
          <cell r="AA57"/>
          <cell r="AB57"/>
          <cell r="AE57">
            <v>0</v>
          </cell>
        </row>
        <row r="58">
          <cell r="B58">
            <v>0</v>
          </cell>
          <cell r="Z58">
            <v>0</v>
          </cell>
          <cell r="AA58"/>
          <cell r="AB58"/>
          <cell r="AE58">
            <v>0</v>
          </cell>
        </row>
        <row r="59">
          <cell r="B59">
            <v>0</v>
          </cell>
          <cell r="Z59">
            <v>0</v>
          </cell>
          <cell r="AA59"/>
          <cell r="AB59"/>
          <cell r="AE59">
            <v>0</v>
          </cell>
        </row>
        <row r="60">
          <cell r="B60">
            <v>0</v>
          </cell>
          <cell r="Z60">
            <v>0</v>
          </cell>
          <cell r="AA60"/>
          <cell r="AB60"/>
          <cell r="AE60">
            <v>0</v>
          </cell>
        </row>
        <row r="61">
          <cell r="B61">
            <v>0</v>
          </cell>
          <cell r="Z61">
            <v>0</v>
          </cell>
          <cell r="AA61"/>
          <cell r="AB61"/>
          <cell r="AE61">
            <v>0</v>
          </cell>
        </row>
        <row r="62">
          <cell r="B62">
            <v>0</v>
          </cell>
          <cell r="Z62">
            <v>0</v>
          </cell>
          <cell r="AA62"/>
          <cell r="AB62"/>
          <cell r="AE62">
            <v>0</v>
          </cell>
        </row>
        <row r="63">
          <cell r="B63">
            <v>0</v>
          </cell>
          <cell r="Z63">
            <v>0</v>
          </cell>
          <cell r="AA63"/>
          <cell r="AB63"/>
          <cell r="AE63">
            <v>0</v>
          </cell>
        </row>
        <row r="64">
          <cell r="B64">
            <v>0</v>
          </cell>
          <cell r="Z64">
            <v>0</v>
          </cell>
          <cell r="AA64"/>
          <cell r="AB64"/>
          <cell r="AE64">
            <v>0</v>
          </cell>
        </row>
        <row r="65">
          <cell r="B65">
            <v>0</v>
          </cell>
          <cell r="Z65">
            <v>0</v>
          </cell>
          <cell r="AA65"/>
          <cell r="AB65"/>
          <cell r="AE65">
            <v>0</v>
          </cell>
        </row>
        <row r="66">
          <cell r="B66">
            <v>0</v>
          </cell>
          <cell r="Z66">
            <v>0</v>
          </cell>
          <cell r="AA66"/>
          <cell r="AB66"/>
          <cell r="AE66">
            <v>0</v>
          </cell>
        </row>
        <row r="67">
          <cell r="B67">
            <v>0</v>
          </cell>
          <cell r="Z67">
            <v>0</v>
          </cell>
          <cell r="AA67"/>
          <cell r="AB67"/>
          <cell r="AE67">
            <v>0</v>
          </cell>
        </row>
        <row r="68">
          <cell r="B68">
            <v>0</v>
          </cell>
          <cell r="Z68">
            <v>0</v>
          </cell>
          <cell r="AA68"/>
          <cell r="AB68"/>
          <cell r="AE68">
            <v>0</v>
          </cell>
        </row>
        <row r="69">
          <cell r="B69">
            <v>0</v>
          </cell>
          <cell r="Z69">
            <v>0</v>
          </cell>
          <cell r="AA69"/>
          <cell r="AB69"/>
          <cell r="AE69">
            <v>0</v>
          </cell>
        </row>
        <row r="70">
          <cell r="B70">
            <v>0</v>
          </cell>
          <cell r="Z70">
            <v>0</v>
          </cell>
          <cell r="AA70"/>
          <cell r="AB70"/>
          <cell r="AE70">
            <v>0</v>
          </cell>
        </row>
        <row r="71">
          <cell r="B71">
            <v>0</v>
          </cell>
          <cell r="Z71">
            <v>0</v>
          </cell>
          <cell r="AA71"/>
          <cell r="AB71"/>
          <cell r="AE71">
            <v>0</v>
          </cell>
        </row>
        <row r="72">
          <cell r="B72">
            <v>0</v>
          </cell>
          <cell r="Z72">
            <v>0</v>
          </cell>
          <cell r="AA72"/>
          <cell r="AB72"/>
          <cell r="AE72">
            <v>0</v>
          </cell>
        </row>
        <row r="73">
          <cell r="B73">
            <v>0</v>
          </cell>
          <cell r="Z73">
            <v>0</v>
          </cell>
          <cell r="AA73"/>
          <cell r="AB73"/>
          <cell r="AE73">
            <v>0</v>
          </cell>
        </row>
        <row r="74">
          <cell r="B74">
            <v>0</v>
          </cell>
          <cell r="Z74">
            <v>0</v>
          </cell>
          <cell r="AA74"/>
          <cell r="AB74"/>
          <cell r="AE74">
            <v>0</v>
          </cell>
        </row>
        <row r="75">
          <cell r="B75">
            <v>0</v>
          </cell>
          <cell r="Z75">
            <v>0</v>
          </cell>
          <cell r="AA75"/>
          <cell r="AB75"/>
          <cell r="AE75">
            <v>0</v>
          </cell>
        </row>
        <row r="76">
          <cell r="B76">
            <v>0</v>
          </cell>
          <cell r="Z76">
            <v>0</v>
          </cell>
          <cell r="AA76"/>
          <cell r="AB76"/>
          <cell r="AE76">
            <v>0</v>
          </cell>
        </row>
        <row r="77">
          <cell r="B77">
            <v>0</v>
          </cell>
          <cell r="Z77">
            <v>0</v>
          </cell>
          <cell r="AA77"/>
          <cell r="AB77"/>
          <cell r="AE77">
            <v>0</v>
          </cell>
        </row>
        <row r="78">
          <cell r="B78">
            <v>0</v>
          </cell>
          <cell r="Z78">
            <v>0</v>
          </cell>
          <cell r="AA78"/>
          <cell r="AB78"/>
          <cell r="AE78">
            <v>0</v>
          </cell>
        </row>
        <row r="79">
          <cell r="B79">
            <v>0</v>
          </cell>
          <cell r="Z79">
            <v>0</v>
          </cell>
          <cell r="AA79"/>
          <cell r="AB79"/>
          <cell r="AE79">
            <v>0</v>
          </cell>
        </row>
        <row r="80">
          <cell r="B80">
            <v>0</v>
          </cell>
          <cell r="Z80">
            <v>0</v>
          </cell>
          <cell r="AA80"/>
          <cell r="AB80"/>
          <cell r="AE80">
            <v>0</v>
          </cell>
        </row>
        <row r="81">
          <cell r="B81">
            <v>0</v>
          </cell>
          <cell r="Z81">
            <v>0</v>
          </cell>
          <cell r="AA81"/>
          <cell r="AB81"/>
          <cell r="AE81">
            <v>0</v>
          </cell>
        </row>
        <row r="82">
          <cell r="B82">
            <v>0</v>
          </cell>
          <cell r="Z82">
            <v>0</v>
          </cell>
          <cell r="AA82"/>
          <cell r="AB82"/>
          <cell r="AE82">
            <v>0</v>
          </cell>
        </row>
        <row r="83">
          <cell r="B83">
            <v>0</v>
          </cell>
          <cell r="Z83">
            <v>0</v>
          </cell>
          <cell r="AA83"/>
          <cell r="AB83"/>
          <cell r="AE83">
            <v>0</v>
          </cell>
        </row>
        <row r="84">
          <cell r="B84">
            <v>0</v>
          </cell>
          <cell r="Z84">
            <v>0</v>
          </cell>
          <cell r="AA84"/>
          <cell r="AB84"/>
          <cell r="AE84">
            <v>0</v>
          </cell>
        </row>
        <row r="85">
          <cell r="B85">
            <v>0</v>
          </cell>
          <cell r="Z85">
            <v>0</v>
          </cell>
          <cell r="AA85"/>
          <cell r="AB85"/>
          <cell r="AE85">
            <v>0</v>
          </cell>
        </row>
        <row r="86">
          <cell r="B86">
            <v>0</v>
          </cell>
          <cell r="Z86">
            <v>0</v>
          </cell>
          <cell r="AA86"/>
          <cell r="AB86"/>
          <cell r="AE86">
            <v>0</v>
          </cell>
        </row>
        <row r="87">
          <cell r="B87">
            <v>0</v>
          </cell>
          <cell r="Z87">
            <v>0</v>
          </cell>
          <cell r="AA87"/>
          <cell r="AB87"/>
          <cell r="AE87">
            <v>0</v>
          </cell>
        </row>
        <row r="88">
          <cell r="B88">
            <v>0</v>
          </cell>
          <cell r="Z88">
            <v>0</v>
          </cell>
          <cell r="AA88"/>
          <cell r="AB88"/>
          <cell r="AE88">
            <v>0</v>
          </cell>
        </row>
        <row r="89">
          <cell r="B89">
            <v>0</v>
          </cell>
          <cell r="Z89">
            <v>0</v>
          </cell>
          <cell r="AA89"/>
          <cell r="AB89"/>
          <cell r="AE89">
            <v>0</v>
          </cell>
        </row>
      </sheetData>
      <sheetData sheetId="26"/>
      <sheetData sheetId="27"/>
      <sheetData sheetId="28"/>
      <sheetData sheetId="2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BRE"/>
      <sheetName val="A01"/>
      <sheetName val="A02"/>
      <sheetName val="A03"/>
      <sheetName val="A04"/>
      <sheetName val="A05"/>
      <sheetName val="A06"/>
      <sheetName val="A07"/>
      <sheetName val="A08"/>
      <sheetName val="A09"/>
      <sheetName val="A11"/>
      <sheetName val="A11a"/>
      <sheetName val="A19a"/>
      <sheetName val="A19b"/>
      <sheetName val="A21"/>
      <sheetName val="A23"/>
      <sheetName val="A24"/>
      <sheetName val="A25"/>
      <sheetName val="A26"/>
      <sheetName val="A27"/>
      <sheetName val="A28"/>
      <sheetName val="A29"/>
      <sheetName val="A30"/>
      <sheetName val="A30AR"/>
      <sheetName val="A31"/>
      <sheetName val="A32"/>
      <sheetName val="A33"/>
      <sheetName val="A34"/>
      <sheetName val="Control"/>
      <sheetName val="MAC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2">
          <cell r="B12">
            <v>167</v>
          </cell>
          <cell r="X12">
            <v>46</v>
          </cell>
          <cell r="AB12">
            <v>0</v>
          </cell>
        </row>
        <row r="13">
          <cell r="B13">
            <v>388</v>
          </cell>
          <cell r="X13">
            <v>0</v>
          </cell>
          <cell r="AB13">
            <v>63</v>
          </cell>
        </row>
        <row r="14">
          <cell r="B14">
            <v>0</v>
          </cell>
          <cell r="X14">
            <v>0</v>
          </cell>
          <cell r="AB14">
            <v>0</v>
          </cell>
        </row>
        <row r="15">
          <cell r="B15">
            <v>0</v>
          </cell>
          <cell r="X15">
            <v>0</v>
          </cell>
          <cell r="AB15">
            <v>0</v>
          </cell>
        </row>
        <row r="16">
          <cell r="B16">
            <v>0</v>
          </cell>
          <cell r="X16">
            <v>0</v>
          </cell>
          <cell r="AB16">
            <v>0</v>
          </cell>
        </row>
        <row r="17">
          <cell r="B17">
            <v>27</v>
          </cell>
          <cell r="X17">
            <v>0</v>
          </cell>
          <cell r="AB17">
            <v>0</v>
          </cell>
        </row>
        <row r="18">
          <cell r="B18">
            <v>0</v>
          </cell>
          <cell r="X18">
            <v>0</v>
          </cell>
          <cell r="AB18">
            <v>0</v>
          </cell>
        </row>
        <row r="19">
          <cell r="B19">
            <v>53</v>
          </cell>
          <cell r="X19">
            <v>12</v>
          </cell>
          <cell r="AB19">
            <v>0</v>
          </cell>
        </row>
        <row r="20">
          <cell r="B20">
            <v>0</v>
          </cell>
          <cell r="X20">
            <v>0</v>
          </cell>
          <cell r="AB20">
            <v>0</v>
          </cell>
        </row>
        <row r="21">
          <cell r="B21">
            <v>0</v>
          </cell>
          <cell r="X21">
            <v>0</v>
          </cell>
          <cell r="AB21">
            <v>0</v>
          </cell>
        </row>
        <row r="22">
          <cell r="B22">
            <v>56</v>
          </cell>
          <cell r="X22">
            <v>0</v>
          </cell>
          <cell r="AB22">
            <v>12</v>
          </cell>
        </row>
        <row r="23">
          <cell r="B23">
            <v>0</v>
          </cell>
          <cell r="X23">
            <v>0</v>
          </cell>
          <cell r="AB23">
            <v>0</v>
          </cell>
        </row>
        <row r="24">
          <cell r="B24">
            <v>0</v>
          </cell>
          <cell r="X24">
            <v>0</v>
          </cell>
          <cell r="AB24">
            <v>0</v>
          </cell>
        </row>
        <row r="25">
          <cell r="B25">
            <v>0</v>
          </cell>
          <cell r="X25">
            <v>0</v>
          </cell>
          <cell r="AB25">
            <v>0</v>
          </cell>
        </row>
        <row r="26">
          <cell r="B26">
            <v>0</v>
          </cell>
          <cell r="X26">
            <v>0</v>
          </cell>
          <cell r="AB26">
            <v>0</v>
          </cell>
        </row>
        <row r="27">
          <cell r="B27">
            <v>0</v>
          </cell>
          <cell r="X27">
            <v>0</v>
          </cell>
          <cell r="AB27">
            <v>0</v>
          </cell>
        </row>
        <row r="28">
          <cell r="B28">
            <v>0</v>
          </cell>
          <cell r="X28">
            <v>0</v>
          </cell>
          <cell r="AB28">
            <v>0</v>
          </cell>
        </row>
        <row r="29">
          <cell r="B29">
            <v>0</v>
          </cell>
          <cell r="X29">
            <v>0</v>
          </cell>
          <cell r="AB29">
            <v>0</v>
          </cell>
        </row>
        <row r="30">
          <cell r="B30">
            <v>0</v>
          </cell>
          <cell r="X30">
            <v>0</v>
          </cell>
          <cell r="AB30">
            <v>0</v>
          </cell>
        </row>
        <row r="31">
          <cell r="B31">
            <v>0</v>
          </cell>
          <cell r="X31">
            <v>0</v>
          </cell>
          <cell r="AB31">
            <v>0</v>
          </cell>
        </row>
        <row r="32">
          <cell r="B32">
            <v>67</v>
          </cell>
          <cell r="X32">
            <v>4</v>
          </cell>
          <cell r="AB32">
            <v>15</v>
          </cell>
        </row>
        <row r="33">
          <cell r="B33">
            <v>0</v>
          </cell>
          <cell r="X33">
            <v>0</v>
          </cell>
          <cell r="AB33">
            <v>0</v>
          </cell>
        </row>
        <row r="34">
          <cell r="B34">
            <v>89</v>
          </cell>
          <cell r="X34">
            <v>5</v>
          </cell>
          <cell r="AB34">
            <v>13</v>
          </cell>
        </row>
        <row r="35">
          <cell r="B35">
            <v>0</v>
          </cell>
          <cell r="X35">
            <v>0</v>
          </cell>
          <cell r="AB35">
            <v>0</v>
          </cell>
        </row>
        <row r="36">
          <cell r="B36">
            <v>0</v>
          </cell>
          <cell r="X36">
            <v>0</v>
          </cell>
          <cell r="AB36">
            <v>0</v>
          </cell>
        </row>
        <row r="37">
          <cell r="B37">
            <v>0</v>
          </cell>
          <cell r="X37">
            <v>0</v>
          </cell>
          <cell r="AB37">
            <v>0</v>
          </cell>
        </row>
        <row r="38">
          <cell r="B38">
            <v>128</v>
          </cell>
          <cell r="X38">
            <v>20</v>
          </cell>
          <cell r="AB38">
            <v>0</v>
          </cell>
        </row>
        <row r="39">
          <cell r="B39">
            <v>373</v>
          </cell>
          <cell r="X39">
            <v>5</v>
          </cell>
          <cell r="AB39">
            <v>83</v>
          </cell>
        </row>
        <row r="40">
          <cell r="B40">
            <v>0</v>
          </cell>
          <cell r="X40">
            <v>0</v>
          </cell>
          <cell r="AB40">
            <v>0</v>
          </cell>
        </row>
        <row r="41">
          <cell r="B41">
            <v>271</v>
          </cell>
          <cell r="X41">
            <v>4</v>
          </cell>
          <cell r="AB41">
            <v>0</v>
          </cell>
        </row>
        <row r="42">
          <cell r="B42">
            <v>426</v>
          </cell>
          <cell r="X42">
            <v>0</v>
          </cell>
          <cell r="AB42">
            <v>12</v>
          </cell>
        </row>
        <row r="43">
          <cell r="B43">
            <v>126</v>
          </cell>
          <cell r="X43">
            <v>41</v>
          </cell>
          <cell r="AB43">
            <v>0</v>
          </cell>
        </row>
        <row r="44">
          <cell r="B44">
            <v>245</v>
          </cell>
          <cell r="X44">
            <v>4</v>
          </cell>
          <cell r="AB44">
            <v>95</v>
          </cell>
        </row>
        <row r="45">
          <cell r="B45">
            <v>28</v>
          </cell>
          <cell r="X45">
            <v>0</v>
          </cell>
          <cell r="AB45">
            <v>16</v>
          </cell>
        </row>
        <row r="46">
          <cell r="B46">
            <v>0</v>
          </cell>
          <cell r="X46">
            <v>0</v>
          </cell>
          <cell r="AB46">
            <v>0</v>
          </cell>
        </row>
        <row r="47">
          <cell r="B47">
            <v>0</v>
          </cell>
          <cell r="X47">
            <v>0</v>
          </cell>
          <cell r="AB47">
            <v>0</v>
          </cell>
        </row>
        <row r="48">
          <cell r="B48">
            <v>0</v>
          </cell>
          <cell r="X48">
            <v>0</v>
          </cell>
          <cell r="AB48">
            <v>0</v>
          </cell>
        </row>
        <row r="49">
          <cell r="B49">
            <v>68</v>
          </cell>
          <cell r="X49">
            <v>0</v>
          </cell>
          <cell r="AB49">
            <v>29</v>
          </cell>
        </row>
        <row r="50">
          <cell r="B50">
            <v>0</v>
          </cell>
          <cell r="X50">
            <v>0</v>
          </cell>
          <cell r="AB50">
            <v>0</v>
          </cell>
        </row>
        <row r="51">
          <cell r="B51">
            <v>0</v>
          </cell>
          <cell r="X51">
            <v>0</v>
          </cell>
          <cell r="AB51">
            <v>0</v>
          </cell>
        </row>
        <row r="52">
          <cell r="B52">
            <v>0</v>
          </cell>
          <cell r="X52">
            <v>0</v>
          </cell>
          <cell r="AB52">
            <v>0</v>
          </cell>
        </row>
        <row r="53">
          <cell r="B53">
            <v>0</v>
          </cell>
          <cell r="X53">
            <v>0</v>
          </cell>
          <cell r="AB53">
            <v>0</v>
          </cell>
        </row>
        <row r="54">
          <cell r="B54">
            <v>53</v>
          </cell>
          <cell r="X54">
            <v>6</v>
          </cell>
          <cell r="AB54">
            <v>20</v>
          </cell>
        </row>
        <row r="55">
          <cell r="B55">
            <v>635</v>
          </cell>
          <cell r="X55">
            <v>3</v>
          </cell>
          <cell r="AB55">
            <v>180</v>
          </cell>
        </row>
        <row r="56">
          <cell r="B56">
            <v>0</v>
          </cell>
          <cell r="X56">
            <v>0</v>
          </cell>
          <cell r="AB56">
            <v>0</v>
          </cell>
        </row>
        <row r="57">
          <cell r="B57">
            <v>0</v>
          </cell>
          <cell r="X57">
            <v>0</v>
          </cell>
          <cell r="AB57">
            <v>0</v>
          </cell>
        </row>
        <row r="58">
          <cell r="B58">
            <v>590</v>
          </cell>
          <cell r="X58">
            <v>43</v>
          </cell>
          <cell r="AB58">
            <v>267</v>
          </cell>
        </row>
        <row r="59">
          <cell r="B59">
            <v>110</v>
          </cell>
          <cell r="X59">
            <v>22</v>
          </cell>
          <cell r="AB59">
            <v>35</v>
          </cell>
        </row>
        <row r="60">
          <cell r="B60">
            <v>559</v>
          </cell>
          <cell r="X60">
            <v>59</v>
          </cell>
          <cell r="AB60">
            <v>129</v>
          </cell>
        </row>
        <row r="61">
          <cell r="B61">
            <v>292</v>
          </cell>
          <cell r="X61">
            <v>0</v>
          </cell>
          <cell r="AB61">
            <v>57</v>
          </cell>
        </row>
        <row r="62">
          <cell r="B62">
            <v>8</v>
          </cell>
          <cell r="X62">
            <v>0</v>
          </cell>
          <cell r="AB62">
            <v>0</v>
          </cell>
        </row>
        <row r="63">
          <cell r="B63">
            <v>0</v>
          </cell>
          <cell r="X63">
            <v>0</v>
          </cell>
          <cell r="AB63">
            <v>0</v>
          </cell>
        </row>
        <row r="64">
          <cell r="B64">
            <v>0</v>
          </cell>
          <cell r="X64">
            <v>0</v>
          </cell>
          <cell r="AB64">
            <v>0</v>
          </cell>
        </row>
        <row r="65">
          <cell r="B65">
            <v>0</v>
          </cell>
          <cell r="X65">
            <v>0</v>
          </cell>
          <cell r="AB65">
            <v>0</v>
          </cell>
        </row>
        <row r="66">
          <cell r="B66">
            <v>0</v>
          </cell>
          <cell r="X66">
            <v>0</v>
          </cell>
          <cell r="AB66">
            <v>0</v>
          </cell>
        </row>
        <row r="71">
          <cell r="V71">
            <v>9</v>
          </cell>
          <cell r="W71">
            <v>8</v>
          </cell>
        </row>
        <row r="72">
          <cell r="V72">
            <v>23</v>
          </cell>
          <cell r="W72">
            <v>139</v>
          </cell>
        </row>
        <row r="73">
          <cell r="V73"/>
          <cell r="W73"/>
        </row>
        <row r="74">
          <cell r="V74"/>
          <cell r="W74"/>
        </row>
        <row r="75">
          <cell r="V75"/>
          <cell r="W75"/>
        </row>
        <row r="76">
          <cell r="V76"/>
          <cell r="W76">
            <v>1</v>
          </cell>
        </row>
        <row r="77">
          <cell r="V77"/>
          <cell r="W77"/>
        </row>
        <row r="78">
          <cell r="V78">
            <v>4</v>
          </cell>
          <cell r="W78">
            <v>2</v>
          </cell>
        </row>
        <row r="79">
          <cell r="V79"/>
          <cell r="W79"/>
        </row>
        <row r="80">
          <cell r="V80"/>
          <cell r="W80"/>
        </row>
        <row r="81">
          <cell r="V81">
            <v>5</v>
          </cell>
          <cell r="W81">
            <v>15</v>
          </cell>
        </row>
        <row r="82">
          <cell r="V82"/>
          <cell r="W82"/>
        </row>
        <row r="83">
          <cell r="V83"/>
          <cell r="W83"/>
        </row>
        <row r="84">
          <cell r="V84"/>
          <cell r="W84"/>
        </row>
        <row r="85">
          <cell r="V85"/>
          <cell r="W85"/>
        </row>
        <row r="86">
          <cell r="V86"/>
          <cell r="W86"/>
        </row>
        <row r="87">
          <cell r="V87"/>
          <cell r="W87"/>
        </row>
        <row r="88">
          <cell r="V88"/>
          <cell r="W88"/>
        </row>
        <row r="89">
          <cell r="V89"/>
          <cell r="W89"/>
        </row>
        <row r="90">
          <cell r="V90"/>
          <cell r="W90"/>
        </row>
        <row r="91">
          <cell r="V91">
            <v>3</v>
          </cell>
          <cell r="W91"/>
        </row>
        <row r="92">
          <cell r="V92"/>
          <cell r="W92"/>
        </row>
        <row r="93">
          <cell r="V93">
            <v>12</v>
          </cell>
          <cell r="W93">
            <v>14</v>
          </cell>
        </row>
        <row r="94">
          <cell r="V94"/>
          <cell r="W94"/>
        </row>
        <row r="95">
          <cell r="V95"/>
          <cell r="W95"/>
        </row>
        <row r="96">
          <cell r="V96"/>
          <cell r="W96"/>
        </row>
        <row r="97">
          <cell r="V97">
            <v>8</v>
          </cell>
          <cell r="W97">
            <v>34</v>
          </cell>
        </row>
        <row r="98">
          <cell r="V98">
            <v>30</v>
          </cell>
          <cell r="W98">
            <v>38</v>
          </cell>
        </row>
        <row r="99">
          <cell r="V99"/>
          <cell r="W99"/>
        </row>
        <row r="100">
          <cell r="V100">
            <v>46</v>
          </cell>
          <cell r="W100">
            <v>39</v>
          </cell>
        </row>
        <row r="101">
          <cell r="V101">
            <v>70</v>
          </cell>
          <cell r="W101">
            <v>55</v>
          </cell>
        </row>
        <row r="102">
          <cell r="V102">
            <v>13</v>
          </cell>
          <cell r="W102"/>
        </row>
        <row r="103">
          <cell r="V103">
            <v>22</v>
          </cell>
          <cell r="W103">
            <v>41</v>
          </cell>
        </row>
        <row r="104">
          <cell r="V104">
            <v>3</v>
          </cell>
          <cell r="W104"/>
        </row>
        <row r="105">
          <cell r="V105"/>
          <cell r="W105"/>
        </row>
        <row r="106">
          <cell r="V106"/>
          <cell r="W106"/>
        </row>
        <row r="107">
          <cell r="V107"/>
          <cell r="W107"/>
        </row>
        <row r="108">
          <cell r="V108">
            <v>1</v>
          </cell>
          <cell r="W108"/>
        </row>
        <row r="109">
          <cell r="V109"/>
          <cell r="W109"/>
        </row>
        <row r="110">
          <cell r="V110"/>
          <cell r="W110"/>
        </row>
        <row r="111">
          <cell r="V111"/>
          <cell r="W111"/>
        </row>
        <row r="112">
          <cell r="V112"/>
          <cell r="W112"/>
        </row>
        <row r="113">
          <cell r="V113">
            <v>1</v>
          </cell>
          <cell r="W113"/>
        </row>
        <row r="114">
          <cell r="V114">
            <v>54</v>
          </cell>
          <cell r="W114"/>
        </row>
        <row r="115">
          <cell r="V115"/>
          <cell r="W115"/>
        </row>
        <row r="116">
          <cell r="V116"/>
          <cell r="W116"/>
        </row>
        <row r="117">
          <cell r="V117">
            <v>10</v>
          </cell>
          <cell r="W117">
            <v>17</v>
          </cell>
        </row>
        <row r="118">
          <cell r="V118">
            <v>6</v>
          </cell>
          <cell r="W118"/>
        </row>
        <row r="119">
          <cell r="V119">
            <v>35</v>
          </cell>
          <cell r="W119">
            <v>2</v>
          </cell>
        </row>
        <row r="120">
          <cell r="V120">
            <v>19</v>
          </cell>
          <cell r="W120">
            <v>73</v>
          </cell>
        </row>
        <row r="121">
          <cell r="V121"/>
          <cell r="W121"/>
        </row>
        <row r="122">
          <cell r="V122"/>
          <cell r="W122"/>
        </row>
        <row r="123">
          <cell r="V123"/>
          <cell r="W123"/>
        </row>
        <row r="124">
          <cell r="V124"/>
          <cell r="W124"/>
        </row>
        <row r="125">
          <cell r="V125"/>
          <cell r="W125"/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3">
          <cell r="B13"/>
          <cell r="C13"/>
          <cell r="D13"/>
          <cell r="E13"/>
          <cell r="F13"/>
          <cell r="G13"/>
          <cell r="H13"/>
          <cell r="I13"/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B14"/>
          <cell r="C14"/>
          <cell r="D14">
            <v>0</v>
          </cell>
          <cell r="E14">
            <v>2</v>
          </cell>
          <cell r="F14"/>
          <cell r="G14"/>
          <cell r="H14"/>
          <cell r="I14"/>
          <cell r="R14">
            <v>0</v>
          </cell>
          <cell r="S14">
            <v>0</v>
          </cell>
          <cell r="T14">
            <v>0</v>
          </cell>
          <cell r="U14">
            <v>2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B15"/>
          <cell r="C15"/>
          <cell r="D15"/>
          <cell r="E15"/>
          <cell r="F15"/>
          <cell r="G15"/>
          <cell r="H15"/>
          <cell r="I15"/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  <row r="16">
          <cell r="B16"/>
          <cell r="C16"/>
          <cell r="D16"/>
          <cell r="E16"/>
          <cell r="F16"/>
          <cell r="G16"/>
          <cell r="H16"/>
          <cell r="I16"/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B17"/>
          <cell r="C17"/>
          <cell r="D17"/>
          <cell r="E17"/>
          <cell r="F17"/>
          <cell r="G17"/>
          <cell r="H17"/>
          <cell r="I17"/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B18"/>
          <cell r="C18"/>
          <cell r="D18"/>
          <cell r="E18"/>
          <cell r="F18"/>
          <cell r="G18"/>
          <cell r="H18"/>
          <cell r="I18"/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B19"/>
          <cell r="C19"/>
          <cell r="D19"/>
          <cell r="E19"/>
          <cell r="F19"/>
          <cell r="G19"/>
          <cell r="H19"/>
          <cell r="I19"/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B20"/>
          <cell r="C20"/>
          <cell r="D20"/>
          <cell r="E20"/>
          <cell r="F20"/>
          <cell r="G20"/>
          <cell r="H20"/>
          <cell r="I20"/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B21"/>
          <cell r="C21"/>
          <cell r="D21"/>
          <cell r="E21"/>
          <cell r="F21"/>
          <cell r="G21"/>
          <cell r="H21"/>
          <cell r="I21"/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B22"/>
          <cell r="C22"/>
          <cell r="D22"/>
          <cell r="E22"/>
          <cell r="F22"/>
          <cell r="G22"/>
          <cell r="H22"/>
          <cell r="I22"/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B23"/>
          <cell r="C23"/>
          <cell r="D23"/>
          <cell r="E23"/>
          <cell r="F23"/>
          <cell r="G23"/>
          <cell r="H23"/>
          <cell r="I23"/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B24"/>
          <cell r="C24"/>
          <cell r="D24"/>
          <cell r="E24"/>
          <cell r="F24"/>
          <cell r="G24"/>
          <cell r="H24"/>
          <cell r="I24"/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B25"/>
          <cell r="C25"/>
          <cell r="D25"/>
          <cell r="E25"/>
          <cell r="F25"/>
          <cell r="G25"/>
          <cell r="H25"/>
          <cell r="I25"/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B26"/>
          <cell r="C26"/>
          <cell r="D26"/>
          <cell r="E26"/>
          <cell r="F26"/>
          <cell r="G26"/>
          <cell r="H26"/>
          <cell r="I26"/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B27"/>
          <cell r="C27"/>
          <cell r="D27"/>
          <cell r="E27"/>
          <cell r="F27"/>
          <cell r="G27"/>
          <cell r="H27"/>
          <cell r="I27"/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B28"/>
          <cell r="C28"/>
          <cell r="D28"/>
          <cell r="E28"/>
          <cell r="F28"/>
          <cell r="G28"/>
          <cell r="H28"/>
          <cell r="I28"/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B29"/>
          <cell r="C29"/>
          <cell r="D29"/>
          <cell r="E29"/>
          <cell r="F29"/>
          <cell r="G29"/>
          <cell r="H29"/>
          <cell r="I29"/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B30"/>
          <cell r="C30"/>
          <cell r="D30"/>
          <cell r="E30"/>
          <cell r="F30"/>
          <cell r="G30"/>
          <cell r="H30"/>
          <cell r="I30"/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B31"/>
          <cell r="C31"/>
          <cell r="D31"/>
          <cell r="E31"/>
          <cell r="F31"/>
          <cell r="G31"/>
          <cell r="H31"/>
          <cell r="I31"/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B32"/>
          <cell r="C32"/>
          <cell r="D32"/>
          <cell r="E32"/>
          <cell r="F32"/>
          <cell r="G32"/>
          <cell r="H32"/>
          <cell r="I32"/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B33"/>
          <cell r="C33"/>
          <cell r="D33"/>
          <cell r="E33"/>
          <cell r="F33"/>
          <cell r="G33"/>
          <cell r="H33"/>
          <cell r="I33"/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B34"/>
          <cell r="C34"/>
          <cell r="D34"/>
          <cell r="E34"/>
          <cell r="F34"/>
          <cell r="G34"/>
          <cell r="H34"/>
          <cell r="I34"/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B35">
            <v>4</v>
          </cell>
          <cell r="C35">
            <v>1</v>
          </cell>
          <cell r="D35">
            <v>0</v>
          </cell>
          <cell r="E35">
            <v>2</v>
          </cell>
          <cell r="F35"/>
          <cell r="G35"/>
          <cell r="H35">
            <v>5</v>
          </cell>
          <cell r="I35">
            <v>12</v>
          </cell>
          <cell r="R35">
            <v>4</v>
          </cell>
          <cell r="S35">
            <v>1</v>
          </cell>
          <cell r="T35">
            <v>0</v>
          </cell>
          <cell r="U35">
            <v>2</v>
          </cell>
          <cell r="V35">
            <v>0</v>
          </cell>
          <cell r="W35">
            <v>0</v>
          </cell>
          <cell r="X35">
            <v>6</v>
          </cell>
          <cell r="Y35">
            <v>12</v>
          </cell>
        </row>
        <row r="36">
          <cell r="B36"/>
          <cell r="C36"/>
          <cell r="D36"/>
          <cell r="E36"/>
          <cell r="F36"/>
          <cell r="G36"/>
          <cell r="H36"/>
          <cell r="I36"/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B37"/>
          <cell r="C37"/>
          <cell r="D37"/>
          <cell r="E37"/>
          <cell r="F37"/>
          <cell r="G37"/>
          <cell r="H37"/>
          <cell r="I37"/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B38"/>
          <cell r="C38"/>
          <cell r="D38"/>
          <cell r="E38"/>
          <cell r="F38"/>
          <cell r="G38"/>
          <cell r="H38"/>
          <cell r="I38"/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B39"/>
          <cell r="C39"/>
          <cell r="D39"/>
          <cell r="E39"/>
          <cell r="F39"/>
          <cell r="G39"/>
          <cell r="H39"/>
          <cell r="I39"/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B40"/>
          <cell r="C40"/>
          <cell r="D40"/>
          <cell r="E40"/>
          <cell r="F40"/>
          <cell r="G40"/>
          <cell r="H40">
            <v>3</v>
          </cell>
          <cell r="I40">
            <v>0</v>
          </cell>
          <cell r="R40">
            <v>0</v>
          </cell>
          <cell r="S40">
            <v>0</v>
          </cell>
          <cell r="T40">
            <v>0</v>
          </cell>
          <cell r="U40">
            <v>1</v>
          </cell>
          <cell r="V40">
            <v>0</v>
          </cell>
          <cell r="W40">
            <v>1</v>
          </cell>
          <cell r="X40">
            <v>5</v>
          </cell>
          <cell r="Y40">
            <v>3</v>
          </cell>
        </row>
        <row r="41">
          <cell r="B41"/>
          <cell r="C41"/>
          <cell r="D41"/>
          <cell r="E41"/>
          <cell r="F41"/>
          <cell r="G41"/>
          <cell r="H41"/>
          <cell r="I41"/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</row>
        <row r="42">
          <cell r="B42"/>
          <cell r="C42"/>
          <cell r="D42"/>
          <cell r="E42"/>
          <cell r="F42"/>
          <cell r="G42"/>
          <cell r="H42"/>
          <cell r="I42"/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</row>
        <row r="43">
          <cell r="B43"/>
          <cell r="C43"/>
          <cell r="D43"/>
          <cell r="E43"/>
          <cell r="F43"/>
          <cell r="G43"/>
          <cell r="H43"/>
          <cell r="I43"/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</row>
        <row r="44">
          <cell r="B44"/>
          <cell r="C44"/>
          <cell r="D44"/>
          <cell r="E44"/>
          <cell r="F44"/>
          <cell r="G44"/>
          <cell r="H44"/>
          <cell r="I44"/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</row>
        <row r="45">
          <cell r="B45"/>
          <cell r="C45"/>
          <cell r="D45"/>
          <cell r="E45"/>
          <cell r="F45"/>
          <cell r="G45"/>
          <cell r="H45">
            <v>0</v>
          </cell>
          <cell r="I45">
            <v>1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1</v>
          </cell>
          <cell r="Y45">
            <v>14</v>
          </cell>
        </row>
        <row r="46">
          <cell r="B46"/>
          <cell r="C46"/>
          <cell r="D46"/>
          <cell r="E46"/>
          <cell r="F46"/>
          <cell r="G46"/>
          <cell r="H46"/>
          <cell r="I46"/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B47"/>
          <cell r="C47"/>
          <cell r="D47"/>
          <cell r="E47"/>
          <cell r="F47"/>
          <cell r="G47"/>
          <cell r="H47"/>
          <cell r="I47"/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B48"/>
          <cell r="C48"/>
          <cell r="D48"/>
          <cell r="E48"/>
          <cell r="F48"/>
          <cell r="G48"/>
          <cell r="H48"/>
          <cell r="I48"/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B49"/>
          <cell r="C49"/>
          <cell r="D49"/>
          <cell r="E49"/>
          <cell r="F49"/>
          <cell r="G49"/>
          <cell r="H49"/>
          <cell r="I49"/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B50"/>
          <cell r="C50"/>
          <cell r="D50"/>
          <cell r="E50"/>
          <cell r="F50"/>
          <cell r="G50"/>
          <cell r="H50"/>
          <cell r="I50"/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1">
          <cell r="B51"/>
          <cell r="C51"/>
          <cell r="D51"/>
          <cell r="E51"/>
          <cell r="F51"/>
          <cell r="G51"/>
          <cell r="H51"/>
          <cell r="I51"/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B52"/>
          <cell r="C52"/>
          <cell r="D52"/>
          <cell r="E52"/>
          <cell r="F52"/>
          <cell r="G52"/>
          <cell r="H52"/>
          <cell r="I52"/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B53"/>
          <cell r="C53"/>
          <cell r="D53"/>
          <cell r="E53"/>
          <cell r="F53"/>
          <cell r="G53"/>
          <cell r="H53"/>
          <cell r="I53"/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B54"/>
          <cell r="C54"/>
          <cell r="D54"/>
          <cell r="E54"/>
          <cell r="F54"/>
          <cell r="G54"/>
          <cell r="H54"/>
          <cell r="I54"/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B55"/>
          <cell r="C55"/>
          <cell r="D55"/>
          <cell r="E55"/>
          <cell r="F55"/>
          <cell r="G55"/>
          <cell r="H55"/>
          <cell r="I55"/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B56"/>
          <cell r="C56"/>
          <cell r="D56"/>
          <cell r="E56"/>
          <cell r="F56"/>
          <cell r="G56"/>
          <cell r="H56"/>
          <cell r="I56"/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B57"/>
          <cell r="C57"/>
          <cell r="D57"/>
          <cell r="E57"/>
          <cell r="F57"/>
          <cell r="G57"/>
          <cell r="H57"/>
          <cell r="I57"/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B58"/>
          <cell r="C58"/>
          <cell r="D58"/>
          <cell r="E58"/>
          <cell r="F58"/>
          <cell r="G58"/>
          <cell r="H58"/>
          <cell r="I58"/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</row>
        <row r="59">
          <cell r="B59"/>
          <cell r="C59"/>
          <cell r="D59"/>
          <cell r="E59"/>
          <cell r="F59"/>
          <cell r="G59"/>
          <cell r="H59"/>
          <cell r="I59"/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B60"/>
          <cell r="C60"/>
          <cell r="D60"/>
          <cell r="E60"/>
          <cell r="F60"/>
          <cell r="G60"/>
          <cell r="H60"/>
          <cell r="I60"/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B61"/>
          <cell r="C61"/>
          <cell r="D61"/>
          <cell r="E61"/>
          <cell r="F61"/>
          <cell r="G61"/>
          <cell r="H61"/>
          <cell r="I61"/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</row>
        <row r="62">
          <cell r="B62"/>
          <cell r="C62"/>
          <cell r="D62"/>
          <cell r="E62"/>
          <cell r="F62"/>
          <cell r="G62"/>
          <cell r="H62"/>
          <cell r="I62"/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B63"/>
          <cell r="C63"/>
          <cell r="D63"/>
          <cell r="E63"/>
          <cell r="F63"/>
          <cell r="G63"/>
          <cell r="H63"/>
          <cell r="I63"/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B64"/>
          <cell r="C64"/>
          <cell r="D64"/>
          <cell r="E64"/>
          <cell r="F64"/>
          <cell r="G64"/>
          <cell r="H64"/>
          <cell r="I64"/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B65"/>
          <cell r="C65"/>
          <cell r="D65"/>
          <cell r="E65"/>
          <cell r="F65"/>
          <cell r="G65"/>
          <cell r="H65"/>
          <cell r="I65"/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B66"/>
          <cell r="C66"/>
          <cell r="D66"/>
          <cell r="E66"/>
          <cell r="F66"/>
          <cell r="G66"/>
          <cell r="H66"/>
          <cell r="I66"/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</row>
        <row r="67">
          <cell r="B67"/>
          <cell r="C67"/>
          <cell r="D67"/>
          <cell r="E67"/>
          <cell r="F67"/>
          <cell r="G67"/>
          <cell r="H67"/>
          <cell r="I67"/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</sheetData>
      <sheetData sheetId="23"/>
      <sheetData sheetId="24"/>
      <sheetData sheetId="25">
        <row r="35">
          <cell r="B35">
            <v>0</v>
          </cell>
          <cell r="Z35">
            <v>0</v>
          </cell>
          <cell r="AA35"/>
          <cell r="AB35"/>
          <cell r="AE35">
            <v>0</v>
          </cell>
        </row>
        <row r="36">
          <cell r="B36">
            <v>12</v>
          </cell>
          <cell r="Z36">
            <v>0</v>
          </cell>
          <cell r="AA36">
            <v>0</v>
          </cell>
          <cell r="AB36">
            <v>0</v>
          </cell>
          <cell r="AE36">
            <v>1</v>
          </cell>
        </row>
        <row r="37">
          <cell r="B37">
            <v>0</v>
          </cell>
          <cell r="Z37">
            <v>0</v>
          </cell>
          <cell r="AA37"/>
          <cell r="AB37"/>
          <cell r="AE37">
            <v>0</v>
          </cell>
        </row>
        <row r="38">
          <cell r="B38">
            <v>0</v>
          </cell>
          <cell r="Z38">
            <v>0</v>
          </cell>
          <cell r="AA38"/>
          <cell r="AB38"/>
          <cell r="AE38">
            <v>0</v>
          </cell>
        </row>
        <row r="39">
          <cell r="B39">
            <v>0</v>
          </cell>
          <cell r="Z39">
            <v>0</v>
          </cell>
          <cell r="AA39"/>
          <cell r="AB39"/>
          <cell r="AE39">
            <v>0</v>
          </cell>
        </row>
        <row r="40">
          <cell r="B40">
            <v>0</v>
          </cell>
          <cell r="Z40">
            <v>0</v>
          </cell>
          <cell r="AA40"/>
          <cell r="AB40"/>
          <cell r="AE40">
            <v>0</v>
          </cell>
        </row>
        <row r="41">
          <cell r="B41">
            <v>0</v>
          </cell>
          <cell r="Z41">
            <v>0</v>
          </cell>
          <cell r="AA41"/>
          <cell r="AB41"/>
          <cell r="AE41">
            <v>0</v>
          </cell>
        </row>
        <row r="42">
          <cell r="B42">
            <v>0</v>
          </cell>
          <cell r="Z42">
            <v>0</v>
          </cell>
          <cell r="AA42"/>
          <cell r="AB42"/>
          <cell r="AE42">
            <v>0</v>
          </cell>
        </row>
        <row r="43">
          <cell r="B43">
            <v>0</v>
          </cell>
          <cell r="Z43">
            <v>0</v>
          </cell>
          <cell r="AA43"/>
          <cell r="AB43"/>
          <cell r="AE43">
            <v>0</v>
          </cell>
        </row>
        <row r="44">
          <cell r="B44">
            <v>0</v>
          </cell>
          <cell r="Z44">
            <v>0</v>
          </cell>
          <cell r="AA44"/>
          <cell r="AB44"/>
          <cell r="AE44">
            <v>0</v>
          </cell>
        </row>
        <row r="45">
          <cell r="B45">
            <v>0</v>
          </cell>
          <cell r="Z45">
            <v>0</v>
          </cell>
          <cell r="AA45"/>
          <cell r="AB45"/>
          <cell r="AE45">
            <v>0</v>
          </cell>
        </row>
        <row r="46">
          <cell r="B46">
            <v>0</v>
          </cell>
          <cell r="Z46">
            <v>0</v>
          </cell>
          <cell r="AA46"/>
          <cell r="AB46"/>
          <cell r="AE46">
            <v>0</v>
          </cell>
        </row>
        <row r="47">
          <cell r="B47">
            <v>0</v>
          </cell>
          <cell r="Z47">
            <v>0</v>
          </cell>
          <cell r="AA47"/>
          <cell r="AB47"/>
          <cell r="AE47">
            <v>0</v>
          </cell>
        </row>
        <row r="48">
          <cell r="B48">
            <v>0</v>
          </cell>
          <cell r="Z48">
            <v>0</v>
          </cell>
          <cell r="AA48"/>
          <cell r="AB48"/>
          <cell r="AE48">
            <v>0</v>
          </cell>
        </row>
        <row r="49">
          <cell r="B49">
            <v>0</v>
          </cell>
          <cell r="Z49">
            <v>0</v>
          </cell>
          <cell r="AA49"/>
          <cell r="AB49"/>
          <cell r="AE49">
            <v>0</v>
          </cell>
        </row>
        <row r="50">
          <cell r="B50">
            <v>0</v>
          </cell>
          <cell r="Z50">
            <v>0</v>
          </cell>
          <cell r="AA50"/>
          <cell r="AB50"/>
          <cell r="AE50">
            <v>0</v>
          </cell>
        </row>
        <row r="51">
          <cell r="B51">
            <v>0</v>
          </cell>
          <cell r="Z51">
            <v>0</v>
          </cell>
          <cell r="AA51"/>
          <cell r="AB51"/>
          <cell r="AE51">
            <v>0</v>
          </cell>
        </row>
        <row r="52">
          <cell r="B52">
            <v>0</v>
          </cell>
          <cell r="Z52">
            <v>0</v>
          </cell>
          <cell r="AA52"/>
          <cell r="AB52"/>
          <cell r="AE52">
            <v>0</v>
          </cell>
        </row>
        <row r="53">
          <cell r="B53">
            <v>0</v>
          </cell>
          <cell r="Z53">
            <v>0</v>
          </cell>
          <cell r="AA53"/>
          <cell r="AB53"/>
          <cell r="AE53">
            <v>0</v>
          </cell>
        </row>
        <row r="54">
          <cell r="B54">
            <v>0</v>
          </cell>
          <cell r="Z54">
            <v>0</v>
          </cell>
          <cell r="AA54"/>
          <cell r="AB54"/>
          <cell r="AE54">
            <v>0</v>
          </cell>
        </row>
        <row r="55">
          <cell r="B55">
            <v>0</v>
          </cell>
          <cell r="Z55">
            <v>0</v>
          </cell>
          <cell r="AA55"/>
          <cell r="AB55"/>
          <cell r="AE55">
            <v>0</v>
          </cell>
        </row>
        <row r="56">
          <cell r="B56">
            <v>0</v>
          </cell>
          <cell r="Z56">
            <v>0</v>
          </cell>
          <cell r="AA56"/>
          <cell r="AB56"/>
          <cell r="AE56">
            <v>0</v>
          </cell>
        </row>
        <row r="57">
          <cell r="B57">
            <v>5</v>
          </cell>
          <cell r="Z57">
            <v>0</v>
          </cell>
          <cell r="AA57">
            <v>0</v>
          </cell>
          <cell r="AB57">
            <v>0</v>
          </cell>
          <cell r="AE57">
            <v>0</v>
          </cell>
        </row>
        <row r="58">
          <cell r="B58">
            <v>0</v>
          </cell>
          <cell r="Z58">
            <v>0</v>
          </cell>
          <cell r="AA58"/>
          <cell r="AB58"/>
          <cell r="AE58">
            <v>0</v>
          </cell>
        </row>
        <row r="59">
          <cell r="B59">
            <v>0</v>
          </cell>
          <cell r="Z59">
            <v>0</v>
          </cell>
          <cell r="AA59"/>
          <cell r="AB59"/>
          <cell r="AE59">
            <v>0</v>
          </cell>
        </row>
        <row r="60">
          <cell r="B60">
            <v>0</v>
          </cell>
          <cell r="Z60">
            <v>0</v>
          </cell>
          <cell r="AA60"/>
          <cell r="AB60"/>
          <cell r="AE60">
            <v>0</v>
          </cell>
        </row>
        <row r="61">
          <cell r="B61">
            <v>0</v>
          </cell>
          <cell r="Z61">
            <v>0</v>
          </cell>
          <cell r="AA61"/>
          <cell r="AB61"/>
          <cell r="AE61">
            <v>0</v>
          </cell>
        </row>
        <row r="62">
          <cell r="B62">
            <v>0</v>
          </cell>
          <cell r="Z62">
            <v>0</v>
          </cell>
          <cell r="AA62"/>
          <cell r="AB62"/>
          <cell r="AE62">
            <v>0</v>
          </cell>
        </row>
        <row r="63">
          <cell r="B63">
            <v>0</v>
          </cell>
          <cell r="Z63">
            <v>0</v>
          </cell>
          <cell r="AA63"/>
          <cell r="AB63"/>
          <cell r="AE63">
            <v>0</v>
          </cell>
        </row>
        <row r="64">
          <cell r="B64">
            <v>1</v>
          </cell>
          <cell r="Z64">
            <v>0</v>
          </cell>
          <cell r="AA64">
            <v>0</v>
          </cell>
          <cell r="AB64">
            <v>0</v>
          </cell>
          <cell r="AE64">
            <v>1</v>
          </cell>
        </row>
        <row r="65">
          <cell r="B65">
            <v>0</v>
          </cell>
          <cell r="Z65">
            <v>0</v>
          </cell>
          <cell r="AA65"/>
          <cell r="AB65"/>
          <cell r="AE65">
            <v>0</v>
          </cell>
        </row>
        <row r="66">
          <cell r="B66">
            <v>0</v>
          </cell>
          <cell r="Z66">
            <v>0</v>
          </cell>
          <cell r="AA66"/>
          <cell r="AB66"/>
          <cell r="AE66">
            <v>0</v>
          </cell>
        </row>
        <row r="67">
          <cell r="B67">
            <v>0</v>
          </cell>
          <cell r="Z67">
            <v>0</v>
          </cell>
          <cell r="AA67"/>
          <cell r="AB67"/>
          <cell r="AE67">
            <v>0</v>
          </cell>
        </row>
        <row r="68">
          <cell r="B68">
            <v>0</v>
          </cell>
          <cell r="Z68">
            <v>0</v>
          </cell>
          <cell r="AA68"/>
          <cell r="AB68"/>
          <cell r="AE68">
            <v>0</v>
          </cell>
        </row>
        <row r="69">
          <cell r="B69">
            <v>0</v>
          </cell>
          <cell r="Z69">
            <v>0</v>
          </cell>
          <cell r="AA69"/>
          <cell r="AB69"/>
          <cell r="AE69">
            <v>0</v>
          </cell>
        </row>
        <row r="70">
          <cell r="B70">
            <v>0</v>
          </cell>
          <cell r="Z70">
            <v>0</v>
          </cell>
          <cell r="AA70"/>
          <cell r="AB70"/>
          <cell r="AE70">
            <v>0</v>
          </cell>
        </row>
        <row r="71">
          <cell r="B71">
            <v>0</v>
          </cell>
          <cell r="Z71">
            <v>0</v>
          </cell>
          <cell r="AA71"/>
          <cell r="AB71"/>
          <cell r="AE71">
            <v>0</v>
          </cell>
        </row>
        <row r="72">
          <cell r="B72">
            <v>0</v>
          </cell>
          <cell r="Z72">
            <v>0</v>
          </cell>
          <cell r="AA72"/>
          <cell r="AB72"/>
          <cell r="AE72">
            <v>0</v>
          </cell>
        </row>
        <row r="73">
          <cell r="B73">
            <v>0</v>
          </cell>
          <cell r="Z73">
            <v>0</v>
          </cell>
          <cell r="AA73"/>
          <cell r="AB73"/>
          <cell r="AE73">
            <v>0</v>
          </cell>
        </row>
        <row r="74">
          <cell r="B74">
            <v>0</v>
          </cell>
          <cell r="Z74">
            <v>0</v>
          </cell>
          <cell r="AA74"/>
          <cell r="AB74"/>
          <cell r="AE74">
            <v>0</v>
          </cell>
        </row>
        <row r="75">
          <cell r="B75">
            <v>0</v>
          </cell>
          <cell r="Z75">
            <v>0</v>
          </cell>
          <cell r="AA75"/>
          <cell r="AB75"/>
          <cell r="AE75">
            <v>0</v>
          </cell>
        </row>
        <row r="76">
          <cell r="B76">
            <v>0</v>
          </cell>
          <cell r="Z76">
            <v>0</v>
          </cell>
          <cell r="AA76"/>
          <cell r="AB76"/>
          <cell r="AE76">
            <v>0</v>
          </cell>
        </row>
        <row r="77">
          <cell r="B77">
            <v>1</v>
          </cell>
          <cell r="Z77">
            <v>0</v>
          </cell>
          <cell r="AA77">
            <v>0</v>
          </cell>
          <cell r="AB77">
            <v>0</v>
          </cell>
          <cell r="AE77">
            <v>1</v>
          </cell>
        </row>
        <row r="78">
          <cell r="B78">
            <v>0</v>
          </cell>
          <cell r="Z78">
            <v>0</v>
          </cell>
          <cell r="AA78"/>
          <cell r="AB78"/>
          <cell r="AE78">
            <v>0</v>
          </cell>
        </row>
        <row r="79">
          <cell r="B79">
            <v>0</v>
          </cell>
          <cell r="Z79">
            <v>0</v>
          </cell>
          <cell r="AA79"/>
          <cell r="AB79"/>
          <cell r="AE79">
            <v>0</v>
          </cell>
        </row>
        <row r="80">
          <cell r="B80">
            <v>0</v>
          </cell>
          <cell r="Z80">
            <v>0</v>
          </cell>
          <cell r="AA80"/>
          <cell r="AB80"/>
          <cell r="AE80">
            <v>0</v>
          </cell>
        </row>
        <row r="81">
          <cell r="B81">
            <v>0</v>
          </cell>
          <cell r="Z81">
            <v>0</v>
          </cell>
          <cell r="AA81"/>
          <cell r="AB81"/>
          <cell r="AE81">
            <v>0</v>
          </cell>
        </row>
        <row r="82">
          <cell r="B82">
            <v>0</v>
          </cell>
          <cell r="Z82">
            <v>0</v>
          </cell>
          <cell r="AA82"/>
          <cell r="AB82"/>
          <cell r="AE82">
            <v>0</v>
          </cell>
        </row>
        <row r="83">
          <cell r="B83">
            <v>0</v>
          </cell>
          <cell r="Z83">
            <v>0</v>
          </cell>
          <cell r="AA83"/>
          <cell r="AB83"/>
          <cell r="AE83">
            <v>0</v>
          </cell>
        </row>
        <row r="84">
          <cell r="B84">
            <v>41</v>
          </cell>
          <cell r="Z84">
            <v>0</v>
          </cell>
          <cell r="AA84">
            <v>0</v>
          </cell>
          <cell r="AB84">
            <v>0</v>
          </cell>
          <cell r="AE84">
            <v>0</v>
          </cell>
        </row>
        <row r="85">
          <cell r="B85">
            <v>0</v>
          </cell>
          <cell r="Z85">
            <v>0</v>
          </cell>
          <cell r="AA85"/>
          <cell r="AB85"/>
          <cell r="AE85">
            <v>0</v>
          </cell>
        </row>
        <row r="86">
          <cell r="B86">
            <v>0</v>
          </cell>
          <cell r="Z86">
            <v>0</v>
          </cell>
          <cell r="AA86"/>
          <cell r="AB86"/>
          <cell r="AE86">
            <v>0</v>
          </cell>
        </row>
        <row r="87">
          <cell r="B87">
            <v>0</v>
          </cell>
          <cell r="Z87">
            <v>0</v>
          </cell>
          <cell r="AA87"/>
          <cell r="AB87"/>
          <cell r="AE87">
            <v>0</v>
          </cell>
        </row>
        <row r="88">
          <cell r="B88">
            <v>0</v>
          </cell>
          <cell r="Z88">
            <v>0</v>
          </cell>
          <cell r="AA88"/>
          <cell r="AB88"/>
          <cell r="AE88">
            <v>0</v>
          </cell>
        </row>
        <row r="89">
          <cell r="B89">
            <v>0</v>
          </cell>
          <cell r="Z89">
            <v>0</v>
          </cell>
          <cell r="AA89"/>
          <cell r="AB89"/>
          <cell r="AE89">
            <v>0</v>
          </cell>
        </row>
      </sheetData>
      <sheetData sheetId="26"/>
      <sheetData sheetId="27"/>
      <sheetData sheetId="28"/>
      <sheetData sheetId="2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BRE"/>
      <sheetName val="A01"/>
      <sheetName val="A02"/>
      <sheetName val="A03"/>
      <sheetName val="A04"/>
      <sheetName val="A05"/>
      <sheetName val="A06"/>
      <sheetName val="A07"/>
      <sheetName val="A08"/>
      <sheetName val="A09"/>
      <sheetName val="A11"/>
      <sheetName val="A11a"/>
      <sheetName val="A19a"/>
      <sheetName val="A19b"/>
      <sheetName val="A21"/>
      <sheetName val="A23"/>
      <sheetName val="A24"/>
      <sheetName val="A25"/>
      <sheetName val="A26"/>
      <sheetName val="A27"/>
      <sheetName val="A28"/>
      <sheetName val="A29"/>
      <sheetName val="A30"/>
      <sheetName val="A30AR"/>
      <sheetName val="A31"/>
      <sheetName val="A32"/>
      <sheetName val="A33"/>
      <sheetName val="A34"/>
      <sheetName val="Control"/>
      <sheetName val="MAC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2">
          <cell r="B12">
            <v>201</v>
          </cell>
          <cell r="X12">
            <v>58</v>
          </cell>
          <cell r="AB12">
            <v>0</v>
          </cell>
        </row>
        <row r="13">
          <cell r="B13">
            <v>483</v>
          </cell>
          <cell r="X13">
            <v>2</v>
          </cell>
          <cell r="AB13">
            <v>106</v>
          </cell>
        </row>
        <row r="14">
          <cell r="B14">
            <v>0</v>
          </cell>
          <cell r="X14">
            <v>0</v>
          </cell>
          <cell r="AB14">
            <v>0</v>
          </cell>
        </row>
        <row r="15">
          <cell r="B15">
            <v>0</v>
          </cell>
          <cell r="X15">
            <v>0</v>
          </cell>
          <cell r="AB15">
            <v>0</v>
          </cell>
        </row>
        <row r="16">
          <cell r="B16">
            <v>0</v>
          </cell>
          <cell r="X16">
            <v>0</v>
          </cell>
          <cell r="AB16">
            <v>0</v>
          </cell>
        </row>
        <row r="17">
          <cell r="B17">
            <v>15</v>
          </cell>
          <cell r="X17">
            <v>0</v>
          </cell>
          <cell r="AB17">
            <v>0</v>
          </cell>
        </row>
        <row r="18">
          <cell r="B18">
            <v>30</v>
          </cell>
          <cell r="X18">
            <v>0</v>
          </cell>
          <cell r="AB18">
            <v>0</v>
          </cell>
        </row>
        <row r="19">
          <cell r="B19">
            <v>88</v>
          </cell>
          <cell r="X19">
            <v>20</v>
          </cell>
          <cell r="AB19">
            <v>0</v>
          </cell>
        </row>
        <row r="20">
          <cell r="B20">
            <v>0</v>
          </cell>
          <cell r="X20">
            <v>0</v>
          </cell>
          <cell r="AB20">
            <v>0</v>
          </cell>
        </row>
        <row r="21">
          <cell r="B21">
            <v>0</v>
          </cell>
          <cell r="X21">
            <v>0</v>
          </cell>
          <cell r="AB21">
            <v>0</v>
          </cell>
        </row>
        <row r="22">
          <cell r="B22">
            <v>50</v>
          </cell>
          <cell r="X22">
            <v>1</v>
          </cell>
          <cell r="AB22">
            <v>3</v>
          </cell>
        </row>
        <row r="23">
          <cell r="B23">
            <v>0</v>
          </cell>
          <cell r="X23">
            <v>0</v>
          </cell>
          <cell r="AB23">
            <v>0</v>
          </cell>
        </row>
        <row r="24">
          <cell r="B24">
            <v>0</v>
          </cell>
          <cell r="X24">
            <v>0</v>
          </cell>
          <cell r="AB24">
            <v>0</v>
          </cell>
        </row>
        <row r="25">
          <cell r="B25">
            <v>0</v>
          </cell>
          <cell r="X25">
            <v>0</v>
          </cell>
          <cell r="AB25">
            <v>0</v>
          </cell>
        </row>
        <row r="26">
          <cell r="B26">
            <v>0</v>
          </cell>
          <cell r="X26">
            <v>0</v>
          </cell>
          <cell r="AB26">
            <v>0</v>
          </cell>
        </row>
        <row r="27">
          <cell r="B27">
            <v>7</v>
          </cell>
          <cell r="X27">
            <v>0</v>
          </cell>
          <cell r="AB27">
            <v>0</v>
          </cell>
        </row>
        <row r="28">
          <cell r="B28">
            <v>0</v>
          </cell>
          <cell r="X28">
            <v>0</v>
          </cell>
          <cell r="AB28">
            <v>0</v>
          </cell>
        </row>
        <row r="29">
          <cell r="B29">
            <v>0</v>
          </cell>
          <cell r="X29">
            <v>0</v>
          </cell>
          <cell r="AB29">
            <v>0</v>
          </cell>
        </row>
        <row r="30">
          <cell r="B30">
            <v>0</v>
          </cell>
          <cell r="X30">
            <v>0</v>
          </cell>
          <cell r="AB30">
            <v>0</v>
          </cell>
        </row>
        <row r="31">
          <cell r="B31">
            <v>0</v>
          </cell>
          <cell r="X31">
            <v>0</v>
          </cell>
          <cell r="AB31">
            <v>0</v>
          </cell>
        </row>
        <row r="32">
          <cell r="B32">
            <v>48</v>
          </cell>
          <cell r="X32">
            <v>2</v>
          </cell>
          <cell r="AB32">
            <v>18</v>
          </cell>
        </row>
        <row r="33">
          <cell r="B33">
            <v>0</v>
          </cell>
          <cell r="X33">
            <v>0</v>
          </cell>
          <cell r="AB33">
            <v>0</v>
          </cell>
        </row>
        <row r="34">
          <cell r="B34">
            <v>118</v>
          </cell>
          <cell r="X34">
            <v>12</v>
          </cell>
          <cell r="AB34">
            <v>11</v>
          </cell>
        </row>
        <row r="35">
          <cell r="B35">
            <v>0</v>
          </cell>
          <cell r="X35">
            <v>0</v>
          </cell>
          <cell r="AB35">
            <v>0</v>
          </cell>
        </row>
        <row r="36">
          <cell r="B36">
            <v>0</v>
          </cell>
          <cell r="X36">
            <v>0</v>
          </cell>
          <cell r="AB36">
            <v>0</v>
          </cell>
        </row>
        <row r="37">
          <cell r="B37">
            <v>0</v>
          </cell>
          <cell r="X37">
            <v>0</v>
          </cell>
          <cell r="AB37">
            <v>0</v>
          </cell>
        </row>
        <row r="38">
          <cell r="B38">
            <v>119</v>
          </cell>
          <cell r="X38">
            <v>20</v>
          </cell>
          <cell r="AB38">
            <v>0</v>
          </cell>
        </row>
        <row r="39">
          <cell r="B39">
            <v>238</v>
          </cell>
          <cell r="X39">
            <v>1</v>
          </cell>
          <cell r="AB39">
            <v>64</v>
          </cell>
        </row>
        <row r="40">
          <cell r="B40">
            <v>0</v>
          </cell>
          <cell r="X40">
            <v>0</v>
          </cell>
          <cell r="AB40">
            <v>0</v>
          </cell>
        </row>
        <row r="41">
          <cell r="B41">
            <v>239</v>
          </cell>
          <cell r="X41">
            <v>2</v>
          </cell>
          <cell r="AB41">
            <v>0</v>
          </cell>
        </row>
        <row r="42">
          <cell r="B42">
            <v>380</v>
          </cell>
          <cell r="X42">
            <v>0</v>
          </cell>
          <cell r="AB42">
            <v>7</v>
          </cell>
        </row>
        <row r="43">
          <cell r="B43">
            <v>111</v>
          </cell>
          <cell r="X43">
            <v>25</v>
          </cell>
          <cell r="AB43">
            <v>0</v>
          </cell>
        </row>
        <row r="44">
          <cell r="B44">
            <v>279</v>
          </cell>
          <cell r="X44">
            <v>3</v>
          </cell>
          <cell r="AB44">
            <v>101</v>
          </cell>
        </row>
        <row r="45">
          <cell r="B45">
            <v>30</v>
          </cell>
          <cell r="X45">
            <v>0</v>
          </cell>
          <cell r="AB45">
            <v>10</v>
          </cell>
        </row>
        <row r="46">
          <cell r="B46">
            <v>0</v>
          </cell>
          <cell r="X46">
            <v>0</v>
          </cell>
          <cell r="AB46">
            <v>0</v>
          </cell>
        </row>
        <row r="47">
          <cell r="B47">
            <v>0</v>
          </cell>
          <cell r="X47">
            <v>0</v>
          </cell>
          <cell r="AB47">
            <v>0</v>
          </cell>
        </row>
        <row r="48">
          <cell r="B48">
            <v>0</v>
          </cell>
          <cell r="X48">
            <v>0</v>
          </cell>
          <cell r="AB48">
            <v>0</v>
          </cell>
        </row>
        <row r="49">
          <cell r="B49">
            <v>61</v>
          </cell>
          <cell r="X49">
            <v>0</v>
          </cell>
          <cell r="AB49">
            <v>7</v>
          </cell>
        </row>
        <row r="50">
          <cell r="B50">
            <v>0</v>
          </cell>
          <cell r="X50">
            <v>0</v>
          </cell>
          <cell r="AB50">
            <v>0</v>
          </cell>
        </row>
        <row r="51">
          <cell r="B51">
            <v>0</v>
          </cell>
          <cell r="X51">
            <v>0</v>
          </cell>
          <cell r="AB51">
            <v>0</v>
          </cell>
        </row>
        <row r="52">
          <cell r="B52">
            <v>0</v>
          </cell>
          <cell r="X52">
            <v>0</v>
          </cell>
          <cell r="AB52">
            <v>0</v>
          </cell>
        </row>
        <row r="53">
          <cell r="B53">
            <v>0</v>
          </cell>
          <cell r="X53">
            <v>0</v>
          </cell>
          <cell r="AB53">
            <v>0</v>
          </cell>
        </row>
        <row r="54">
          <cell r="B54">
            <v>116</v>
          </cell>
          <cell r="X54">
            <v>31</v>
          </cell>
          <cell r="AB54">
            <v>31</v>
          </cell>
        </row>
        <row r="55">
          <cell r="B55">
            <v>632</v>
          </cell>
          <cell r="X55">
            <v>3</v>
          </cell>
          <cell r="AB55">
            <v>188</v>
          </cell>
        </row>
        <row r="56">
          <cell r="B56">
            <v>0</v>
          </cell>
          <cell r="X56">
            <v>0</v>
          </cell>
          <cell r="AB56">
            <v>0</v>
          </cell>
        </row>
        <row r="57">
          <cell r="B57">
            <v>0</v>
          </cell>
          <cell r="X57">
            <v>0</v>
          </cell>
          <cell r="AB57">
            <v>0</v>
          </cell>
        </row>
        <row r="58">
          <cell r="B58">
            <v>669</v>
          </cell>
          <cell r="X58">
            <v>19</v>
          </cell>
          <cell r="AB58">
            <v>314</v>
          </cell>
        </row>
        <row r="59">
          <cell r="B59">
            <v>120</v>
          </cell>
          <cell r="X59">
            <v>23</v>
          </cell>
          <cell r="AB59">
            <v>42</v>
          </cell>
        </row>
        <row r="60">
          <cell r="B60">
            <v>369</v>
          </cell>
          <cell r="X60">
            <v>28</v>
          </cell>
          <cell r="AB60">
            <v>58</v>
          </cell>
        </row>
        <row r="61">
          <cell r="B61">
            <v>245</v>
          </cell>
          <cell r="X61">
            <v>1</v>
          </cell>
          <cell r="AB61">
            <v>38</v>
          </cell>
        </row>
        <row r="62">
          <cell r="B62">
            <v>1</v>
          </cell>
          <cell r="X62">
            <v>0</v>
          </cell>
          <cell r="AB62">
            <v>0</v>
          </cell>
        </row>
        <row r="63">
          <cell r="B63">
            <v>0</v>
          </cell>
          <cell r="X63">
            <v>0</v>
          </cell>
          <cell r="AB63">
            <v>0</v>
          </cell>
        </row>
        <row r="64">
          <cell r="B64">
            <v>0</v>
          </cell>
          <cell r="X64">
            <v>0</v>
          </cell>
          <cell r="AB64">
            <v>0</v>
          </cell>
        </row>
        <row r="65">
          <cell r="B65">
            <v>0</v>
          </cell>
          <cell r="X65">
            <v>0</v>
          </cell>
          <cell r="AB65">
            <v>0</v>
          </cell>
        </row>
        <row r="66">
          <cell r="B66">
            <v>0</v>
          </cell>
          <cell r="X66">
            <v>0</v>
          </cell>
          <cell r="AB66">
            <v>0</v>
          </cell>
        </row>
        <row r="71">
          <cell r="V71">
            <v>12</v>
          </cell>
          <cell r="W71">
            <v>32</v>
          </cell>
        </row>
        <row r="72">
          <cell r="V72">
            <v>28</v>
          </cell>
          <cell r="W72">
            <v>179</v>
          </cell>
        </row>
        <row r="73">
          <cell r="V73"/>
          <cell r="W73"/>
        </row>
        <row r="74">
          <cell r="V74"/>
          <cell r="W74"/>
        </row>
        <row r="75">
          <cell r="V75"/>
          <cell r="W75"/>
        </row>
        <row r="76">
          <cell r="V76">
            <v>1</v>
          </cell>
          <cell r="W76"/>
        </row>
        <row r="77">
          <cell r="V77"/>
          <cell r="W77">
            <v>1</v>
          </cell>
        </row>
        <row r="78">
          <cell r="V78">
            <v>3</v>
          </cell>
          <cell r="W78">
            <v>5</v>
          </cell>
        </row>
        <row r="79">
          <cell r="V79"/>
          <cell r="W79"/>
        </row>
        <row r="80">
          <cell r="V80"/>
          <cell r="W80"/>
        </row>
        <row r="81">
          <cell r="V81">
            <v>8</v>
          </cell>
          <cell r="W81">
            <v>2</v>
          </cell>
        </row>
        <row r="82">
          <cell r="V82"/>
          <cell r="W82"/>
        </row>
        <row r="83">
          <cell r="V83"/>
          <cell r="W83"/>
        </row>
        <row r="84">
          <cell r="V84"/>
          <cell r="W84"/>
        </row>
        <row r="85">
          <cell r="V85"/>
          <cell r="W85"/>
        </row>
        <row r="86">
          <cell r="V86">
            <v>2</v>
          </cell>
          <cell r="W86"/>
        </row>
        <row r="87">
          <cell r="V87"/>
          <cell r="W87"/>
        </row>
        <row r="88">
          <cell r="V88"/>
          <cell r="W88"/>
        </row>
        <row r="89">
          <cell r="V89"/>
          <cell r="W89"/>
        </row>
        <row r="90">
          <cell r="V90"/>
          <cell r="W90"/>
        </row>
        <row r="91">
          <cell r="V91">
            <v>1</v>
          </cell>
          <cell r="W91"/>
        </row>
        <row r="92">
          <cell r="V92"/>
          <cell r="W92"/>
        </row>
        <row r="93">
          <cell r="V93">
            <v>5</v>
          </cell>
          <cell r="W93">
            <v>14</v>
          </cell>
        </row>
        <row r="94">
          <cell r="V94"/>
          <cell r="W94"/>
        </row>
        <row r="95">
          <cell r="V95"/>
          <cell r="W95"/>
        </row>
        <row r="96">
          <cell r="V96"/>
          <cell r="W96"/>
        </row>
        <row r="97">
          <cell r="V97">
            <v>7</v>
          </cell>
          <cell r="W97">
            <v>13</v>
          </cell>
        </row>
        <row r="98">
          <cell r="V98">
            <v>15</v>
          </cell>
          <cell r="W98">
            <v>32</v>
          </cell>
        </row>
        <row r="99">
          <cell r="V99"/>
          <cell r="W99"/>
        </row>
        <row r="100">
          <cell r="V100">
            <v>39</v>
          </cell>
          <cell r="W100">
            <v>47</v>
          </cell>
        </row>
        <row r="101">
          <cell r="V101">
            <v>75</v>
          </cell>
          <cell r="W101">
            <v>48</v>
          </cell>
        </row>
        <row r="102">
          <cell r="V102">
            <v>24</v>
          </cell>
          <cell r="W102"/>
        </row>
        <row r="103">
          <cell r="V103">
            <v>17</v>
          </cell>
          <cell r="W103">
            <v>37</v>
          </cell>
        </row>
        <row r="104">
          <cell r="V104">
            <v>2</v>
          </cell>
          <cell r="W104"/>
        </row>
        <row r="105">
          <cell r="V105"/>
          <cell r="W105"/>
        </row>
        <row r="106">
          <cell r="V106"/>
          <cell r="W106"/>
        </row>
        <row r="107">
          <cell r="V107"/>
          <cell r="W107"/>
        </row>
        <row r="108">
          <cell r="V108"/>
          <cell r="W108"/>
        </row>
        <row r="109">
          <cell r="V109"/>
          <cell r="W109"/>
        </row>
        <row r="110">
          <cell r="V110"/>
          <cell r="W110"/>
        </row>
        <row r="111">
          <cell r="V111"/>
          <cell r="W111"/>
        </row>
        <row r="112">
          <cell r="V112"/>
          <cell r="W112"/>
        </row>
        <row r="113">
          <cell r="V113">
            <v>3</v>
          </cell>
          <cell r="W113">
            <v>1</v>
          </cell>
        </row>
        <row r="114">
          <cell r="V114">
            <v>47</v>
          </cell>
          <cell r="W114"/>
        </row>
        <row r="115">
          <cell r="V115"/>
          <cell r="W115"/>
        </row>
        <row r="116">
          <cell r="V116"/>
          <cell r="W116"/>
        </row>
        <row r="117">
          <cell r="V117">
            <v>11</v>
          </cell>
          <cell r="W117">
            <v>5</v>
          </cell>
        </row>
        <row r="118">
          <cell r="V118">
            <v>2</v>
          </cell>
          <cell r="W118"/>
        </row>
        <row r="119">
          <cell r="V119">
            <v>25</v>
          </cell>
          <cell r="W119"/>
        </row>
        <row r="120">
          <cell r="V120">
            <v>22</v>
          </cell>
          <cell r="W120">
            <v>44</v>
          </cell>
        </row>
        <row r="121">
          <cell r="V121"/>
          <cell r="W121"/>
        </row>
        <row r="122">
          <cell r="V122"/>
          <cell r="W122"/>
        </row>
        <row r="123">
          <cell r="V123"/>
          <cell r="W123"/>
        </row>
        <row r="124">
          <cell r="V124"/>
          <cell r="W124"/>
        </row>
        <row r="125">
          <cell r="V125"/>
          <cell r="W125"/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3">
          <cell r="B13"/>
          <cell r="C13"/>
          <cell r="D13"/>
          <cell r="E13"/>
          <cell r="F13"/>
          <cell r="G13"/>
          <cell r="H13"/>
          <cell r="I13"/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B14"/>
          <cell r="C14"/>
          <cell r="D14"/>
          <cell r="E14"/>
          <cell r="F14"/>
          <cell r="G14"/>
          <cell r="H14">
            <v>1</v>
          </cell>
          <cell r="I14">
            <v>1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2</v>
          </cell>
          <cell r="Y14">
            <v>3</v>
          </cell>
        </row>
        <row r="15">
          <cell r="B15"/>
          <cell r="C15"/>
          <cell r="D15"/>
          <cell r="E15"/>
          <cell r="F15"/>
          <cell r="G15"/>
          <cell r="H15"/>
          <cell r="I15"/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  <row r="16">
          <cell r="B16"/>
          <cell r="C16"/>
          <cell r="D16"/>
          <cell r="E16"/>
          <cell r="F16"/>
          <cell r="G16"/>
          <cell r="H16"/>
          <cell r="I16"/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B17"/>
          <cell r="C17"/>
          <cell r="D17"/>
          <cell r="E17"/>
          <cell r="F17"/>
          <cell r="G17"/>
          <cell r="H17"/>
          <cell r="I17"/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B18"/>
          <cell r="C18"/>
          <cell r="D18"/>
          <cell r="E18"/>
          <cell r="F18"/>
          <cell r="G18"/>
          <cell r="H18"/>
          <cell r="I18"/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B19"/>
          <cell r="C19"/>
          <cell r="D19"/>
          <cell r="E19"/>
          <cell r="F19"/>
          <cell r="G19"/>
          <cell r="H19"/>
          <cell r="I19"/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B20"/>
          <cell r="C20"/>
          <cell r="D20"/>
          <cell r="E20"/>
          <cell r="F20"/>
          <cell r="G20"/>
          <cell r="H20"/>
          <cell r="I20"/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B21"/>
          <cell r="C21"/>
          <cell r="D21"/>
          <cell r="E21"/>
          <cell r="F21"/>
          <cell r="G21"/>
          <cell r="H21"/>
          <cell r="I21"/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B22"/>
          <cell r="C22"/>
          <cell r="D22"/>
          <cell r="E22"/>
          <cell r="F22"/>
          <cell r="G22"/>
          <cell r="H22"/>
          <cell r="I22"/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B23"/>
          <cell r="C23"/>
          <cell r="D23"/>
          <cell r="E23"/>
          <cell r="F23"/>
          <cell r="G23"/>
          <cell r="H23"/>
          <cell r="I23"/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B24"/>
          <cell r="C24"/>
          <cell r="D24"/>
          <cell r="E24"/>
          <cell r="F24"/>
          <cell r="G24"/>
          <cell r="H24"/>
          <cell r="I24"/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B25"/>
          <cell r="C25"/>
          <cell r="D25"/>
          <cell r="E25"/>
          <cell r="F25"/>
          <cell r="G25"/>
          <cell r="H25"/>
          <cell r="I25"/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B26"/>
          <cell r="C26"/>
          <cell r="D26"/>
          <cell r="E26"/>
          <cell r="F26"/>
          <cell r="G26"/>
          <cell r="H26"/>
          <cell r="I26"/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B27"/>
          <cell r="C27"/>
          <cell r="D27"/>
          <cell r="E27"/>
          <cell r="F27"/>
          <cell r="G27"/>
          <cell r="H27"/>
          <cell r="I27"/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B28"/>
          <cell r="C28"/>
          <cell r="D28"/>
          <cell r="E28"/>
          <cell r="F28"/>
          <cell r="G28"/>
          <cell r="H28"/>
          <cell r="I28"/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B29"/>
          <cell r="C29"/>
          <cell r="D29"/>
          <cell r="E29"/>
          <cell r="F29"/>
          <cell r="G29"/>
          <cell r="H29"/>
          <cell r="I29"/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B30"/>
          <cell r="C30"/>
          <cell r="D30"/>
          <cell r="E30"/>
          <cell r="F30"/>
          <cell r="G30"/>
          <cell r="H30"/>
          <cell r="I30"/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B31"/>
          <cell r="C31"/>
          <cell r="D31"/>
          <cell r="E31"/>
          <cell r="F31"/>
          <cell r="G31"/>
          <cell r="H31"/>
          <cell r="I31"/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B32"/>
          <cell r="C32"/>
          <cell r="D32"/>
          <cell r="E32"/>
          <cell r="F32"/>
          <cell r="G32"/>
          <cell r="H32"/>
          <cell r="I32"/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B33"/>
          <cell r="C33"/>
          <cell r="D33"/>
          <cell r="E33"/>
          <cell r="F33"/>
          <cell r="G33"/>
          <cell r="H33"/>
          <cell r="I33"/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B34"/>
          <cell r="C34"/>
          <cell r="D34"/>
          <cell r="E34"/>
          <cell r="F34"/>
          <cell r="G34"/>
          <cell r="H34"/>
          <cell r="I34"/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B35">
            <v>2</v>
          </cell>
          <cell r="C35">
            <v>0</v>
          </cell>
          <cell r="D35"/>
          <cell r="E35"/>
          <cell r="F35"/>
          <cell r="G35"/>
          <cell r="H35">
            <v>1</v>
          </cell>
          <cell r="I35">
            <v>8</v>
          </cell>
          <cell r="R35">
            <v>2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2</v>
          </cell>
          <cell r="Y35">
            <v>16</v>
          </cell>
        </row>
        <row r="36">
          <cell r="B36"/>
          <cell r="C36"/>
          <cell r="D36"/>
          <cell r="E36"/>
          <cell r="F36"/>
          <cell r="G36"/>
          <cell r="H36"/>
          <cell r="I36"/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B37"/>
          <cell r="C37"/>
          <cell r="D37"/>
          <cell r="E37"/>
          <cell r="F37"/>
          <cell r="G37"/>
          <cell r="H37"/>
          <cell r="I37"/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B38"/>
          <cell r="C38"/>
          <cell r="D38"/>
          <cell r="E38"/>
          <cell r="F38"/>
          <cell r="G38"/>
          <cell r="H38"/>
          <cell r="I38"/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B39"/>
          <cell r="C39"/>
          <cell r="D39"/>
          <cell r="E39"/>
          <cell r="F39"/>
          <cell r="G39"/>
          <cell r="H39"/>
          <cell r="I39"/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B40"/>
          <cell r="C40"/>
          <cell r="D40"/>
          <cell r="E40"/>
          <cell r="F40"/>
          <cell r="G40"/>
          <cell r="H40">
            <v>1</v>
          </cell>
          <cell r="I40">
            <v>2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3</v>
          </cell>
          <cell r="Y40">
            <v>7</v>
          </cell>
        </row>
        <row r="41">
          <cell r="B41"/>
          <cell r="C41"/>
          <cell r="D41"/>
          <cell r="E41"/>
          <cell r="F41"/>
          <cell r="G41"/>
          <cell r="H41"/>
          <cell r="I41"/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</row>
        <row r="42">
          <cell r="B42"/>
          <cell r="C42"/>
          <cell r="D42"/>
          <cell r="E42"/>
          <cell r="F42"/>
          <cell r="G42"/>
          <cell r="H42"/>
          <cell r="I42"/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</row>
        <row r="43">
          <cell r="B43"/>
          <cell r="C43"/>
          <cell r="D43"/>
          <cell r="E43"/>
          <cell r="F43"/>
          <cell r="G43"/>
          <cell r="H43"/>
          <cell r="I43"/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</row>
        <row r="44">
          <cell r="B44"/>
          <cell r="C44"/>
          <cell r="D44"/>
          <cell r="E44"/>
          <cell r="F44"/>
          <cell r="G44"/>
          <cell r="H44"/>
          <cell r="I44"/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</row>
        <row r="45">
          <cell r="B45"/>
          <cell r="C45"/>
          <cell r="D45"/>
          <cell r="E45"/>
          <cell r="F45"/>
          <cell r="G45"/>
          <cell r="H45"/>
          <cell r="I45"/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</row>
        <row r="46">
          <cell r="B46"/>
          <cell r="C46"/>
          <cell r="D46"/>
          <cell r="E46"/>
          <cell r="F46"/>
          <cell r="G46"/>
          <cell r="H46"/>
          <cell r="I46"/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B47"/>
          <cell r="C47"/>
          <cell r="D47"/>
          <cell r="E47"/>
          <cell r="F47"/>
          <cell r="G47"/>
          <cell r="H47"/>
          <cell r="I47"/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B48"/>
          <cell r="C48"/>
          <cell r="D48"/>
          <cell r="E48"/>
          <cell r="F48"/>
          <cell r="G48"/>
          <cell r="H48"/>
          <cell r="I48"/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B49"/>
          <cell r="C49"/>
          <cell r="D49"/>
          <cell r="E49"/>
          <cell r="F49"/>
          <cell r="G49"/>
          <cell r="H49"/>
          <cell r="I49"/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B50"/>
          <cell r="C50"/>
          <cell r="D50"/>
          <cell r="E50"/>
          <cell r="F50"/>
          <cell r="G50"/>
          <cell r="H50"/>
          <cell r="I50"/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1">
          <cell r="B51"/>
          <cell r="C51"/>
          <cell r="D51"/>
          <cell r="E51"/>
          <cell r="F51"/>
          <cell r="G51"/>
          <cell r="H51"/>
          <cell r="I51"/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B52"/>
          <cell r="C52"/>
          <cell r="D52"/>
          <cell r="E52"/>
          <cell r="F52"/>
          <cell r="G52"/>
          <cell r="H52"/>
          <cell r="I52"/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B53"/>
          <cell r="C53"/>
          <cell r="D53"/>
          <cell r="E53"/>
          <cell r="F53"/>
          <cell r="G53"/>
          <cell r="H53"/>
          <cell r="I53"/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B54"/>
          <cell r="C54"/>
          <cell r="D54"/>
          <cell r="E54"/>
          <cell r="F54"/>
          <cell r="G54"/>
          <cell r="H54"/>
          <cell r="I54"/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B55"/>
          <cell r="C55"/>
          <cell r="D55"/>
          <cell r="E55"/>
          <cell r="F55"/>
          <cell r="G55"/>
          <cell r="H55"/>
          <cell r="I55"/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B56"/>
          <cell r="C56"/>
          <cell r="D56"/>
          <cell r="E56"/>
          <cell r="F56"/>
          <cell r="G56"/>
          <cell r="H56"/>
          <cell r="I56"/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B57"/>
          <cell r="C57"/>
          <cell r="D57"/>
          <cell r="E57"/>
          <cell r="F57"/>
          <cell r="G57"/>
          <cell r="H57"/>
          <cell r="I57"/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B58"/>
          <cell r="C58"/>
          <cell r="D58"/>
          <cell r="E58"/>
          <cell r="F58"/>
          <cell r="G58"/>
          <cell r="H58"/>
          <cell r="I58"/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</row>
        <row r="59">
          <cell r="B59"/>
          <cell r="C59"/>
          <cell r="D59"/>
          <cell r="E59"/>
          <cell r="F59"/>
          <cell r="G59"/>
          <cell r="H59"/>
          <cell r="I59"/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B60"/>
          <cell r="C60"/>
          <cell r="D60"/>
          <cell r="E60"/>
          <cell r="F60"/>
          <cell r="G60"/>
          <cell r="H60"/>
          <cell r="I60"/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B61"/>
          <cell r="C61"/>
          <cell r="D61"/>
          <cell r="E61"/>
          <cell r="F61"/>
          <cell r="G61"/>
          <cell r="H61"/>
          <cell r="I61"/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</row>
        <row r="62">
          <cell r="B62"/>
          <cell r="C62"/>
          <cell r="D62"/>
          <cell r="E62"/>
          <cell r="F62"/>
          <cell r="G62"/>
          <cell r="H62"/>
          <cell r="I62"/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B63"/>
          <cell r="C63"/>
          <cell r="D63"/>
          <cell r="E63"/>
          <cell r="F63"/>
          <cell r="G63"/>
          <cell r="H63"/>
          <cell r="I63"/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B64"/>
          <cell r="C64"/>
          <cell r="D64"/>
          <cell r="E64"/>
          <cell r="F64"/>
          <cell r="G64"/>
          <cell r="H64"/>
          <cell r="I64"/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B65"/>
          <cell r="C65"/>
          <cell r="D65"/>
          <cell r="E65"/>
          <cell r="F65"/>
          <cell r="G65"/>
          <cell r="H65"/>
          <cell r="I65"/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B66"/>
          <cell r="C66"/>
          <cell r="D66"/>
          <cell r="E66"/>
          <cell r="F66"/>
          <cell r="G66"/>
          <cell r="H66"/>
          <cell r="I66"/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</row>
        <row r="67">
          <cell r="B67"/>
          <cell r="C67"/>
          <cell r="D67"/>
          <cell r="E67"/>
          <cell r="F67"/>
          <cell r="G67"/>
          <cell r="H67"/>
          <cell r="I67"/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</sheetData>
      <sheetData sheetId="23"/>
      <sheetData sheetId="24"/>
      <sheetData sheetId="25">
        <row r="35">
          <cell r="B35">
            <v>1</v>
          </cell>
          <cell r="Z35">
            <v>0</v>
          </cell>
          <cell r="AA35">
            <v>0</v>
          </cell>
          <cell r="AB35">
            <v>0</v>
          </cell>
          <cell r="AE35">
            <v>0</v>
          </cell>
        </row>
        <row r="36">
          <cell r="B36">
            <v>1</v>
          </cell>
          <cell r="Z36">
            <v>0</v>
          </cell>
          <cell r="AA36">
            <v>0</v>
          </cell>
          <cell r="AB36">
            <v>0</v>
          </cell>
          <cell r="AE36">
            <v>0</v>
          </cell>
        </row>
        <row r="37">
          <cell r="B37">
            <v>0</v>
          </cell>
          <cell r="Z37">
            <v>0</v>
          </cell>
          <cell r="AA37"/>
          <cell r="AB37"/>
          <cell r="AE37">
            <v>0</v>
          </cell>
        </row>
        <row r="38">
          <cell r="B38">
            <v>0</v>
          </cell>
          <cell r="Z38">
            <v>0</v>
          </cell>
          <cell r="AA38"/>
          <cell r="AB38"/>
          <cell r="AE38">
            <v>0</v>
          </cell>
        </row>
        <row r="39">
          <cell r="B39">
            <v>0</v>
          </cell>
          <cell r="Z39">
            <v>0</v>
          </cell>
          <cell r="AA39"/>
          <cell r="AB39"/>
          <cell r="AE39">
            <v>0</v>
          </cell>
        </row>
        <row r="40">
          <cell r="B40">
            <v>0</v>
          </cell>
          <cell r="Z40">
            <v>0</v>
          </cell>
          <cell r="AA40"/>
          <cell r="AB40"/>
          <cell r="AE40">
            <v>0</v>
          </cell>
        </row>
        <row r="41">
          <cell r="B41">
            <v>0</v>
          </cell>
          <cell r="Z41">
            <v>0</v>
          </cell>
          <cell r="AA41"/>
          <cell r="AB41"/>
          <cell r="AE41">
            <v>0</v>
          </cell>
        </row>
        <row r="42">
          <cell r="B42">
            <v>2</v>
          </cell>
          <cell r="Z42">
            <v>0</v>
          </cell>
          <cell r="AA42">
            <v>0</v>
          </cell>
          <cell r="AB42">
            <v>0</v>
          </cell>
          <cell r="AE42">
            <v>0</v>
          </cell>
        </row>
        <row r="43">
          <cell r="B43">
            <v>0</v>
          </cell>
          <cell r="Z43">
            <v>0</v>
          </cell>
          <cell r="AA43"/>
          <cell r="AB43"/>
          <cell r="AE43">
            <v>0</v>
          </cell>
        </row>
        <row r="44">
          <cell r="B44">
            <v>0</v>
          </cell>
          <cell r="Z44">
            <v>0</v>
          </cell>
          <cell r="AA44"/>
          <cell r="AB44"/>
          <cell r="AE44">
            <v>0</v>
          </cell>
        </row>
        <row r="45">
          <cell r="B45">
            <v>0</v>
          </cell>
          <cell r="Z45">
            <v>0</v>
          </cell>
          <cell r="AA45"/>
          <cell r="AB45"/>
          <cell r="AE45">
            <v>0</v>
          </cell>
        </row>
        <row r="46">
          <cell r="B46">
            <v>0</v>
          </cell>
          <cell r="Z46">
            <v>0</v>
          </cell>
          <cell r="AA46"/>
          <cell r="AB46"/>
          <cell r="AE46">
            <v>0</v>
          </cell>
        </row>
        <row r="47">
          <cell r="B47">
            <v>0</v>
          </cell>
          <cell r="Z47">
            <v>0</v>
          </cell>
          <cell r="AA47"/>
          <cell r="AB47"/>
          <cell r="AE47">
            <v>0</v>
          </cell>
        </row>
        <row r="48">
          <cell r="B48">
            <v>0</v>
          </cell>
          <cell r="Z48">
            <v>0</v>
          </cell>
          <cell r="AA48"/>
          <cell r="AB48"/>
          <cell r="AE48">
            <v>0</v>
          </cell>
        </row>
        <row r="49">
          <cell r="B49">
            <v>0</v>
          </cell>
          <cell r="Z49">
            <v>0</v>
          </cell>
          <cell r="AA49"/>
          <cell r="AB49"/>
          <cell r="AE49">
            <v>0</v>
          </cell>
        </row>
        <row r="50">
          <cell r="B50">
            <v>0</v>
          </cell>
          <cell r="Z50">
            <v>0</v>
          </cell>
          <cell r="AA50"/>
          <cell r="AB50"/>
          <cell r="AE50">
            <v>0</v>
          </cell>
        </row>
        <row r="51">
          <cell r="B51">
            <v>0</v>
          </cell>
          <cell r="Z51">
            <v>0</v>
          </cell>
          <cell r="AA51"/>
          <cell r="AB51"/>
          <cell r="AE51">
            <v>0</v>
          </cell>
        </row>
        <row r="52">
          <cell r="B52">
            <v>0</v>
          </cell>
          <cell r="Z52">
            <v>0</v>
          </cell>
          <cell r="AA52"/>
          <cell r="AB52"/>
          <cell r="AE52">
            <v>0</v>
          </cell>
        </row>
        <row r="53">
          <cell r="B53">
            <v>0</v>
          </cell>
          <cell r="Z53">
            <v>0</v>
          </cell>
          <cell r="AA53"/>
          <cell r="AB53"/>
          <cell r="AE53">
            <v>0</v>
          </cell>
        </row>
        <row r="54">
          <cell r="B54">
            <v>0</v>
          </cell>
          <cell r="Z54">
            <v>0</v>
          </cell>
          <cell r="AA54"/>
          <cell r="AB54"/>
          <cell r="AE54">
            <v>0</v>
          </cell>
        </row>
        <row r="55">
          <cell r="B55">
            <v>0</v>
          </cell>
          <cell r="Z55">
            <v>0</v>
          </cell>
          <cell r="AA55"/>
          <cell r="AB55"/>
          <cell r="AE55">
            <v>0</v>
          </cell>
        </row>
        <row r="56">
          <cell r="B56">
            <v>0</v>
          </cell>
          <cell r="Z56">
            <v>0</v>
          </cell>
          <cell r="AA56"/>
          <cell r="AB56"/>
          <cell r="AE56">
            <v>0</v>
          </cell>
        </row>
        <row r="57">
          <cell r="B57">
            <v>9</v>
          </cell>
          <cell r="Z57">
            <v>0</v>
          </cell>
          <cell r="AA57">
            <v>0</v>
          </cell>
          <cell r="AB57">
            <v>0</v>
          </cell>
          <cell r="AE57">
            <v>0</v>
          </cell>
        </row>
        <row r="58">
          <cell r="B58">
            <v>0</v>
          </cell>
          <cell r="Z58">
            <v>0</v>
          </cell>
          <cell r="AA58"/>
          <cell r="AB58"/>
          <cell r="AE58">
            <v>0</v>
          </cell>
        </row>
        <row r="59">
          <cell r="B59">
            <v>0</v>
          </cell>
          <cell r="Z59">
            <v>0</v>
          </cell>
          <cell r="AA59"/>
          <cell r="AB59"/>
          <cell r="AE59">
            <v>0</v>
          </cell>
        </row>
        <row r="60">
          <cell r="B60">
            <v>0</v>
          </cell>
          <cell r="Z60">
            <v>0</v>
          </cell>
          <cell r="AA60"/>
          <cell r="AB60"/>
          <cell r="AE60">
            <v>0</v>
          </cell>
        </row>
        <row r="61">
          <cell r="B61">
            <v>0</v>
          </cell>
          <cell r="Z61">
            <v>0</v>
          </cell>
          <cell r="AA61"/>
          <cell r="AB61"/>
          <cell r="AE61">
            <v>0</v>
          </cell>
        </row>
        <row r="62">
          <cell r="B62">
            <v>1</v>
          </cell>
          <cell r="Z62">
            <v>0</v>
          </cell>
          <cell r="AA62">
            <v>0</v>
          </cell>
          <cell r="AB62">
            <v>0</v>
          </cell>
          <cell r="AE62">
            <v>0</v>
          </cell>
        </row>
        <row r="63">
          <cell r="B63">
            <v>0</v>
          </cell>
          <cell r="Z63">
            <v>0</v>
          </cell>
          <cell r="AA63"/>
          <cell r="AB63"/>
          <cell r="AE63">
            <v>0</v>
          </cell>
        </row>
        <row r="64">
          <cell r="B64">
            <v>0</v>
          </cell>
          <cell r="Z64">
            <v>0</v>
          </cell>
          <cell r="AA64"/>
          <cell r="AB64"/>
          <cell r="AE64">
            <v>0</v>
          </cell>
        </row>
        <row r="65">
          <cell r="B65">
            <v>0</v>
          </cell>
          <cell r="Z65">
            <v>0</v>
          </cell>
          <cell r="AA65"/>
          <cell r="AB65"/>
          <cell r="AE65">
            <v>0</v>
          </cell>
        </row>
        <row r="66">
          <cell r="B66">
            <v>8</v>
          </cell>
          <cell r="Z66">
            <v>1</v>
          </cell>
          <cell r="AA66">
            <v>0</v>
          </cell>
          <cell r="AB66">
            <v>1</v>
          </cell>
          <cell r="AE66">
            <v>0</v>
          </cell>
        </row>
        <row r="67">
          <cell r="B67">
            <v>1</v>
          </cell>
          <cell r="Z67">
            <v>0</v>
          </cell>
          <cell r="AA67">
            <v>0</v>
          </cell>
          <cell r="AB67">
            <v>0</v>
          </cell>
          <cell r="AE67">
            <v>0</v>
          </cell>
        </row>
        <row r="68">
          <cell r="B68">
            <v>0</v>
          </cell>
          <cell r="Z68">
            <v>0</v>
          </cell>
          <cell r="AA68"/>
          <cell r="AB68"/>
          <cell r="AE68">
            <v>0</v>
          </cell>
        </row>
        <row r="69">
          <cell r="B69">
            <v>0</v>
          </cell>
          <cell r="Z69">
            <v>0</v>
          </cell>
          <cell r="AA69"/>
          <cell r="AB69"/>
          <cell r="AE69">
            <v>0</v>
          </cell>
        </row>
        <row r="70">
          <cell r="B70">
            <v>0</v>
          </cell>
          <cell r="Z70">
            <v>0</v>
          </cell>
          <cell r="AA70"/>
          <cell r="AB70"/>
          <cell r="AE70">
            <v>0</v>
          </cell>
        </row>
        <row r="71">
          <cell r="B71">
            <v>0</v>
          </cell>
          <cell r="Z71">
            <v>0</v>
          </cell>
          <cell r="AA71"/>
          <cell r="AB71"/>
          <cell r="AE71">
            <v>0</v>
          </cell>
        </row>
        <row r="72">
          <cell r="B72">
            <v>1</v>
          </cell>
          <cell r="Z72">
            <v>0</v>
          </cell>
          <cell r="AA72">
            <v>0</v>
          </cell>
          <cell r="AB72">
            <v>0</v>
          </cell>
          <cell r="AE72">
            <v>0</v>
          </cell>
        </row>
        <row r="73">
          <cell r="B73">
            <v>0</v>
          </cell>
          <cell r="Z73">
            <v>0</v>
          </cell>
          <cell r="AA73"/>
          <cell r="AB73"/>
          <cell r="AE73">
            <v>0</v>
          </cell>
        </row>
        <row r="74">
          <cell r="B74">
            <v>0</v>
          </cell>
          <cell r="Z74">
            <v>0</v>
          </cell>
          <cell r="AA74"/>
          <cell r="AB74"/>
          <cell r="AE74">
            <v>0</v>
          </cell>
        </row>
        <row r="75">
          <cell r="B75">
            <v>0</v>
          </cell>
          <cell r="Z75">
            <v>0</v>
          </cell>
          <cell r="AA75"/>
          <cell r="AB75"/>
          <cell r="AE75">
            <v>0</v>
          </cell>
        </row>
        <row r="76">
          <cell r="B76">
            <v>0</v>
          </cell>
          <cell r="Z76">
            <v>0</v>
          </cell>
          <cell r="AA76"/>
          <cell r="AB76"/>
          <cell r="AE76">
            <v>0</v>
          </cell>
        </row>
        <row r="77">
          <cell r="B77">
            <v>1</v>
          </cell>
          <cell r="Z77">
            <v>0</v>
          </cell>
          <cell r="AA77">
            <v>0</v>
          </cell>
          <cell r="AB77">
            <v>0</v>
          </cell>
          <cell r="AE77">
            <v>0</v>
          </cell>
        </row>
        <row r="78">
          <cell r="B78">
            <v>0</v>
          </cell>
          <cell r="Z78">
            <v>0</v>
          </cell>
          <cell r="AA78"/>
          <cell r="AB78"/>
          <cell r="AE78">
            <v>0</v>
          </cell>
        </row>
        <row r="79">
          <cell r="B79">
            <v>0</v>
          </cell>
          <cell r="Z79">
            <v>0</v>
          </cell>
          <cell r="AA79"/>
          <cell r="AB79"/>
          <cell r="AE79">
            <v>0</v>
          </cell>
        </row>
        <row r="80">
          <cell r="B80">
            <v>0</v>
          </cell>
          <cell r="Z80">
            <v>0</v>
          </cell>
          <cell r="AA80"/>
          <cell r="AB80"/>
          <cell r="AE80">
            <v>0</v>
          </cell>
        </row>
        <row r="81">
          <cell r="B81">
            <v>3</v>
          </cell>
          <cell r="Z81">
            <v>0</v>
          </cell>
          <cell r="AA81">
            <v>0</v>
          </cell>
          <cell r="AB81">
            <v>0</v>
          </cell>
          <cell r="AE81">
            <v>0</v>
          </cell>
        </row>
        <row r="82">
          <cell r="B82">
            <v>7</v>
          </cell>
          <cell r="Z82">
            <v>0</v>
          </cell>
          <cell r="AA82">
            <v>0</v>
          </cell>
          <cell r="AB82">
            <v>0</v>
          </cell>
          <cell r="AE82">
            <v>0</v>
          </cell>
        </row>
        <row r="83">
          <cell r="B83">
            <v>6</v>
          </cell>
          <cell r="Z83">
            <v>0</v>
          </cell>
          <cell r="AA83">
            <v>0</v>
          </cell>
          <cell r="AB83">
            <v>0</v>
          </cell>
          <cell r="AE83">
            <v>0</v>
          </cell>
        </row>
        <row r="84">
          <cell r="B84">
            <v>52</v>
          </cell>
          <cell r="Z84">
            <v>0</v>
          </cell>
          <cell r="AA84">
            <v>0</v>
          </cell>
          <cell r="AB84">
            <v>0</v>
          </cell>
          <cell r="AE84">
            <v>0</v>
          </cell>
        </row>
        <row r="85">
          <cell r="B85">
            <v>0</v>
          </cell>
          <cell r="Z85">
            <v>0</v>
          </cell>
          <cell r="AA85"/>
          <cell r="AB85"/>
          <cell r="AE85">
            <v>0</v>
          </cell>
        </row>
        <row r="86">
          <cell r="B86">
            <v>0</v>
          </cell>
          <cell r="Z86">
            <v>0</v>
          </cell>
          <cell r="AA86"/>
          <cell r="AB86"/>
          <cell r="AE86">
            <v>0</v>
          </cell>
        </row>
        <row r="87">
          <cell r="B87">
            <v>0</v>
          </cell>
          <cell r="Z87">
            <v>0</v>
          </cell>
          <cell r="AA87"/>
          <cell r="AB87"/>
          <cell r="AE87">
            <v>0</v>
          </cell>
        </row>
        <row r="88">
          <cell r="B88">
            <v>0</v>
          </cell>
          <cell r="Z88">
            <v>0</v>
          </cell>
          <cell r="AA88"/>
          <cell r="AB88"/>
          <cell r="AE88">
            <v>0</v>
          </cell>
        </row>
        <row r="89">
          <cell r="B89">
            <v>0</v>
          </cell>
          <cell r="Z89">
            <v>0</v>
          </cell>
          <cell r="AA89"/>
          <cell r="AB89"/>
          <cell r="AE89">
            <v>0</v>
          </cell>
        </row>
      </sheetData>
      <sheetData sheetId="26"/>
      <sheetData sheetId="27"/>
      <sheetData sheetId="28"/>
      <sheetData sheetId="2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BRE"/>
      <sheetName val="A01"/>
      <sheetName val="A02"/>
      <sheetName val="A03"/>
      <sheetName val="A04"/>
      <sheetName val="A05"/>
      <sheetName val="A06"/>
      <sheetName val="A07"/>
      <sheetName val="A08"/>
      <sheetName val="A09"/>
      <sheetName val="A11"/>
      <sheetName val="A11a"/>
      <sheetName val="A19a"/>
      <sheetName val="A19b"/>
      <sheetName val="A21"/>
      <sheetName val="A23"/>
      <sheetName val="A24"/>
      <sheetName val="A25"/>
      <sheetName val="A26"/>
      <sheetName val="A27"/>
      <sheetName val="A28"/>
      <sheetName val="A29"/>
      <sheetName val="A30"/>
      <sheetName val="A30AR"/>
      <sheetName val="A31"/>
      <sheetName val="A32"/>
      <sheetName val="A33"/>
      <sheetName val="A34"/>
      <sheetName val="Control"/>
      <sheetName val="MAC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2">
          <cell r="B12">
            <v>208</v>
          </cell>
          <cell r="X12">
            <v>57</v>
          </cell>
          <cell r="AB12">
            <v>0</v>
          </cell>
        </row>
        <row r="13">
          <cell r="B13">
            <v>572</v>
          </cell>
          <cell r="X13">
            <v>4</v>
          </cell>
          <cell r="AB13">
            <v>125</v>
          </cell>
        </row>
        <row r="14">
          <cell r="B14">
            <v>0</v>
          </cell>
          <cell r="X14">
            <v>0</v>
          </cell>
          <cell r="AB14">
            <v>0</v>
          </cell>
        </row>
        <row r="15">
          <cell r="B15">
            <v>0</v>
          </cell>
          <cell r="X15">
            <v>0</v>
          </cell>
          <cell r="AB15">
            <v>0</v>
          </cell>
        </row>
        <row r="16">
          <cell r="B16">
            <v>0</v>
          </cell>
          <cell r="X16">
            <v>0</v>
          </cell>
          <cell r="AB16">
            <v>0</v>
          </cell>
        </row>
        <row r="17">
          <cell r="B17">
            <v>21</v>
          </cell>
          <cell r="X17">
            <v>0</v>
          </cell>
          <cell r="AB17">
            <v>0</v>
          </cell>
        </row>
        <row r="18">
          <cell r="B18">
            <v>41</v>
          </cell>
          <cell r="X18">
            <v>0</v>
          </cell>
          <cell r="AB18">
            <v>0</v>
          </cell>
        </row>
        <row r="19">
          <cell r="B19">
            <v>54</v>
          </cell>
          <cell r="X19">
            <v>17</v>
          </cell>
          <cell r="AB19">
            <v>0</v>
          </cell>
        </row>
        <row r="20">
          <cell r="B20">
            <v>0</v>
          </cell>
          <cell r="X20">
            <v>0</v>
          </cell>
          <cell r="AB20">
            <v>0</v>
          </cell>
        </row>
        <row r="21">
          <cell r="B21">
            <v>0</v>
          </cell>
          <cell r="X21">
            <v>0</v>
          </cell>
          <cell r="AB21">
            <v>0</v>
          </cell>
        </row>
        <row r="22">
          <cell r="B22">
            <v>44</v>
          </cell>
          <cell r="X22">
            <v>0</v>
          </cell>
          <cell r="AB22">
            <v>3</v>
          </cell>
        </row>
        <row r="23">
          <cell r="B23">
            <v>0</v>
          </cell>
          <cell r="X23">
            <v>0</v>
          </cell>
          <cell r="AB23">
            <v>0</v>
          </cell>
        </row>
        <row r="24">
          <cell r="B24">
            <v>0</v>
          </cell>
          <cell r="X24">
            <v>0</v>
          </cell>
          <cell r="AB24">
            <v>0</v>
          </cell>
        </row>
        <row r="25">
          <cell r="B25">
            <v>0</v>
          </cell>
          <cell r="X25">
            <v>0</v>
          </cell>
          <cell r="AB25">
            <v>0</v>
          </cell>
        </row>
        <row r="26">
          <cell r="B26">
            <v>0</v>
          </cell>
          <cell r="X26">
            <v>0</v>
          </cell>
          <cell r="AB26">
            <v>0</v>
          </cell>
        </row>
        <row r="27">
          <cell r="B27">
            <v>17</v>
          </cell>
          <cell r="X27">
            <v>0</v>
          </cell>
          <cell r="AB27">
            <v>1</v>
          </cell>
        </row>
        <row r="28">
          <cell r="B28">
            <v>0</v>
          </cell>
          <cell r="X28">
            <v>0</v>
          </cell>
          <cell r="AB28">
            <v>0</v>
          </cell>
        </row>
        <row r="29">
          <cell r="B29">
            <v>0</v>
          </cell>
          <cell r="X29">
            <v>0</v>
          </cell>
          <cell r="AB29">
            <v>0</v>
          </cell>
        </row>
        <row r="30">
          <cell r="B30">
            <v>0</v>
          </cell>
          <cell r="X30">
            <v>0</v>
          </cell>
          <cell r="AB30">
            <v>0</v>
          </cell>
        </row>
        <row r="31">
          <cell r="B31">
            <v>0</v>
          </cell>
          <cell r="X31">
            <v>0</v>
          </cell>
          <cell r="AB31">
            <v>0</v>
          </cell>
        </row>
        <row r="32">
          <cell r="B32">
            <v>51</v>
          </cell>
          <cell r="X32">
            <v>6</v>
          </cell>
          <cell r="AB32">
            <v>11</v>
          </cell>
        </row>
        <row r="33">
          <cell r="B33">
            <v>0</v>
          </cell>
          <cell r="X33">
            <v>0</v>
          </cell>
          <cell r="AB33">
            <v>0</v>
          </cell>
        </row>
        <row r="34">
          <cell r="B34">
            <v>115</v>
          </cell>
          <cell r="X34">
            <v>12</v>
          </cell>
          <cell r="AB34">
            <v>9</v>
          </cell>
        </row>
        <row r="35">
          <cell r="B35">
            <v>0</v>
          </cell>
          <cell r="X35">
            <v>0</v>
          </cell>
          <cell r="AB35">
            <v>0</v>
          </cell>
        </row>
        <row r="36">
          <cell r="B36">
            <v>0</v>
          </cell>
          <cell r="X36">
            <v>0</v>
          </cell>
          <cell r="AB36">
            <v>0</v>
          </cell>
        </row>
        <row r="37">
          <cell r="B37">
            <v>0</v>
          </cell>
          <cell r="X37">
            <v>0</v>
          </cell>
          <cell r="AB37">
            <v>0</v>
          </cell>
        </row>
        <row r="38">
          <cell r="B38">
            <v>113</v>
          </cell>
          <cell r="X38">
            <v>22</v>
          </cell>
          <cell r="AB38">
            <v>0</v>
          </cell>
        </row>
        <row r="39">
          <cell r="B39">
            <v>384</v>
          </cell>
          <cell r="X39">
            <v>7</v>
          </cell>
          <cell r="AB39">
            <v>75</v>
          </cell>
        </row>
        <row r="40">
          <cell r="B40">
            <v>0</v>
          </cell>
          <cell r="X40">
            <v>0</v>
          </cell>
          <cell r="AB40">
            <v>0</v>
          </cell>
        </row>
        <row r="41">
          <cell r="B41">
            <v>311</v>
          </cell>
          <cell r="X41">
            <v>5</v>
          </cell>
          <cell r="AB41">
            <v>0</v>
          </cell>
        </row>
        <row r="42">
          <cell r="B42">
            <v>435</v>
          </cell>
          <cell r="X42">
            <v>1</v>
          </cell>
          <cell r="AB42">
            <v>3</v>
          </cell>
        </row>
        <row r="43">
          <cell r="B43">
            <v>166</v>
          </cell>
          <cell r="X43">
            <v>43</v>
          </cell>
          <cell r="AB43">
            <v>0</v>
          </cell>
        </row>
        <row r="44">
          <cell r="B44">
            <v>235</v>
          </cell>
          <cell r="X44">
            <v>1</v>
          </cell>
          <cell r="AB44">
            <v>102</v>
          </cell>
        </row>
        <row r="45">
          <cell r="B45">
            <v>22</v>
          </cell>
          <cell r="X45">
            <v>0</v>
          </cell>
          <cell r="AB45">
            <v>8</v>
          </cell>
        </row>
        <row r="46">
          <cell r="B46">
            <v>0</v>
          </cell>
          <cell r="X46">
            <v>0</v>
          </cell>
          <cell r="AB46">
            <v>0</v>
          </cell>
        </row>
        <row r="47">
          <cell r="B47">
            <v>0</v>
          </cell>
          <cell r="X47">
            <v>0</v>
          </cell>
          <cell r="AB47">
            <v>0</v>
          </cell>
        </row>
        <row r="48">
          <cell r="B48">
            <v>0</v>
          </cell>
          <cell r="X48">
            <v>0</v>
          </cell>
          <cell r="AB48">
            <v>0</v>
          </cell>
        </row>
        <row r="49">
          <cell r="B49">
            <v>64</v>
          </cell>
          <cell r="X49">
            <v>0</v>
          </cell>
          <cell r="AB49">
            <v>22</v>
          </cell>
        </row>
        <row r="50">
          <cell r="B50">
            <v>0</v>
          </cell>
          <cell r="X50">
            <v>0</v>
          </cell>
          <cell r="AB50">
            <v>0</v>
          </cell>
        </row>
        <row r="51">
          <cell r="B51">
            <v>0</v>
          </cell>
          <cell r="X51">
            <v>0</v>
          </cell>
          <cell r="AB51">
            <v>0</v>
          </cell>
        </row>
        <row r="52">
          <cell r="B52">
            <v>0</v>
          </cell>
          <cell r="X52">
            <v>0</v>
          </cell>
          <cell r="AB52">
            <v>0</v>
          </cell>
        </row>
        <row r="53">
          <cell r="B53">
            <v>0</v>
          </cell>
          <cell r="X53">
            <v>0</v>
          </cell>
          <cell r="AB53">
            <v>0</v>
          </cell>
        </row>
        <row r="54">
          <cell r="B54">
            <v>71</v>
          </cell>
          <cell r="X54">
            <v>10</v>
          </cell>
          <cell r="AB54">
            <v>45</v>
          </cell>
        </row>
        <row r="55">
          <cell r="B55">
            <v>637</v>
          </cell>
          <cell r="X55">
            <v>4</v>
          </cell>
          <cell r="AB55">
            <v>207</v>
          </cell>
        </row>
        <row r="56">
          <cell r="B56">
            <v>0</v>
          </cell>
          <cell r="X56">
            <v>0</v>
          </cell>
          <cell r="AB56">
            <v>0</v>
          </cell>
        </row>
        <row r="57">
          <cell r="B57">
            <v>0</v>
          </cell>
          <cell r="X57">
            <v>0</v>
          </cell>
          <cell r="AB57">
            <v>0</v>
          </cell>
        </row>
        <row r="58">
          <cell r="B58">
            <v>748</v>
          </cell>
          <cell r="X58">
            <v>22</v>
          </cell>
          <cell r="AB58">
            <v>382</v>
          </cell>
        </row>
        <row r="59">
          <cell r="B59">
            <v>128</v>
          </cell>
          <cell r="X59">
            <v>21</v>
          </cell>
          <cell r="AB59">
            <v>35</v>
          </cell>
        </row>
        <row r="60">
          <cell r="B60">
            <v>523</v>
          </cell>
          <cell r="X60">
            <v>38</v>
          </cell>
          <cell r="AB60">
            <v>83</v>
          </cell>
        </row>
        <row r="61">
          <cell r="B61">
            <v>258</v>
          </cell>
          <cell r="X61">
            <v>0</v>
          </cell>
          <cell r="AB61">
            <v>36</v>
          </cell>
        </row>
        <row r="62">
          <cell r="B62">
            <v>1</v>
          </cell>
          <cell r="X62">
            <v>0</v>
          </cell>
          <cell r="AB62">
            <v>0</v>
          </cell>
        </row>
        <row r="63">
          <cell r="B63">
            <v>0</v>
          </cell>
          <cell r="X63">
            <v>0</v>
          </cell>
          <cell r="AB63">
            <v>0</v>
          </cell>
        </row>
        <row r="64">
          <cell r="B64">
            <v>0</v>
          </cell>
          <cell r="X64">
            <v>0</v>
          </cell>
          <cell r="AB64">
            <v>0</v>
          </cell>
        </row>
        <row r="65">
          <cell r="B65">
            <v>0</v>
          </cell>
          <cell r="X65">
            <v>0</v>
          </cell>
          <cell r="AB65">
            <v>0</v>
          </cell>
        </row>
        <row r="66">
          <cell r="B66">
            <v>0</v>
          </cell>
          <cell r="X66">
            <v>0</v>
          </cell>
          <cell r="AB66">
            <v>0</v>
          </cell>
        </row>
        <row r="71">
          <cell r="V71">
            <v>12</v>
          </cell>
          <cell r="W71">
            <v>22</v>
          </cell>
        </row>
        <row r="72">
          <cell r="V72">
            <v>27</v>
          </cell>
          <cell r="W72">
            <v>180</v>
          </cell>
        </row>
        <row r="73">
          <cell r="V73"/>
          <cell r="W73"/>
        </row>
        <row r="74">
          <cell r="V74"/>
          <cell r="W74"/>
        </row>
        <row r="75">
          <cell r="V75"/>
          <cell r="W75"/>
        </row>
        <row r="76">
          <cell r="V76"/>
          <cell r="W76"/>
        </row>
        <row r="77">
          <cell r="V77">
            <v>3</v>
          </cell>
          <cell r="W77"/>
        </row>
        <row r="78">
          <cell r="V78">
            <v>6</v>
          </cell>
          <cell r="W78">
            <v>5</v>
          </cell>
        </row>
        <row r="79">
          <cell r="V79"/>
          <cell r="W79"/>
        </row>
        <row r="80">
          <cell r="V80"/>
          <cell r="W80"/>
        </row>
        <row r="81">
          <cell r="V81">
            <v>3</v>
          </cell>
          <cell r="W81">
            <v>5</v>
          </cell>
        </row>
        <row r="82">
          <cell r="V82"/>
          <cell r="W82"/>
        </row>
        <row r="83">
          <cell r="V83"/>
          <cell r="W83"/>
        </row>
        <row r="84">
          <cell r="V84"/>
          <cell r="W84"/>
        </row>
        <row r="85">
          <cell r="V85"/>
          <cell r="W85"/>
        </row>
        <row r="86">
          <cell r="V86">
            <v>1</v>
          </cell>
          <cell r="W86"/>
        </row>
        <row r="87">
          <cell r="V87"/>
          <cell r="W87"/>
        </row>
        <row r="88">
          <cell r="V88"/>
          <cell r="W88"/>
        </row>
        <row r="89">
          <cell r="V89"/>
          <cell r="W89"/>
        </row>
        <row r="90">
          <cell r="V90"/>
          <cell r="W90"/>
        </row>
        <row r="91">
          <cell r="V91">
            <v>8</v>
          </cell>
          <cell r="W91"/>
        </row>
        <row r="92">
          <cell r="V92"/>
          <cell r="W92"/>
        </row>
        <row r="93">
          <cell r="V93">
            <v>9</v>
          </cell>
          <cell r="W93">
            <v>6</v>
          </cell>
        </row>
        <row r="94">
          <cell r="V94"/>
          <cell r="W94"/>
        </row>
        <row r="95">
          <cell r="V95"/>
          <cell r="W95"/>
        </row>
        <row r="96">
          <cell r="V96"/>
          <cell r="W96"/>
        </row>
        <row r="97">
          <cell r="V97">
            <v>7</v>
          </cell>
          <cell r="W97">
            <v>45</v>
          </cell>
        </row>
        <row r="98">
          <cell r="V98">
            <v>34</v>
          </cell>
          <cell r="W98">
            <v>65</v>
          </cell>
        </row>
        <row r="99">
          <cell r="V99"/>
          <cell r="W99"/>
        </row>
        <row r="100">
          <cell r="V100">
            <v>60</v>
          </cell>
          <cell r="W100">
            <v>63</v>
          </cell>
        </row>
        <row r="101">
          <cell r="V101">
            <v>97</v>
          </cell>
          <cell r="W101">
            <v>61</v>
          </cell>
        </row>
        <row r="102">
          <cell r="V102">
            <v>21</v>
          </cell>
          <cell r="W102"/>
        </row>
        <row r="103">
          <cell r="V103">
            <v>22</v>
          </cell>
          <cell r="W103">
            <v>20</v>
          </cell>
        </row>
        <row r="104">
          <cell r="V104"/>
          <cell r="W104"/>
        </row>
        <row r="105">
          <cell r="V105"/>
          <cell r="W105"/>
        </row>
        <row r="106">
          <cell r="V106"/>
          <cell r="W106"/>
        </row>
        <row r="107">
          <cell r="V107"/>
          <cell r="W107"/>
        </row>
        <row r="108">
          <cell r="V108"/>
          <cell r="W108"/>
        </row>
        <row r="109">
          <cell r="V109"/>
          <cell r="W109"/>
        </row>
        <row r="110">
          <cell r="V110"/>
          <cell r="W110"/>
        </row>
        <row r="111">
          <cell r="V111"/>
          <cell r="W111"/>
        </row>
        <row r="112">
          <cell r="V112"/>
          <cell r="W112"/>
        </row>
        <row r="113">
          <cell r="V113"/>
          <cell r="W113">
            <v>1</v>
          </cell>
        </row>
        <row r="114">
          <cell r="V114">
            <v>43</v>
          </cell>
          <cell r="W114">
            <v>1</v>
          </cell>
        </row>
        <row r="115">
          <cell r="V115"/>
          <cell r="W115"/>
        </row>
        <row r="116">
          <cell r="V116"/>
          <cell r="W116"/>
        </row>
        <row r="117">
          <cell r="V117">
            <v>12</v>
          </cell>
          <cell r="W117">
            <v>47</v>
          </cell>
        </row>
        <row r="118">
          <cell r="V118">
            <v>2</v>
          </cell>
          <cell r="W118"/>
        </row>
        <row r="119">
          <cell r="V119">
            <v>50</v>
          </cell>
          <cell r="W119"/>
        </row>
        <row r="120">
          <cell r="V120">
            <v>19</v>
          </cell>
          <cell r="W120">
            <v>56</v>
          </cell>
        </row>
        <row r="121">
          <cell r="V121"/>
          <cell r="W121"/>
        </row>
        <row r="122">
          <cell r="V122"/>
          <cell r="W122"/>
        </row>
        <row r="123">
          <cell r="V123"/>
          <cell r="W123"/>
        </row>
        <row r="124">
          <cell r="V124"/>
          <cell r="W124"/>
        </row>
        <row r="125">
          <cell r="V125"/>
          <cell r="W125"/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3">
          <cell r="B13"/>
          <cell r="C13"/>
          <cell r="D13"/>
          <cell r="E13"/>
          <cell r="F13"/>
          <cell r="G13"/>
          <cell r="H13"/>
          <cell r="I13"/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B14"/>
          <cell r="C14"/>
          <cell r="D14"/>
          <cell r="E14"/>
          <cell r="F14"/>
          <cell r="G14"/>
          <cell r="H14">
            <v>1</v>
          </cell>
          <cell r="I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3</v>
          </cell>
          <cell r="Y14">
            <v>2</v>
          </cell>
        </row>
        <row r="15">
          <cell r="B15"/>
          <cell r="C15"/>
          <cell r="D15"/>
          <cell r="E15"/>
          <cell r="F15"/>
          <cell r="G15"/>
          <cell r="H15"/>
          <cell r="I15"/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  <row r="16">
          <cell r="B16"/>
          <cell r="C16"/>
          <cell r="D16"/>
          <cell r="E16"/>
          <cell r="F16"/>
          <cell r="G16"/>
          <cell r="H16"/>
          <cell r="I16"/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B17"/>
          <cell r="C17"/>
          <cell r="D17"/>
          <cell r="E17"/>
          <cell r="F17"/>
          <cell r="G17"/>
          <cell r="H17"/>
          <cell r="I17"/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B18"/>
          <cell r="C18"/>
          <cell r="D18"/>
          <cell r="E18"/>
          <cell r="F18"/>
          <cell r="G18"/>
          <cell r="H18"/>
          <cell r="I18"/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B19"/>
          <cell r="C19"/>
          <cell r="D19"/>
          <cell r="E19"/>
          <cell r="F19"/>
          <cell r="G19"/>
          <cell r="H19"/>
          <cell r="I19"/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B20"/>
          <cell r="C20"/>
          <cell r="D20"/>
          <cell r="E20"/>
          <cell r="F20"/>
          <cell r="G20"/>
          <cell r="H20"/>
          <cell r="I20"/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B21"/>
          <cell r="C21"/>
          <cell r="D21"/>
          <cell r="E21"/>
          <cell r="F21"/>
          <cell r="G21"/>
          <cell r="H21"/>
          <cell r="I21"/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B22"/>
          <cell r="C22"/>
          <cell r="D22"/>
          <cell r="E22"/>
          <cell r="F22"/>
          <cell r="G22"/>
          <cell r="H22"/>
          <cell r="I22"/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B23"/>
          <cell r="C23"/>
          <cell r="D23"/>
          <cell r="E23"/>
          <cell r="F23"/>
          <cell r="G23"/>
          <cell r="H23"/>
          <cell r="I23"/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B24"/>
          <cell r="C24"/>
          <cell r="D24"/>
          <cell r="E24"/>
          <cell r="F24"/>
          <cell r="G24"/>
          <cell r="H24"/>
          <cell r="I24"/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B25"/>
          <cell r="C25"/>
          <cell r="D25"/>
          <cell r="E25"/>
          <cell r="F25"/>
          <cell r="G25"/>
          <cell r="H25"/>
          <cell r="I25"/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B26"/>
          <cell r="C26"/>
          <cell r="D26"/>
          <cell r="E26"/>
          <cell r="F26"/>
          <cell r="G26"/>
          <cell r="H26"/>
          <cell r="I26"/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B27"/>
          <cell r="C27"/>
          <cell r="D27"/>
          <cell r="E27"/>
          <cell r="F27"/>
          <cell r="G27"/>
          <cell r="H27"/>
          <cell r="I27"/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B28"/>
          <cell r="C28"/>
          <cell r="D28"/>
          <cell r="E28"/>
          <cell r="F28"/>
          <cell r="G28"/>
          <cell r="H28"/>
          <cell r="I28"/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B29"/>
          <cell r="C29"/>
          <cell r="D29"/>
          <cell r="E29"/>
          <cell r="F29"/>
          <cell r="G29"/>
          <cell r="H29"/>
          <cell r="I29"/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B30"/>
          <cell r="C30"/>
          <cell r="D30"/>
          <cell r="E30"/>
          <cell r="F30"/>
          <cell r="G30"/>
          <cell r="H30"/>
          <cell r="I30"/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B31"/>
          <cell r="C31"/>
          <cell r="D31"/>
          <cell r="E31"/>
          <cell r="F31"/>
          <cell r="G31"/>
          <cell r="H31"/>
          <cell r="I31"/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B32"/>
          <cell r="C32"/>
          <cell r="D32"/>
          <cell r="E32"/>
          <cell r="F32"/>
          <cell r="G32"/>
          <cell r="H32"/>
          <cell r="I32"/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B33"/>
          <cell r="C33"/>
          <cell r="D33"/>
          <cell r="E33"/>
          <cell r="F33"/>
          <cell r="G33"/>
          <cell r="H33"/>
          <cell r="I33"/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B34"/>
          <cell r="C34"/>
          <cell r="D34"/>
          <cell r="E34"/>
          <cell r="F34"/>
          <cell r="G34"/>
          <cell r="H34"/>
          <cell r="I34"/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B35"/>
          <cell r="C35"/>
          <cell r="D35"/>
          <cell r="E35"/>
          <cell r="F35"/>
          <cell r="G35"/>
          <cell r="H35">
            <v>3</v>
          </cell>
          <cell r="I35">
            <v>4</v>
          </cell>
          <cell r="R35">
            <v>1</v>
          </cell>
          <cell r="S35">
            <v>1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3</v>
          </cell>
          <cell r="Y35">
            <v>10</v>
          </cell>
        </row>
        <row r="36">
          <cell r="B36"/>
          <cell r="C36"/>
          <cell r="D36"/>
          <cell r="E36"/>
          <cell r="F36"/>
          <cell r="G36"/>
          <cell r="H36"/>
          <cell r="I36"/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B37"/>
          <cell r="C37"/>
          <cell r="D37"/>
          <cell r="E37"/>
          <cell r="F37"/>
          <cell r="G37"/>
          <cell r="H37"/>
          <cell r="I37"/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B38"/>
          <cell r="C38"/>
          <cell r="D38"/>
          <cell r="E38"/>
          <cell r="F38"/>
          <cell r="G38"/>
          <cell r="H38"/>
          <cell r="I38"/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B39"/>
          <cell r="C39"/>
          <cell r="D39"/>
          <cell r="E39"/>
          <cell r="F39"/>
          <cell r="G39"/>
          <cell r="H39"/>
          <cell r="I39"/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B40"/>
          <cell r="C40"/>
          <cell r="D40"/>
          <cell r="E40"/>
          <cell r="F40"/>
          <cell r="G40"/>
          <cell r="H40"/>
          <cell r="I40"/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2</v>
          </cell>
          <cell r="X40">
            <v>0</v>
          </cell>
          <cell r="Y40">
            <v>0</v>
          </cell>
        </row>
        <row r="41">
          <cell r="B41"/>
          <cell r="C41"/>
          <cell r="D41"/>
          <cell r="E41"/>
          <cell r="F41"/>
          <cell r="G41"/>
          <cell r="H41"/>
          <cell r="I41"/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</row>
        <row r="42">
          <cell r="B42"/>
          <cell r="C42"/>
          <cell r="D42"/>
          <cell r="E42"/>
          <cell r="F42"/>
          <cell r="G42"/>
          <cell r="H42"/>
          <cell r="I42"/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</row>
        <row r="43">
          <cell r="B43"/>
          <cell r="C43"/>
          <cell r="D43"/>
          <cell r="E43"/>
          <cell r="F43"/>
          <cell r="G43"/>
          <cell r="H43"/>
          <cell r="I43"/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</row>
        <row r="44">
          <cell r="B44"/>
          <cell r="C44"/>
          <cell r="D44"/>
          <cell r="E44"/>
          <cell r="F44"/>
          <cell r="G44"/>
          <cell r="H44"/>
          <cell r="I44"/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</row>
        <row r="45">
          <cell r="B45"/>
          <cell r="C45"/>
          <cell r="D45"/>
          <cell r="E45"/>
          <cell r="F45"/>
          <cell r="G45"/>
          <cell r="H45"/>
          <cell r="I45"/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</row>
        <row r="46">
          <cell r="B46"/>
          <cell r="C46"/>
          <cell r="D46"/>
          <cell r="E46"/>
          <cell r="F46"/>
          <cell r="G46"/>
          <cell r="H46"/>
          <cell r="I46"/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B47"/>
          <cell r="C47"/>
          <cell r="D47"/>
          <cell r="E47"/>
          <cell r="F47"/>
          <cell r="G47"/>
          <cell r="H47"/>
          <cell r="I47"/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B48"/>
          <cell r="C48"/>
          <cell r="D48"/>
          <cell r="E48"/>
          <cell r="F48"/>
          <cell r="G48"/>
          <cell r="H48"/>
          <cell r="I48"/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B49"/>
          <cell r="C49"/>
          <cell r="D49"/>
          <cell r="E49"/>
          <cell r="F49"/>
          <cell r="G49"/>
          <cell r="H49"/>
          <cell r="I49"/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B50"/>
          <cell r="C50"/>
          <cell r="D50"/>
          <cell r="E50"/>
          <cell r="F50"/>
          <cell r="G50"/>
          <cell r="H50"/>
          <cell r="I50"/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1">
          <cell r="B51"/>
          <cell r="C51"/>
          <cell r="D51"/>
          <cell r="E51"/>
          <cell r="F51"/>
          <cell r="G51"/>
          <cell r="H51"/>
          <cell r="I51"/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B52"/>
          <cell r="C52"/>
          <cell r="D52"/>
          <cell r="E52"/>
          <cell r="F52"/>
          <cell r="G52"/>
          <cell r="H52"/>
          <cell r="I52"/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B53"/>
          <cell r="C53"/>
          <cell r="D53"/>
          <cell r="E53"/>
          <cell r="F53"/>
          <cell r="G53"/>
          <cell r="H53"/>
          <cell r="I53"/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B54"/>
          <cell r="C54"/>
          <cell r="D54"/>
          <cell r="E54"/>
          <cell r="F54"/>
          <cell r="G54"/>
          <cell r="H54"/>
          <cell r="I54"/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B55"/>
          <cell r="C55"/>
          <cell r="D55"/>
          <cell r="E55"/>
          <cell r="F55"/>
          <cell r="G55"/>
          <cell r="H55"/>
          <cell r="I55"/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B56"/>
          <cell r="C56"/>
          <cell r="D56"/>
          <cell r="E56"/>
          <cell r="F56"/>
          <cell r="G56"/>
          <cell r="H56"/>
          <cell r="I56"/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B57"/>
          <cell r="C57"/>
          <cell r="D57"/>
          <cell r="E57"/>
          <cell r="F57"/>
          <cell r="G57"/>
          <cell r="H57"/>
          <cell r="I57"/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B58"/>
          <cell r="C58"/>
          <cell r="D58"/>
          <cell r="E58"/>
          <cell r="F58"/>
          <cell r="G58"/>
          <cell r="H58"/>
          <cell r="I58"/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</row>
        <row r="59">
          <cell r="B59"/>
          <cell r="C59"/>
          <cell r="D59"/>
          <cell r="E59"/>
          <cell r="F59"/>
          <cell r="G59"/>
          <cell r="H59"/>
          <cell r="I59"/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B60"/>
          <cell r="C60"/>
          <cell r="D60"/>
          <cell r="E60"/>
          <cell r="F60"/>
          <cell r="G60"/>
          <cell r="H60"/>
          <cell r="I60"/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B61"/>
          <cell r="C61"/>
          <cell r="D61"/>
          <cell r="E61"/>
          <cell r="F61"/>
          <cell r="G61"/>
          <cell r="H61"/>
          <cell r="I61"/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</row>
        <row r="62">
          <cell r="B62"/>
          <cell r="C62"/>
          <cell r="D62"/>
          <cell r="E62"/>
          <cell r="F62"/>
          <cell r="G62"/>
          <cell r="H62"/>
          <cell r="I62"/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B63"/>
          <cell r="C63"/>
          <cell r="D63"/>
          <cell r="E63"/>
          <cell r="F63"/>
          <cell r="G63"/>
          <cell r="H63"/>
          <cell r="I63"/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B64"/>
          <cell r="C64"/>
          <cell r="D64"/>
          <cell r="E64"/>
          <cell r="F64"/>
          <cell r="G64"/>
          <cell r="H64"/>
          <cell r="I64"/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B65"/>
          <cell r="C65"/>
          <cell r="D65"/>
          <cell r="E65"/>
          <cell r="F65"/>
          <cell r="G65"/>
          <cell r="H65"/>
          <cell r="I65"/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B66"/>
          <cell r="C66"/>
          <cell r="D66"/>
          <cell r="E66"/>
          <cell r="F66"/>
          <cell r="G66"/>
          <cell r="H66"/>
          <cell r="I66"/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</row>
        <row r="67">
          <cell r="B67"/>
          <cell r="C67"/>
          <cell r="D67"/>
          <cell r="E67"/>
          <cell r="F67"/>
          <cell r="G67"/>
          <cell r="H67"/>
          <cell r="I67"/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</sheetData>
      <sheetData sheetId="23"/>
      <sheetData sheetId="24"/>
      <sheetData sheetId="25">
        <row r="35">
          <cell r="B35">
            <v>0</v>
          </cell>
          <cell r="Z35">
            <v>0</v>
          </cell>
          <cell r="AA35"/>
          <cell r="AB35"/>
          <cell r="AE35">
            <v>0</v>
          </cell>
        </row>
        <row r="36">
          <cell r="B36">
            <v>1</v>
          </cell>
          <cell r="Z36">
            <v>0</v>
          </cell>
          <cell r="AA36">
            <v>0</v>
          </cell>
          <cell r="AB36">
            <v>0</v>
          </cell>
          <cell r="AE36">
            <v>0</v>
          </cell>
        </row>
        <row r="37">
          <cell r="B37">
            <v>0</v>
          </cell>
          <cell r="Z37">
            <v>0</v>
          </cell>
          <cell r="AA37"/>
          <cell r="AB37"/>
          <cell r="AE37">
            <v>0</v>
          </cell>
        </row>
        <row r="38">
          <cell r="B38">
            <v>0</v>
          </cell>
          <cell r="Z38">
            <v>0</v>
          </cell>
          <cell r="AA38"/>
          <cell r="AB38"/>
          <cell r="AE38">
            <v>0</v>
          </cell>
        </row>
        <row r="39">
          <cell r="B39">
            <v>0</v>
          </cell>
          <cell r="Z39">
            <v>0</v>
          </cell>
          <cell r="AA39"/>
          <cell r="AB39"/>
          <cell r="AE39">
            <v>0</v>
          </cell>
        </row>
        <row r="40">
          <cell r="B40">
            <v>0</v>
          </cell>
          <cell r="Z40">
            <v>0</v>
          </cell>
          <cell r="AA40"/>
          <cell r="AB40"/>
          <cell r="AE40">
            <v>0</v>
          </cell>
        </row>
        <row r="41">
          <cell r="B41">
            <v>0</v>
          </cell>
          <cell r="Z41">
            <v>0</v>
          </cell>
          <cell r="AA41"/>
          <cell r="AB41"/>
          <cell r="AE41">
            <v>0</v>
          </cell>
        </row>
        <row r="42">
          <cell r="B42">
            <v>1</v>
          </cell>
          <cell r="Z42">
            <v>0</v>
          </cell>
          <cell r="AA42">
            <v>0</v>
          </cell>
          <cell r="AB42">
            <v>0</v>
          </cell>
          <cell r="AE42">
            <v>0</v>
          </cell>
        </row>
        <row r="43">
          <cell r="B43">
            <v>0</v>
          </cell>
          <cell r="Z43">
            <v>0</v>
          </cell>
          <cell r="AA43"/>
          <cell r="AB43"/>
          <cell r="AE43">
            <v>0</v>
          </cell>
        </row>
        <row r="44">
          <cell r="B44">
            <v>0</v>
          </cell>
          <cell r="Z44">
            <v>0</v>
          </cell>
          <cell r="AA44"/>
          <cell r="AB44"/>
          <cell r="AE44">
            <v>0</v>
          </cell>
        </row>
        <row r="45">
          <cell r="B45">
            <v>0</v>
          </cell>
          <cell r="Z45">
            <v>0</v>
          </cell>
          <cell r="AA45"/>
          <cell r="AB45"/>
          <cell r="AE45">
            <v>0</v>
          </cell>
        </row>
        <row r="46">
          <cell r="B46">
            <v>0</v>
          </cell>
          <cell r="Z46">
            <v>0</v>
          </cell>
          <cell r="AA46"/>
          <cell r="AB46"/>
          <cell r="AE46">
            <v>0</v>
          </cell>
        </row>
        <row r="47">
          <cell r="B47">
            <v>0</v>
          </cell>
          <cell r="Z47">
            <v>0</v>
          </cell>
          <cell r="AA47"/>
          <cell r="AB47"/>
          <cell r="AE47">
            <v>0</v>
          </cell>
        </row>
        <row r="48">
          <cell r="B48">
            <v>0</v>
          </cell>
          <cell r="Z48">
            <v>0</v>
          </cell>
          <cell r="AA48"/>
          <cell r="AB48"/>
          <cell r="AE48">
            <v>0</v>
          </cell>
        </row>
        <row r="49">
          <cell r="B49">
            <v>0</v>
          </cell>
          <cell r="Z49">
            <v>0</v>
          </cell>
          <cell r="AA49"/>
          <cell r="AB49"/>
          <cell r="AE49">
            <v>0</v>
          </cell>
        </row>
        <row r="50">
          <cell r="B50">
            <v>0</v>
          </cell>
          <cell r="Z50">
            <v>0</v>
          </cell>
          <cell r="AA50"/>
          <cell r="AB50"/>
          <cell r="AE50">
            <v>0</v>
          </cell>
        </row>
        <row r="51">
          <cell r="B51">
            <v>0</v>
          </cell>
          <cell r="Z51">
            <v>0</v>
          </cell>
          <cell r="AA51"/>
          <cell r="AB51"/>
          <cell r="AE51">
            <v>0</v>
          </cell>
        </row>
        <row r="52">
          <cell r="B52">
            <v>0</v>
          </cell>
          <cell r="Z52">
            <v>0</v>
          </cell>
          <cell r="AA52"/>
          <cell r="AB52"/>
          <cell r="AE52">
            <v>0</v>
          </cell>
        </row>
        <row r="53">
          <cell r="B53">
            <v>0</v>
          </cell>
          <cell r="Z53">
            <v>0</v>
          </cell>
          <cell r="AA53"/>
          <cell r="AB53"/>
          <cell r="AE53">
            <v>0</v>
          </cell>
        </row>
        <row r="54">
          <cell r="B54">
            <v>0</v>
          </cell>
          <cell r="Z54">
            <v>0</v>
          </cell>
          <cell r="AA54"/>
          <cell r="AB54"/>
          <cell r="AE54">
            <v>0</v>
          </cell>
        </row>
        <row r="55">
          <cell r="B55">
            <v>0</v>
          </cell>
          <cell r="Z55">
            <v>0</v>
          </cell>
          <cell r="AA55"/>
          <cell r="AB55"/>
          <cell r="AE55">
            <v>0</v>
          </cell>
        </row>
        <row r="56">
          <cell r="B56">
            <v>0</v>
          </cell>
          <cell r="Z56">
            <v>0</v>
          </cell>
          <cell r="AA56"/>
          <cell r="AB56"/>
          <cell r="AE56">
            <v>0</v>
          </cell>
        </row>
        <row r="57">
          <cell r="B57">
            <v>4</v>
          </cell>
          <cell r="Z57">
            <v>0</v>
          </cell>
          <cell r="AA57">
            <v>0</v>
          </cell>
          <cell r="AB57">
            <v>0</v>
          </cell>
          <cell r="AE57">
            <v>0</v>
          </cell>
        </row>
        <row r="58">
          <cell r="B58">
            <v>0</v>
          </cell>
          <cell r="Z58">
            <v>0</v>
          </cell>
          <cell r="AA58"/>
          <cell r="AB58"/>
          <cell r="AE58">
            <v>0</v>
          </cell>
        </row>
        <row r="59">
          <cell r="B59">
            <v>0</v>
          </cell>
          <cell r="Z59">
            <v>0</v>
          </cell>
          <cell r="AA59"/>
          <cell r="AB59"/>
          <cell r="AE59">
            <v>0</v>
          </cell>
        </row>
        <row r="60">
          <cell r="B60">
            <v>0</v>
          </cell>
          <cell r="Z60">
            <v>0</v>
          </cell>
          <cell r="AA60"/>
          <cell r="AB60"/>
          <cell r="AE60">
            <v>0</v>
          </cell>
        </row>
        <row r="61">
          <cell r="B61">
            <v>0</v>
          </cell>
          <cell r="Z61">
            <v>0</v>
          </cell>
          <cell r="AA61"/>
          <cell r="AB61"/>
          <cell r="AE61">
            <v>0</v>
          </cell>
        </row>
        <row r="62">
          <cell r="B62">
            <v>0</v>
          </cell>
          <cell r="Z62">
            <v>0</v>
          </cell>
          <cell r="AA62"/>
          <cell r="AB62"/>
          <cell r="AE62">
            <v>0</v>
          </cell>
        </row>
        <row r="63">
          <cell r="B63">
            <v>0</v>
          </cell>
          <cell r="Z63">
            <v>0</v>
          </cell>
          <cell r="AA63"/>
          <cell r="AB63"/>
          <cell r="AE63">
            <v>0</v>
          </cell>
        </row>
        <row r="64">
          <cell r="B64">
            <v>1</v>
          </cell>
          <cell r="Z64">
            <v>0</v>
          </cell>
          <cell r="AA64">
            <v>0</v>
          </cell>
          <cell r="AB64">
            <v>0</v>
          </cell>
          <cell r="AE64">
            <v>0</v>
          </cell>
        </row>
        <row r="65">
          <cell r="B65">
            <v>0</v>
          </cell>
          <cell r="Z65">
            <v>0</v>
          </cell>
          <cell r="AA65"/>
          <cell r="AB65"/>
          <cell r="AE65">
            <v>0</v>
          </cell>
        </row>
        <row r="66">
          <cell r="B66">
            <v>0</v>
          </cell>
          <cell r="Z66">
            <v>0</v>
          </cell>
          <cell r="AA66"/>
          <cell r="AB66"/>
          <cell r="AE66">
            <v>0</v>
          </cell>
        </row>
        <row r="67">
          <cell r="B67">
            <v>0</v>
          </cell>
          <cell r="Z67">
            <v>0</v>
          </cell>
          <cell r="AA67"/>
          <cell r="AB67"/>
          <cell r="AE67">
            <v>0</v>
          </cell>
        </row>
        <row r="68">
          <cell r="B68">
            <v>0</v>
          </cell>
          <cell r="Z68">
            <v>0</v>
          </cell>
          <cell r="AA68"/>
          <cell r="AB68"/>
          <cell r="AE68">
            <v>0</v>
          </cell>
        </row>
        <row r="69">
          <cell r="B69">
            <v>0</v>
          </cell>
          <cell r="Z69">
            <v>0</v>
          </cell>
          <cell r="AA69"/>
          <cell r="AB69"/>
          <cell r="AE69">
            <v>0</v>
          </cell>
        </row>
        <row r="70">
          <cell r="B70">
            <v>0</v>
          </cell>
          <cell r="Z70">
            <v>0</v>
          </cell>
          <cell r="AA70"/>
          <cell r="AB70"/>
          <cell r="AE70">
            <v>0</v>
          </cell>
        </row>
        <row r="71">
          <cell r="B71">
            <v>0</v>
          </cell>
          <cell r="Z71">
            <v>0</v>
          </cell>
          <cell r="AA71"/>
          <cell r="AB71"/>
          <cell r="AE71">
            <v>0</v>
          </cell>
        </row>
        <row r="72">
          <cell r="B72">
            <v>0</v>
          </cell>
          <cell r="Z72">
            <v>0</v>
          </cell>
          <cell r="AA72"/>
          <cell r="AB72"/>
          <cell r="AE72">
            <v>0</v>
          </cell>
        </row>
        <row r="73">
          <cell r="B73">
            <v>0</v>
          </cell>
          <cell r="Z73">
            <v>0</v>
          </cell>
          <cell r="AA73"/>
          <cell r="AB73"/>
          <cell r="AE73">
            <v>0</v>
          </cell>
        </row>
        <row r="74">
          <cell r="B74">
            <v>0</v>
          </cell>
          <cell r="Z74">
            <v>0</v>
          </cell>
          <cell r="AA74"/>
          <cell r="AB74"/>
          <cell r="AE74">
            <v>0</v>
          </cell>
        </row>
        <row r="75">
          <cell r="B75">
            <v>0</v>
          </cell>
          <cell r="Z75">
            <v>0</v>
          </cell>
          <cell r="AA75"/>
          <cell r="AB75"/>
          <cell r="AE75">
            <v>0</v>
          </cell>
        </row>
        <row r="76">
          <cell r="B76">
            <v>0</v>
          </cell>
          <cell r="Z76">
            <v>0</v>
          </cell>
          <cell r="AA76"/>
          <cell r="AB76"/>
          <cell r="AE76">
            <v>0</v>
          </cell>
        </row>
        <row r="77">
          <cell r="B77">
            <v>1</v>
          </cell>
          <cell r="Z77">
            <v>0</v>
          </cell>
          <cell r="AA77">
            <v>0</v>
          </cell>
          <cell r="AB77">
            <v>0</v>
          </cell>
          <cell r="AE77">
            <v>0</v>
          </cell>
        </row>
        <row r="78">
          <cell r="B78">
            <v>0</v>
          </cell>
          <cell r="Z78">
            <v>0</v>
          </cell>
          <cell r="AA78"/>
          <cell r="AB78"/>
          <cell r="AE78">
            <v>0</v>
          </cell>
        </row>
        <row r="79">
          <cell r="B79">
            <v>0</v>
          </cell>
          <cell r="Z79">
            <v>0</v>
          </cell>
          <cell r="AA79"/>
          <cell r="AB79"/>
          <cell r="AE79">
            <v>0</v>
          </cell>
        </row>
        <row r="80">
          <cell r="B80">
            <v>0</v>
          </cell>
          <cell r="Z80">
            <v>0</v>
          </cell>
          <cell r="AA80"/>
          <cell r="AB80"/>
          <cell r="AE80">
            <v>0</v>
          </cell>
        </row>
        <row r="81">
          <cell r="B81">
            <v>0</v>
          </cell>
          <cell r="Z81">
            <v>0</v>
          </cell>
          <cell r="AA81"/>
          <cell r="AB81"/>
          <cell r="AE81">
            <v>0</v>
          </cell>
        </row>
        <row r="82">
          <cell r="B82">
            <v>0</v>
          </cell>
          <cell r="Z82">
            <v>0</v>
          </cell>
          <cell r="AA82"/>
          <cell r="AB82"/>
          <cell r="AE82">
            <v>0</v>
          </cell>
        </row>
        <row r="83">
          <cell r="B83">
            <v>0</v>
          </cell>
          <cell r="Z83">
            <v>0</v>
          </cell>
          <cell r="AA83"/>
          <cell r="AB83"/>
          <cell r="AE83">
            <v>0</v>
          </cell>
        </row>
        <row r="84">
          <cell r="B84">
            <v>37</v>
          </cell>
          <cell r="Z84">
            <v>0</v>
          </cell>
          <cell r="AA84">
            <v>0</v>
          </cell>
          <cell r="AB84">
            <v>0</v>
          </cell>
          <cell r="AE84">
            <v>0</v>
          </cell>
        </row>
        <row r="85">
          <cell r="B85">
            <v>0</v>
          </cell>
          <cell r="Z85">
            <v>0</v>
          </cell>
          <cell r="AA85"/>
          <cell r="AB85"/>
          <cell r="AE85">
            <v>0</v>
          </cell>
        </row>
        <row r="86">
          <cell r="B86">
            <v>0</v>
          </cell>
          <cell r="Z86">
            <v>0</v>
          </cell>
          <cell r="AA86"/>
          <cell r="AB86"/>
          <cell r="AE86">
            <v>0</v>
          </cell>
        </row>
        <row r="87">
          <cell r="B87">
            <v>0</v>
          </cell>
          <cell r="Z87">
            <v>0</v>
          </cell>
          <cell r="AA87"/>
          <cell r="AB87"/>
          <cell r="AE87">
            <v>0</v>
          </cell>
        </row>
        <row r="88">
          <cell r="B88">
            <v>0</v>
          </cell>
          <cell r="Z88">
            <v>0</v>
          </cell>
          <cell r="AA88"/>
          <cell r="AB88"/>
          <cell r="AE88">
            <v>0</v>
          </cell>
        </row>
        <row r="89">
          <cell r="B89">
            <v>0</v>
          </cell>
          <cell r="Z89">
            <v>0</v>
          </cell>
          <cell r="AA89"/>
          <cell r="AB89"/>
          <cell r="AE89">
            <v>0</v>
          </cell>
        </row>
      </sheetData>
      <sheetData sheetId="26"/>
      <sheetData sheetId="27"/>
      <sheetData sheetId="28"/>
      <sheetData sheetId="2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BRE"/>
      <sheetName val="A01"/>
      <sheetName val="A02"/>
      <sheetName val="A03"/>
      <sheetName val="A04"/>
      <sheetName val="A05"/>
      <sheetName val="A06"/>
      <sheetName val="A07"/>
      <sheetName val="A08"/>
      <sheetName val="A09"/>
      <sheetName val="A11"/>
      <sheetName val="A11a"/>
      <sheetName val="A19a"/>
      <sheetName val="A19b"/>
      <sheetName val="A21"/>
      <sheetName val="A23"/>
      <sheetName val="A24"/>
      <sheetName val="A25"/>
      <sheetName val="A26"/>
      <sheetName val="A27"/>
      <sheetName val="A28"/>
      <sheetName val="A29"/>
      <sheetName val="A30"/>
      <sheetName val="A30AR"/>
      <sheetName val="A31"/>
      <sheetName val="A32"/>
      <sheetName val="A33"/>
      <sheetName val="A34"/>
      <sheetName val="Control"/>
      <sheetName val="MAC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2">
          <cell r="B12">
            <v>213</v>
          </cell>
          <cell r="X12">
            <v>64</v>
          </cell>
          <cell r="AB12">
            <v>0</v>
          </cell>
        </row>
        <row r="13">
          <cell r="B13">
            <v>343</v>
          </cell>
          <cell r="X13">
            <v>1</v>
          </cell>
          <cell r="AB13">
            <v>102</v>
          </cell>
        </row>
        <row r="14">
          <cell r="B14">
            <v>0</v>
          </cell>
          <cell r="X14">
            <v>0</v>
          </cell>
          <cell r="AB14">
            <v>0</v>
          </cell>
        </row>
        <row r="15">
          <cell r="B15">
            <v>0</v>
          </cell>
          <cell r="X15">
            <v>0</v>
          </cell>
          <cell r="AB15">
            <v>0</v>
          </cell>
        </row>
        <row r="16">
          <cell r="B16">
            <v>0</v>
          </cell>
          <cell r="X16">
            <v>0</v>
          </cell>
          <cell r="AB16">
            <v>0</v>
          </cell>
        </row>
        <row r="17">
          <cell r="B17">
            <v>40</v>
          </cell>
          <cell r="X17">
            <v>0</v>
          </cell>
          <cell r="AB17">
            <v>20</v>
          </cell>
        </row>
        <row r="18">
          <cell r="B18">
            <v>7</v>
          </cell>
          <cell r="X18">
            <v>0</v>
          </cell>
          <cell r="AB18">
            <v>0</v>
          </cell>
        </row>
        <row r="19">
          <cell r="B19">
            <v>74</v>
          </cell>
          <cell r="X19">
            <v>14</v>
          </cell>
          <cell r="AB19">
            <v>0</v>
          </cell>
        </row>
        <row r="20">
          <cell r="B20">
            <v>0</v>
          </cell>
          <cell r="X20">
            <v>0</v>
          </cell>
          <cell r="AB20">
            <v>0</v>
          </cell>
        </row>
        <row r="21">
          <cell r="B21">
            <v>0</v>
          </cell>
          <cell r="X21">
            <v>0</v>
          </cell>
          <cell r="AB21">
            <v>0</v>
          </cell>
        </row>
        <row r="22">
          <cell r="B22">
            <v>49</v>
          </cell>
          <cell r="X22">
            <v>1</v>
          </cell>
          <cell r="AB22">
            <v>9</v>
          </cell>
        </row>
        <row r="23">
          <cell r="B23">
            <v>0</v>
          </cell>
          <cell r="X23">
            <v>0</v>
          </cell>
          <cell r="AB23">
            <v>0</v>
          </cell>
        </row>
        <row r="24">
          <cell r="B24">
            <v>0</v>
          </cell>
          <cell r="X24">
            <v>0</v>
          </cell>
          <cell r="AB24">
            <v>0</v>
          </cell>
        </row>
        <row r="25">
          <cell r="B25">
            <v>0</v>
          </cell>
          <cell r="X25">
            <v>0</v>
          </cell>
          <cell r="AB25">
            <v>0</v>
          </cell>
        </row>
        <row r="26">
          <cell r="B26">
            <v>0</v>
          </cell>
          <cell r="X26">
            <v>0</v>
          </cell>
          <cell r="AB26">
            <v>0</v>
          </cell>
        </row>
        <row r="27">
          <cell r="B27">
            <v>56</v>
          </cell>
          <cell r="X27">
            <v>0</v>
          </cell>
          <cell r="AB27">
            <v>0</v>
          </cell>
        </row>
        <row r="28">
          <cell r="B28">
            <v>0</v>
          </cell>
          <cell r="X28">
            <v>0</v>
          </cell>
          <cell r="AB28">
            <v>0</v>
          </cell>
        </row>
        <row r="29">
          <cell r="B29">
            <v>0</v>
          </cell>
          <cell r="X29">
            <v>0</v>
          </cell>
          <cell r="AB29">
            <v>0</v>
          </cell>
        </row>
        <row r="30">
          <cell r="B30">
            <v>0</v>
          </cell>
          <cell r="X30">
            <v>0</v>
          </cell>
          <cell r="AB30">
            <v>0</v>
          </cell>
        </row>
        <row r="31">
          <cell r="B31">
            <v>0</v>
          </cell>
          <cell r="X31">
            <v>0</v>
          </cell>
          <cell r="AB31">
            <v>0</v>
          </cell>
        </row>
        <row r="32">
          <cell r="B32">
            <v>43</v>
          </cell>
          <cell r="X32">
            <v>3</v>
          </cell>
          <cell r="AB32">
            <v>11</v>
          </cell>
        </row>
        <row r="33">
          <cell r="B33">
            <v>0</v>
          </cell>
          <cell r="X33">
            <v>0</v>
          </cell>
          <cell r="AB33">
            <v>0</v>
          </cell>
        </row>
        <row r="34">
          <cell r="B34">
            <v>94</v>
          </cell>
          <cell r="X34">
            <v>9</v>
          </cell>
          <cell r="AB34">
            <v>7</v>
          </cell>
        </row>
        <row r="35">
          <cell r="B35">
            <v>0</v>
          </cell>
          <cell r="X35">
            <v>0</v>
          </cell>
          <cell r="AB35">
            <v>0</v>
          </cell>
        </row>
        <row r="36">
          <cell r="B36">
            <v>0</v>
          </cell>
          <cell r="X36">
            <v>0</v>
          </cell>
          <cell r="AB36">
            <v>0</v>
          </cell>
        </row>
        <row r="37">
          <cell r="B37">
            <v>0</v>
          </cell>
          <cell r="X37">
            <v>0</v>
          </cell>
          <cell r="AB37">
            <v>0</v>
          </cell>
        </row>
        <row r="38">
          <cell r="B38">
            <v>93</v>
          </cell>
          <cell r="X38">
            <v>19</v>
          </cell>
          <cell r="AB38">
            <v>0</v>
          </cell>
        </row>
        <row r="39">
          <cell r="B39">
            <v>430</v>
          </cell>
          <cell r="X39">
            <v>4</v>
          </cell>
          <cell r="AB39">
            <v>100</v>
          </cell>
        </row>
        <row r="40">
          <cell r="B40">
            <v>0</v>
          </cell>
          <cell r="X40">
            <v>0</v>
          </cell>
          <cell r="AB40">
            <v>0</v>
          </cell>
        </row>
        <row r="41">
          <cell r="B41">
            <v>271</v>
          </cell>
          <cell r="X41">
            <v>6</v>
          </cell>
          <cell r="AB41">
            <v>0</v>
          </cell>
        </row>
        <row r="42">
          <cell r="B42">
            <v>378</v>
          </cell>
          <cell r="X42">
            <v>0</v>
          </cell>
          <cell r="AB42">
            <v>4</v>
          </cell>
        </row>
        <row r="43">
          <cell r="B43">
            <v>119</v>
          </cell>
          <cell r="X43">
            <v>31</v>
          </cell>
          <cell r="AB43">
            <v>0</v>
          </cell>
        </row>
        <row r="44">
          <cell r="B44">
            <v>275</v>
          </cell>
          <cell r="X44">
            <v>2</v>
          </cell>
          <cell r="AB44">
            <v>114</v>
          </cell>
        </row>
        <row r="45">
          <cell r="B45">
            <v>17</v>
          </cell>
          <cell r="X45">
            <v>0</v>
          </cell>
          <cell r="AB45">
            <v>4</v>
          </cell>
        </row>
        <row r="46">
          <cell r="B46">
            <v>0</v>
          </cell>
          <cell r="X46">
            <v>0</v>
          </cell>
          <cell r="AB46">
            <v>0</v>
          </cell>
        </row>
        <row r="47">
          <cell r="B47">
            <v>0</v>
          </cell>
          <cell r="X47">
            <v>0</v>
          </cell>
          <cell r="AB47">
            <v>0</v>
          </cell>
        </row>
        <row r="48">
          <cell r="B48">
            <v>0</v>
          </cell>
          <cell r="X48">
            <v>0</v>
          </cell>
          <cell r="AB48">
            <v>0</v>
          </cell>
        </row>
        <row r="49">
          <cell r="B49">
            <v>37</v>
          </cell>
          <cell r="X49">
            <v>1</v>
          </cell>
          <cell r="AB49">
            <v>5</v>
          </cell>
        </row>
        <row r="50">
          <cell r="B50">
            <v>0</v>
          </cell>
          <cell r="X50">
            <v>0</v>
          </cell>
          <cell r="AB50">
            <v>0</v>
          </cell>
        </row>
        <row r="51">
          <cell r="B51">
            <v>0</v>
          </cell>
          <cell r="X51">
            <v>0</v>
          </cell>
          <cell r="AB51">
            <v>0</v>
          </cell>
        </row>
        <row r="52">
          <cell r="B52">
            <v>0</v>
          </cell>
          <cell r="X52">
            <v>0</v>
          </cell>
          <cell r="AB52">
            <v>0</v>
          </cell>
        </row>
        <row r="53">
          <cell r="B53">
            <v>0</v>
          </cell>
          <cell r="X53">
            <v>0</v>
          </cell>
          <cell r="AB53">
            <v>0</v>
          </cell>
        </row>
        <row r="54">
          <cell r="B54">
            <v>57</v>
          </cell>
          <cell r="X54">
            <v>5</v>
          </cell>
          <cell r="AB54">
            <v>32</v>
          </cell>
        </row>
        <row r="55">
          <cell r="B55">
            <v>662</v>
          </cell>
          <cell r="X55">
            <v>4</v>
          </cell>
          <cell r="AB55">
            <v>212</v>
          </cell>
        </row>
        <row r="56">
          <cell r="B56">
            <v>0</v>
          </cell>
          <cell r="X56">
            <v>0</v>
          </cell>
          <cell r="AB56">
            <v>0</v>
          </cell>
        </row>
        <row r="57">
          <cell r="B57">
            <v>0</v>
          </cell>
          <cell r="X57">
            <v>0</v>
          </cell>
          <cell r="AB57">
            <v>0</v>
          </cell>
        </row>
        <row r="58">
          <cell r="B58">
            <v>689</v>
          </cell>
          <cell r="X58">
            <v>16</v>
          </cell>
          <cell r="AB58">
            <v>385</v>
          </cell>
        </row>
        <row r="59">
          <cell r="B59">
            <v>56</v>
          </cell>
          <cell r="X59">
            <v>6</v>
          </cell>
          <cell r="AB59">
            <v>15</v>
          </cell>
        </row>
        <row r="60">
          <cell r="B60">
            <v>411</v>
          </cell>
          <cell r="X60">
            <v>27</v>
          </cell>
          <cell r="AB60">
            <v>62</v>
          </cell>
        </row>
        <row r="61">
          <cell r="B61">
            <v>262</v>
          </cell>
          <cell r="X61">
            <v>0</v>
          </cell>
          <cell r="AB61">
            <v>28</v>
          </cell>
        </row>
        <row r="62">
          <cell r="B62">
            <v>2</v>
          </cell>
          <cell r="X62">
            <v>0</v>
          </cell>
          <cell r="AB62">
            <v>0</v>
          </cell>
        </row>
        <row r="63">
          <cell r="B63">
            <v>0</v>
          </cell>
          <cell r="X63">
            <v>0</v>
          </cell>
          <cell r="AB63">
            <v>0</v>
          </cell>
        </row>
        <row r="64">
          <cell r="B64">
            <v>0</v>
          </cell>
          <cell r="X64">
            <v>0</v>
          </cell>
          <cell r="AB64">
            <v>0</v>
          </cell>
        </row>
        <row r="65">
          <cell r="B65">
            <v>0</v>
          </cell>
          <cell r="X65">
            <v>0</v>
          </cell>
          <cell r="AB65">
            <v>0</v>
          </cell>
        </row>
        <row r="66">
          <cell r="B66">
            <v>0</v>
          </cell>
          <cell r="X66">
            <v>0</v>
          </cell>
          <cell r="AB66">
            <v>0</v>
          </cell>
        </row>
        <row r="71">
          <cell r="V71">
            <v>15</v>
          </cell>
          <cell r="W71">
            <v>16</v>
          </cell>
        </row>
        <row r="72">
          <cell r="V72">
            <v>26</v>
          </cell>
          <cell r="W72">
            <v>127</v>
          </cell>
        </row>
        <row r="73">
          <cell r="V73"/>
          <cell r="W73"/>
        </row>
        <row r="74">
          <cell r="V74"/>
          <cell r="W74"/>
        </row>
        <row r="75">
          <cell r="V75"/>
          <cell r="W75"/>
        </row>
        <row r="76">
          <cell r="V76"/>
          <cell r="W76"/>
        </row>
        <row r="77">
          <cell r="V77"/>
          <cell r="W77"/>
        </row>
        <row r="78">
          <cell r="V78">
            <v>4</v>
          </cell>
          <cell r="W78">
            <v>7</v>
          </cell>
        </row>
        <row r="79">
          <cell r="V79"/>
          <cell r="W79"/>
        </row>
        <row r="80">
          <cell r="V80"/>
          <cell r="W80"/>
        </row>
        <row r="81">
          <cell r="V81">
            <v>2</v>
          </cell>
          <cell r="W81">
            <v>25</v>
          </cell>
        </row>
        <row r="82">
          <cell r="V82"/>
          <cell r="W82"/>
        </row>
        <row r="83">
          <cell r="V83"/>
          <cell r="W83"/>
        </row>
        <row r="84">
          <cell r="V84"/>
          <cell r="W84"/>
        </row>
        <row r="85">
          <cell r="V85"/>
          <cell r="W85"/>
        </row>
        <row r="86">
          <cell r="V86">
            <v>1</v>
          </cell>
          <cell r="W86"/>
        </row>
        <row r="87">
          <cell r="V87"/>
          <cell r="W87"/>
        </row>
        <row r="88">
          <cell r="V88"/>
          <cell r="W88"/>
        </row>
        <row r="89">
          <cell r="V89"/>
          <cell r="W89"/>
        </row>
        <row r="90">
          <cell r="V90"/>
          <cell r="W90"/>
        </row>
        <row r="91">
          <cell r="V91">
            <v>9</v>
          </cell>
          <cell r="W91"/>
        </row>
        <row r="92">
          <cell r="V92"/>
          <cell r="W92"/>
        </row>
        <row r="93">
          <cell r="V93">
            <v>8</v>
          </cell>
          <cell r="W93">
            <v>5</v>
          </cell>
        </row>
        <row r="94">
          <cell r="V94"/>
          <cell r="W94"/>
        </row>
        <row r="95">
          <cell r="V95"/>
          <cell r="W95"/>
        </row>
        <row r="96">
          <cell r="V96"/>
          <cell r="W96"/>
        </row>
        <row r="97">
          <cell r="V97">
            <v>5</v>
          </cell>
          <cell r="W97">
            <v>21</v>
          </cell>
        </row>
        <row r="98">
          <cell r="V98">
            <v>35</v>
          </cell>
          <cell r="W98">
            <v>45</v>
          </cell>
        </row>
        <row r="99">
          <cell r="V99"/>
          <cell r="W99"/>
        </row>
        <row r="100">
          <cell r="V100">
            <v>53</v>
          </cell>
          <cell r="W100">
            <v>50</v>
          </cell>
        </row>
        <row r="101">
          <cell r="V101">
            <v>96</v>
          </cell>
          <cell r="W101">
            <v>43</v>
          </cell>
        </row>
        <row r="102">
          <cell r="V102">
            <v>19</v>
          </cell>
          <cell r="W102"/>
        </row>
        <row r="103">
          <cell r="V103">
            <v>15</v>
          </cell>
          <cell r="W103"/>
        </row>
        <row r="104">
          <cell r="V104">
            <v>3</v>
          </cell>
          <cell r="W104"/>
        </row>
        <row r="105">
          <cell r="V105"/>
          <cell r="W105"/>
        </row>
        <row r="106">
          <cell r="V106"/>
          <cell r="W106"/>
        </row>
        <row r="107">
          <cell r="V107"/>
          <cell r="W107"/>
        </row>
        <row r="108">
          <cell r="V108"/>
          <cell r="W108"/>
        </row>
        <row r="109">
          <cell r="V109"/>
          <cell r="W109"/>
        </row>
        <row r="110">
          <cell r="V110"/>
          <cell r="W110"/>
        </row>
        <row r="111">
          <cell r="V111"/>
          <cell r="W111"/>
        </row>
        <row r="112">
          <cell r="V112"/>
          <cell r="W112"/>
        </row>
        <row r="113">
          <cell r="V113"/>
          <cell r="W113"/>
        </row>
        <row r="114">
          <cell r="V114">
            <v>63</v>
          </cell>
          <cell r="W114">
            <v>4</v>
          </cell>
        </row>
        <row r="115">
          <cell r="V115"/>
          <cell r="W115"/>
        </row>
        <row r="116">
          <cell r="V116"/>
          <cell r="W116"/>
        </row>
        <row r="117">
          <cell r="V117">
            <v>15</v>
          </cell>
          <cell r="W117">
            <v>16</v>
          </cell>
        </row>
        <row r="118">
          <cell r="V118">
            <v>1</v>
          </cell>
          <cell r="W118"/>
        </row>
        <row r="119">
          <cell r="V119">
            <v>54</v>
          </cell>
          <cell r="W119"/>
        </row>
        <row r="120">
          <cell r="V120">
            <v>30</v>
          </cell>
          <cell r="W120">
            <v>41</v>
          </cell>
        </row>
        <row r="121">
          <cell r="V121"/>
          <cell r="W121">
            <v>1</v>
          </cell>
        </row>
        <row r="122">
          <cell r="V122"/>
          <cell r="W122"/>
        </row>
        <row r="123">
          <cell r="V123"/>
          <cell r="W123"/>
        </row>
        <row r="124">
          <cell r="V124"/>
          <cell r="W124"/>
        </row>
        <row r="125">
          <cell r="V125"/>
          <cell r="W125"/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3">
          <cell r="B13">
            <v>0</v>
          </cell>
          <cell r="C13">
            <v>0</v>
          </cell>
          <cell r="D13"/>
          <cell r="E13"/>
          <cell r="F13"/>
          <cell r="G13"/>
          <cell r="H13">
            <v>0</v>
          </cell>
          <cell r="I13">
            <v>0</v>
          </cell>
          <cell r="R13">
            <v>1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B14"/>
          <cell r="C14"/>
          <cell r="D14"/>
          <cell r="E14"/>
          <cell r="F14"/>
          <cell r="G14"/>
          <cell r="H14">
            <v>2</v>
          </cell>
          <cell r="I14">
            <v>2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5</v>
          </cell>
          <cell r="Y14">
            <v>4</v>
          </cell>
        </row>
        <row r="15">
          <cell r="B15"/>
          <cell r="C15"/>
          <cell r="D15"/>
          <cell r="E15"/>
          <cell r="F15"/>
          <cell r="G15"/>
          <cell r="H15"/>
          <cell r="I15"/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  <row r="16">
          <cell r="B16"/>
          <cell r="C16"/>
          <cell r="D16"/>
          <cell r="E16"/>
          <cell r="F16"/>
          <cell r="G16"/>
          <cell r="H16"/>
          <cell r="I16"/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B17"/>
          <cell r="C17"/>
          <cell r="D17"/>
          <cell r="E17"/>
          <cell r="F17"/>
          <cell r="G17"/>
          <cell r="H17"/>
          <cell r="I17"/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B18"/>
          <cell r="C18"/>
          <cell r="D18"/>
          <cell r="E18"/>
          <cell r="F18"/>
          <cell r="G18"/>
          <cell r="H18"/>
          <cell r="I18"/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B19"/>
          <cell r="C19"/>
          <cell r="D19"/>
          <cell r="E19"/>
          <cell r="F19"/>
          <cell r="G19"/>
          <cell r="H19"/>
          <cell r="I19"/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B20"/>
          <cell r="C20"/>
          <cell r="D20"/>
          <cell r="E20"/>
          <cell r="F20"/>
          <cell r="G20"/>
          <cell r="H20"/>
          <cell r="I20"/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B21"/>
          <cell r="C21"/>
          <cell r="D21"/>
          <cell r="E21"/>
          <cell r="F21"/>
          <cell r="G21"/>
          <cell r="H21"/>
          <cell r="I21"/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B22"/>
          <cell r="C22"/>
          <cell r="D22"/>
          <cell r="E22"/>
          <cell r="F22"/>
          <cell r="G22"/>
          <cell r="H22"/>
          <cell r="I22"/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B23"/>
          <cell r="C23"/>
          <cell r="D23"/>
          <cell r="E23"/>
          <cell r="F23"/>
          <cell r="G23"/>
          <cell r="H23"/>
          <cell r="I23"/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B24"/>
          <cell r="C24"/>
          <cell r="D24"/>
          <cell r="E24"/>
          <cell r="F24"/>
          <cell r="G24"/>
          <cell r="H24"/>
          <cell r="I24"/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B25"/>
          <cell r="C25"/>
          <cell r="D25"/>
          <cell r="E25"/>
          <cell r="F25"/>
          <cell r="G25"/>
          <cell r="H25"/>
          <cell r="I25"/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B26"/>
          <cell r="C26"/>
          <cell r="D26"/>
          <cell r="E26"/>
          <cell r="F26"/>
          <cell r="G26"/>
          <cell r="H26"/>
          <cell r="I26"/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B27"/>
          <cell r="C27"/>
          <cell r="D27"/>
          <cell r="E27"/>
          <cell r="F27"/>
          <cell r="G27"/>
          <cell r="H27"/>
          <cell r="I27"/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B28"/>
          <cell r="C28"/>
          <cell r="D28"/>
          <cell r="E28"/>
          <cell r="F28"/>
          <cell r="G28"/>
          <cell r="H28"/>
          <cell r="I28"/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B29"/>
          <cell r="C29"/>
          <cell r="D29"/>
          <cell r="E29"/>
          <cell r="F29"/>
          <cell r="G29"/>
          <cell r="H29"/>
          <cell r="I29"/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B30"/>
          <cell r="C30"/>
          <cell r="D30"/>
          <cell r="E30"/>
          <cell r="F30"/>
          <cell r="G30"/>
          <cell r="H30"/>
          <cell r="I30"/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B31"/>
          <cell r="C31"/>
          <cell r="D31"/>
          <cell r="E31"/>
          <cell r="F31"/>
          <cell r="G31"/>
          <cell r="H31"/>
          <cell r="I31"/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B32"/>
          <cell r="C32"/>
          <cell r="D32"/>
          <cell r="E32"/>
          <cell r="F32"/>
          <cell r="G32"/>
          <cell r="H32"/>
          <cell r="I32"/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B33"/>
          <cell r="C33"/>
          <cell r="D33"/>
          <cell r="E33"/>
          <cell r="F33"/>
          <cell r="G33"/>
          <cell r="H33"/>
          <cell r="I33"/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B34"/>
          <cell r="C34"/>
          <cell r="D34"/>
          <cell r="E34"/>
          <cell r="F34"/>
          <cell r="G34"/>
          <cell r="H34"/>
          <cell r="I34"/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B35">
            <v>1</v>
          </cell>
          <cell r="C35">
            <v>1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2</v>
          </cell>
          <cell r="I35">
            <v>3</v>
          </cell>
          <cell r="R35">
            <v>3</v>
          </cell>
          <cell r="S35">
            <v>2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4</v>
          </cell>
          <cell r="Y35">
            <v>14</v>
          </cell>
        </row>
        <row r="36">
          <cell r="B36"/>
          <cell r="C36"/>
          <cell r="D36"/>
          <cell r="E36"/>
          <cell r="F36"/>
          <cell r="G36"/>
          <cell r="H36"/>
          <cell r="I36"/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B37"/>
          <cell r="C37"/>
          <cell r="D37"/>
          <cell r="E37"/>
          <cell r="F37"/>
          <cell r="G37"/>
          <cell r="H37"/>
          <cell r="I37"/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B38"/>
          <cell r="C38"/>
          <cell r="D38"/>
          <cell r="E38"/>
          <cell r="F38"/>
          <cell r="G38"/>
          <cell r="H38"/>
          <cell r="I38"/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B39"/>
          <cell r="C39"/>
          <cell r="D39"/>
          <cell r="E39"/>
          <cell r="F39"/>
          <cell r="G39"/>
          <cell r="H39"/>
          <cell r="I39"/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B40"/>
          <cell r="C40"/>
          <cell r="D40"/>
          <cell r="E40"/>
          <cell r="F40"/>
          <cell r="G40"/>
          <cell r="H40">
            <v>1</v>
          </cell>
          <cell r="I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11</v>
          </cell>
          <cell r="Y40">
            <v>11</v>
          </cell>
        </row>
        <row r="41">
          <cell r="B41"/>
          <cell r="C41"/>
          <cell r="D41"/>
          <cell r="E41"/>
          <cell r="F41"/>
          <cell r="G41"/>
          <cell r="H41"/>
          <cell r="I41"/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</row>
        <row r="42">
          <cell r="B42"/>
          <cell r="C42"/>
          <cell r="D42"/>
          <cell r="E42"/>
          <cell r="F42"/>
          <cell r="G42"/>
          <cell r="H42"/>
          <cell r="I42"/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</row>
        <row r="43">
          <cell r="B43"/>
          <cell r="C43"/>
          <cell r="D43"/>
          <cell r="E43"/>
          <cell r="F43"/>
          <cell r="G43"/>
          <cell r="H43"/>
          <cell r="I43"/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</row>
        <row r="44">
          <cell r="B44"/>
          <cell r="C44"/>
          <cell r="D44"/>
          <cell r="E44"/>
          <cell r="F44"/>
          <cell r="G44"/>
          <cell r="H44"/>
          <cell r="I44"/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</row>
        <row r="45">
          <cell r="B45"/>
          <cell r="C45"/>
          <cell r="D45"/>
          <cell r="E45"/>
          <cell r="F45"/>
          <cell r="G45"/>
          <cell r="H45"/>
          <cell r="I45"/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</row>
        <row r="46">
          <cell r="B46"/>
          <cell r="C46"/>
          <cell r="D46"/>
          <cell r="E46"/>
          <cell r="F46"/>
          <cell r="G46"/>
          <cell r="H46"/>
          <cell r="I46"/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B47"/>
          <cell r="C47"/>
          <cell r="D47"/>
          <cell r="E47"/>
          <cell r="F47"/>
          <cell r="G47"/>
          <cell r="H47"/>
          <cell r="I47"/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B48"/>
          <cell r="C48"/>
          <cell r="D48"/>
          <cell r="E48"/>
          <cell r="F48"/>
          <cell r="G48"/>
          <cell r="H48"/>
          <cell r="I48"/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B49"/>
          <cell r="C49"/>
          <cell r="D49"/>
          <cell r="E49"/>
          <cell r="F49"/>
          <cell r="G49"/>
          <cell r="H49"/>
          <cell r="I49"/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B50"/>
          <cell r="C50"/>
          <cell r="D50"/>
          <cell r="E50"/>
          <cell r="F50"/>
          <cell r="G50"/>
          <cell r="H50"/>
          <cell r="I50"/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1">
          <cell r="B51"/>
          <cell r="C51"/>
          <cell r="D51"/>
          <cell r="E51"/>
          <cell r="F51"/>
          <cell r="G51"/>
          <cell r="H51"/>
          <cell r="I51"/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B52"/>
          <cell r="C52"/>
          <cell r="D52"/>
          <cell r="E52"/>
          <cell r="F52"/>
          <cell r="G52"/>
          <cell r="H52"/>
          <cell r="I52"/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B53"/>
          <cell r="C53"/>
          <cell r="D53"/>
          <cell r="E53"/>
          <cell r="F53"/>
          <cell r="G53"/>
          <cell r="H53"/>
          <cell r="I53"/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B54"/>
          <cell r="C54"/>
          <cell r="D54"/>
          <cell r="E54"/>
          <cell r="F54"/>
          <cell r="G54"/>
          <cell r="H54"/>
          <cell r="I54"/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B55"/>
          <cell r="C55"/>
          <cell r="D55"/>
          <cell r="E55"/>
          <cell r="F55"/>
          <cell r="G55"/>
          <cell r="H55"/>
          <cell r="I55"/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B56"/>
          <cell r="C56"/>
          <cell r="D56"/>
          <cell r="E56"/>
          <cell r="F56"/>
          <cell r="G56"/>
          <cell r="H56"/>
          <cell r="I56"/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B57"/>
          <cell r="C57"/>
          <cell r="D57"/>
          <cell r="E57"/>
          <cell r="F57"/>
          <cell r="G57"/>
          <cell r="H57"/>
          <cell r="I57"/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B58"/>
          <cell r="C58"/>
          <cell r="D58"/>
          <cell r="E58"/>
          <cell r="F58"/>
          <cell r="G58"/>
          <cell r="H58"/>
          <cell r="I58"/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</row>
        <row r="59">
          <cell r="B59"/>
          <cell r="C59"/>
          <cell r="D59"/>
          <cell r="E59"/>
          <cell r="F59"/>
          <cell r="G59"/>
          <cell r="H59"/>
          <cell r="I59"/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B60"/>
          <cell r="C60"/>
          <cell r="D60"/>
          <cell r="E60"/>
          <cell r="F60"/>
          <cell r="G60"/>
          <cell r="H60"/>
          <cell r="I60"/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B61"/>
          <cell r="C61"/>
          <cell r="D61"/>
          <cell r="E61"/>
          <cell r="F61"/>
          <cell r="G61"/>
          <cell r="H61"/>
          <cell r="I61"/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</row>
        <row r="62">
          <cell r="B62"/>
          <cell r="C62"/>
          <cell r="D62"/>
          <cell r="E62"/>
          <cell r="F62"/>
          <cell r="G62"/>
          <cell r="H62"/>
          <cell r="I62"/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B63"/>
          <cell r="C63"/>
          <cell r="D63"/>
          <cell r="E63"/>
          <cell r="F63"/>
          <cell r="G63"/>
          <cell r="H63"/>
          <cell r="I63"/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B64"/>
          <cell r="C64"/>
          <cell r="D64"/>
          <cell r="E64"/>
          <cell r="F64"/>
          <cell r="G64"/>
          <cell r="H64"/>
          <cell r="I64"/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B65"/>
          <cell r="C65"/>
          <cell r="D65"/>
          <cell r="E65"/>
          <cell r="F65"/>
          <cell r="G65"/>
          <cell r="H65"/>
          <cell r="I65"/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B66"/>
          <cell r="C66"/>
          <cell r="D66"/>
          <cell r="E66"/>
          <cell r="F66"/>
          <cell r="G66"/>
          <cell r="H66"/>
          <cell r="I66"/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</row>
        <row r="67">
          <cell r="B67"/>
          <cell r="C67"/>
          <cell r="D67"/>
          <cell r="E67"/>
          <cell r="F67"/>
          <cell r="G67"/>
          <cell r="H67"/>
          <cell r="I67"/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</sheetData>
      <sheetData sheetId="23"/>
      <sheetData sheetId="24"/>
      <sheetData sheetId="25">
        <row r="35">
          <cell r="B35">
            <v>0</v>
          </cell>
          <cell r="Z35">
            <v>0</v>
          </cell>
          <cell r="AA35"/>
          <cell r="AB35"/>
          <cell r="AE35">
            <v>0</v>
          </cell>
        </row>
        <row r="36">
          <cell r="B36">
            <v>17</v>
          </cell>
          <cell r="Z36">
            <v>0</v>
          </cell>
          <cell r="AA36">
            <v>0</v>
          </cell>
          <cell r="AB36">
            <v>0</v>
          </cell>
          <cell r="AE36">
            <v>0</v>
          </cell>
        </row>
        <row r="37">
          <cell r="B37">
            <v>0</v>
          </cell>
          <cell r="Z37">
            <v>0</v>
          </cell>
          <cell r="AA37"/>
          <cell r="AB37"/>
          <cell r="AE37">
            <v>0</v>
          </cell>
        </row>
        <row r="38">
          <cell r="B38">
            <v>0</v>
          </cell>
          <cell r="Z38">
            <v>0</v>
          </cell>
          <cell r="AA38"/>
          <cell r="AB38"/>
          <cell r="AE38">
            <v>0</v>
          </cell>
        </row>
        <row r="39">
          <cell r="B39">
            <v>0</v>
          </cell>
          <cell r="Z39">
            <v>0</v>
          </cell>
          <cell r="AA39"/>
          <cell r="AB39"/>
          <cell r="AE39">
            <v>0</v>
          </cell>
        </row>
        <row r="40">
          <cell r="B40">
            <v>0</v>
          </cell>
          <cell r="Z40">
            <v>0</v>
          </cell>
          <cell r="AA40"/>
          <cell r="AB40"/>
          <cell r="AE40">
            <v>0</v>
          </cell>
        </row>
        <row r="41">
          <cell r="B41">
            <v>0</v>
          </cell>
          <cell r="Z41">
            <v>0</v>
          </cell>
          <cell r="AA41"/>
          <cell r="AB41"/>
          <cell r="AE41">
            <v>0</v>
          </cell>
        </row>
        <row r="42">
          <cell r="B42">
            <v>7</v>
          </cell>
          <cell r="Z42">
            <v>0</v>
          </cell>
          <cell r="AA42">
            <v>0</v>
          </cell>
          <cell r="AB42">
            <v>0</v>
          </cell>
          <cell r="AE42">
            <v>0</v>
          </cell>
        </row>
        <row r="43">
          <cell r="B43">
            <v>0</v>
          </cell>
          <cell r="Z43">
            <v>0</v>
          </cell>
          <cell r="AA43"/>
          <cell r="AB43"/>
          <cell r="AE43">
            <v>0</v>
          </cell>
        </row>
        <row r="44">
          <cell r="B44">
            <v>0</v>
          </cell>
          <cell r="Z44">
            <v>0</v>
          </cell>
          <cell r="AA44"/>
          <cell r="AB44"/>
          <cell r="AE44">
            <v>0</v>
          </cell>
        </row>
        <row r="45">
          <cell r="B45">
            <v>0</v>
          </cell>
          <cell r="Z45">
            <v>0</v>
          </cell>
          <cell r="AA45"/>
          <cell r="AB45"/>
          <cell r="AE45">
            <v>0</v>
          </cell>
        </row>
        <row r="46">
          <cell r="B46">
            <v>0</v>
          </cell>
          <cell r="Z46">
            <v>0</v>
          </cell>
          <cell r="AA46"/>
          <cell r="AB46"/>
          <cell r="AE46">
            <v>0</v>
          </cell>
        </row>
        <row r="47">
          <cell r="B47">
            <v>0</v>
          </cell>
          <cell r="Z47">
            <v>0</v>
          </cell>
          <cell r="AA47"/>
          <cell r="AB47"/>
          <cell r="AE47">
            <v>0</v>
          </cell>
        </row>
        <row r="48">
          <cell r="B48">
            <v>0</v>
          </cell>
          <cell r="Z48">
            <v>0</v>
          </cell>
          <cell r="AA48"/>
          <cell r="AB48"/>
          <cell r="AE48">
            <v>0</v>
          </cell>
        </row>
        <row r="49">
          <cell r="B49">
            <v>0</v>
          </cell>
          <cell r="Z49">
            <v>0</v>
          </cell>
          <cell r="AA49"/>
          <cell r="AB49"/>
          <cell r="AE49">
            <v>0</v>
          </cell>
        </row>
        <row r="50">
          <cell r="B50">
            <v>0</v>
          </cell>
          <cell r="Z50">
            <v>0</v>
          </cell>
          <cell r="AA50"/>
          <cell r="AB50"/>
          <cell r="AE50">
            <v>0</v>
          </cell>
        </row>
        <row r="51">
          <cell r="B51">
            <v>0</v>
          </cell>
          <cell r="Z51">
            <v>0</v>
          </cell>
          <cell r="AA51"/>
          <cell r="AB51"/>
          <cell r="AE51">
            <v>0</v>
          </cell>
        </row>
        <row r="52">
          <cell r="B52">
            <v>0</v>
          </cell>
          <cell r="Z52">
            <v>0</v>
          </cell>
          <cell r="AA52"/>
          <cell r="AB52"/>
          <cell r="AE52">
            <v>0</v>
          </cell>
        </row>
        <row r="53">
          <cell r="B53">
            <v>0</v>
          </cell>
          <cell r="Z53">
            <v>0</v>
          </cell>
          <cell r="AA53"/>
          <cell r="AB53"/>
          <cell r="AE53">
            <v>0</v>
          </cell>
        </row>
        <row r="54">
          <cell r="B54">
            <v>0</v>
          </cell>
          <cell r="Z54">
            <v>0</v>
          </cell>
          <cell r="AA54"/>
          <cell r="AB54"/>
          <cell r="AE54">
            <v>0</v>
          </cell>
        </row>
        <row r="55">
          <cell r="B55">
            <v>0</v>
          </cell>
          <cell r="Z55">
            <v>0</v>
          </cell>
          <cell r="AA55"/>
          <cell r="AB55"/>
          <cell r="AE55">
            <v>0</v>
          </cell>
        </row>
        <row r="56">
          <cell r="B56">
            <v>0</v>
          </cell>
          <cell r="Z56">
            <v>0</v>
          </cell>
          <cell r="AA56"/>
          <cell r="AB56"/>
          <cell r="AE56">
            <v>0</v>
          </cell>
        </row>
        <row r="57">
          <cell r="B57">
            <v>13</v>
          </cell>
          <cell r="Z57">
            <v>0</v>
          </cell>
          <cell r="AA57">
            <v>0</v>
          </cell>
          <cell r="AB57">
            <v>0</v>
          </cell>
          <cell r="AE57">
            <v>0</v>
          </cell>
        </row>
        <row r="58">
          <cell r="B58">
            <v>0</v>
          </cell>
          <cell r="Z58">
            <v>0</v>
          </cell>
          <cell r="AA58"/>
          <cell r="AB58"/>
          <cell r="AE58">
            <v>0</v>
          </cell>
        </row>
        <row r="59">
          <cell r="B59">
            <v>0</v>
          </cell>
          <cell r="Z59">
            <v>0</v>
          </cell>
          <cell r="AA59"/>
          <cell r="AB59"/>
          <cell r="AE59">
            <v>0</v>
          </cell>
        </row>
        <row r="60">
          <cell r="B60">
            <v>0</v>
          </cell>
          <cell r="Z60">
            <v>0</v>
          </cell>
          <cell r="AA60"/>
          <cell r="AB60"/>
          <cell r="AE60">
            <v>0</v>
          </cell>
        </row>
        <row r="61">
          <cell r="B61">
            <v>0</v>
          </cell>
          <cell r="Z61">
            <v>0</v>
          </cell>
          <cell r="AA61"/>
          <cell r="AB61"/>
          <cell r="AE61">
            <v>0</v>
          </cell>
        </row>
        <row r="62">
          <cell r="B62">
            <v>0</v>
          </cell>
          <cell r="Z62">
            <v>0</v>
          </cell>
          <cell r="AA62"/>
          <cell r="AB62"/>
          <cell r="AE62">
            <v>0</v>
          </cell>
        </row>
        <row r="63">
          <cell r="B63">
            <v>0</v>
          </cell>
          <cell r="Z63">
            <v>0</v>
          </cell>
          <cell r="AA63"/>
          <cell r="AB63"/>
          <cell r="AE63">
            <v>0</v>
          </cell>
        </row>
        <row r="64">
          <cell r="B64">
            <v>0</v>
          </cell>
          <cell r="Z64">
            <v>0</v>
          </cell>
          <cell r="AA64"/>
          <cell r="AB64"/>
          <cell r="AE64">
            <v>0</v>
          </cell>
        </row>
        <row r="65">
          <cell r="B65">
            <v>0</v>
          </cell>
          <cell r="Z65">
            <v>0</v>
          </cell>
          <cell r="AA65"/>
          <cell r="AB65"/>
          <cell r="AE65">
            <v>0</v>
          </cell>
        </row>
        <row r="66">
          <cell r="B66">
            <v>0</v>
          </cell>
          <cell r="Z66">
            <v>0</v>
          </cell>
          <cell r="AA66"/>
          <cell r="AB66"/>
          <cell r="AE66">
            <v>0</v>
          </cell>
        </row>
        <row r="67">
          <cell r="B67">
            <v>0</v>
          </cell>
          <cell r="Z67">
            <v>0</v>
          </cell>
          <cell r="AA67"/>
          <cell r="AB67"/>
          <cell r="AE67">
            <v>0</v>
          </cell>
        </row>
        <row r="68">
          <cell r="B68">
            <v>0</v>
          </cell>
          <cell r="Z68">
            <v>0</v>
          </cell>
          <cell r="AA68"/>
          <cell r="AB68"/>
          <cell r="AE68">
            <v>0</v>
          </cell>
        </row>
        <row r="69">
          <cell r="B69">
            <v>0</v>
          </cell>
          <cell r="Z69">
            <v>0</v>
          </cell>
          <cell r="AA69"/>
          <cell r="AB69"/>
          <cell r="AE69">
            <v>0</v>
          </cell>
        </row>
        <row r="70">
          <cell r="B70">
            <v>0</v>
          </cell>
          <cell r="Z70">
            <v>0</v>
          </cell>
          <cell r="AA70"/>
          <cell r="AB70"/>
          <cell r="AE70">
            <v>0</v>
          </cell>
        </row>
        <row r="71">
          <cell r="B71">
            <v>0</v>
          </cell>
          <cell r="Z71">
            <v>0</v>
          </cell>
          <cell r="AA71"/>
          <cell r="AB71"/>
          <cell r="AE71">
            <v>0</v>
          </cell>
        </row>
        <row r="72">
          <cell r="B72">
            <v>0</v>
          </cell>
          <cell r="Z72">
            <v>0</v>
          </cell>
          <cell r="AA72"/>
          <cell r="AB72"/>
          <cell r="AE72">
            <v>0</v>
          </cell>
        </row>
        <row r="73">
          <cell r="B73">
            <v>0</v>
          </cell>
          <cell r="Z73">
            <v>0</v>
          </cell>
          <cell r="AA73"/>
          <cell r="AB73"/>
          <cell r="AE73">
            <v>0</v>
          </cell>
        </row>
        <row r="74">
          <cell r="B74">
            <v>0</v>
          </cell>
          <cell r="Z74">
            <v>0</v>
          </cell>
          <cell r="AA74"/>
          <cell r="AB74"/>
          <cell r="AE74">
            <v>0</v>
          </cell>
        </row>
        <row r="75">
          <cell r="B75">
            <v>0</v>
          </cell>
          <cell r="Z75">
            <v>0</v>
          </cell>
          <cell r="AA75"/>
          <cell r="AB75"/>
          <cell r="AE75">
            <v>0</v>
          </cell>
        </row>
        <row r="76">
          <cell r="B76">
            <v>0</v>
          </cell>
          <cell r="Z76">
            <v>0</v>
          </cell>
          <cell r="AA76"/>
          <cell r="AB76"/>
          <cell r="AE76">
            <v>0</v>
          </cell>
        </row>
        <row r="77">
          <cell r="B77">
            <v>0</v>
          </cell>
          <cell r="Z77">
            <v>0</v>
          </cell>
          <cell r="AA77"/>
          <cell r="AB77"/>
          <cell r="AE77">
            <v>0</v>
          </cell>
        </row>
        <row r="78">
          <cell r="B78">
            <v>0</v>
          </cell>
          <cell r="Z78">
            <v>0</v>
          </cell>
          <cell r="AA78"/>
          <cell r="AB78"/>
          <cell r="AE78">
            <v>0</v>
          </cell>
        </row>
        <row r="79">
          <cell r="B79">
            <v>0</v>
          </cell>
          <cell r="Z79">
            <v>0</v>
          </cell>
          <cell r="AA79"/>
          <cell r="AB79"/>
          <cell r="AE79">
            <v>0</v>
          </cell>
        </row>
        <row r="80">
          <cell r="B80">
            <v>0</v>
          </cell>
          <cell r="Z80">
            <v>0</v>
          </cell>
          <cell r="AA80"/>
          <cell r="AB80"/>
          <cell r="AE80">
            <v>0</v>
          </cell>
        </row>
        <row r="81">
          <cell r="B81">
            <v>0</v>
          </cell>
          <cell r="Z81">
            <v>0</v>
          </cell>
          <cell r="AA81"/>
          <cell r="AB81"/>
          <cell r="AE81">
            <v>0</v>
          </cell>
        </row>
        <row r="82">
          <cell r="B82">
            <v>0</v>
          </cell>
          <cell r="Z82">
            <v>0</v>
          </cell>
          <cell r="AA82"/>
          <cell r="AB82"/>
          <cell r="AE82">
            <v>0</v>
          </cell>
        </row>
        <row r="83">
          <cell r="B83">
            <v>0</v>
          </cell>
          <cell r="Z83">
            <v>0</v>
          </cell>
          <cell r="AA83"/>
          <cell r="AB83"/>
          <cell r="AE83">
            <v>0</v>
          </cell>
        </row>
        <row r="84">
          <cell r="B84">
            <v>53</v>
          </cell>
          <cell r="Z84">
            <v>0</v>
          </cell>
          <cell r="AA84">
            <v>0</v>
          </cell>
          <cell r="AB84">
            <v>0</v>
          </cell>
          <cell r="AE84">
            <v>0</v>
          </cell>
        </row>
        <row r="85">
          <cell r="B85">
            <v>0</v>
          </cell>
          <cell r="Z85">
            <v>0</v>
          </cell>
          <cell r="AA85"/>
          <cell r="AB85"/>
          <cell r="AE85">
            <v>0</v>
          </cell>
        </row>
        <row r="86">
          <cell r="B86">
            <v>0</v>
          </cell>
          <cell r="Z86">
            <v>0</v>
          </cell>
          <cell r="AA86"/>
          <cell r="AB86"/>
          <cell r="AE86">
            <v>0</v>
          </cell>
        </row>
        <row r="87">
          <cell r="B87">
            <v>0</v>
          </cell>
          <cell r="Z87">
            <v>0</v>
          </cell>
          <cell r="AA87"/>
          <cell r="AB87"/>
          <cell r="AE87">
            <v>0</v>
          </cell>
        </row>
        <row r="88">
          <cell r="B88">
            <v>0</v>
          </cell>
          <cell r="Z88">
            <v>0</v>
          </cell>
          <cell r="AA88"/>
          <cell r="AB88"/>
          <cell r="AE88">
            <v>0</v>
          </cell>
        </row>
        <row r="89">
          <cell r="B89">
            <v>0</v>
          </cell>
          <cell r="Z89">
            <v>0</v>
          </cell>
          <cell r="AA89"/>
          <cell r="AB89"/>
          <cell r="AE89">
            <v>0</v>
          </cell>
        </row>
      </sheetData>
      <sheetData sheetId="26"/>
      <sheetData sheetId="27"/>
      <sheetData sheetId="28"/>
      <sheetData sheetId="2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BRE"/>
      <sheetName val="A01"/>
      <sheetName val="A02"/>
      <sheetName val="A03"/>
      <sheetName val="A04"/>
      <sheetName val="A05"/>
      <sheetName val="A06"/>
      <sheetName val="A07"/>
      <sheetName val="A08"/>
      <sheetName val="A09"/>
      <sheetName val="A11"/>
      <sheetName val="A11a"/>
      <sheetName val="A19a"/>
      <sheetName val="A19b"/>
      <sheetName val="A21"/>
      <sheetName val="A23"/>
      <sheetName val="A24"/>
      <sheetName val="A25"/>
      <sheetName val="A26"/>
      <sheetName val="A27"/>
      <sheetName val="A28"/>
      <sheetName val="A29"/>
      <sheetName val="A30"/>
      <sheetName val="A30AR"/>
      <sheetName val="A31"/>
      <sheetName val="A32"/>
      <sheetName val="A33"/>
      <sheetName val="A34"/>
      <sheetName val="Control"/>
      <sheetName val="MAC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2">
          <cell r="B12">
            <v>149</v>
          </cell>
          <cell r="X12">
            <v>47</v>
          </cell>
          <cell r="AB12">
            <v>0</v>
          </cell>
        </row>
        <row r="13">
          <cell r="B13">
            <v>493</v>
          </cell>
          <cell r="X13">
            <v>0</v>
          </cell>
          <cell r="AB13">
            <v>114</v>
          </cell>
        </row>
        <row r="14">
          <cell r="B14">
            <v>0</v>
          </cell>
          <cell r="X14">
            <v>0</v>
          </cell>
          <cell r="AB14">
            <v>0</v>
          </cell>
        </row>
        <row r="15">
          <cell r="B15">
            <v>0</v>
          </cell>
          <cell r="X15">
            <v>0</v>
          </cell>
          <cell r="AB15">
            <v>0</v>
          </cell>
        </row>
        <row r="16">
          <cell r="B16">
            <v>0</v>
          </cell>
          <cell r="X16">
            <v>0</v>
          </cell>
          <cell r="AB16">
            <v>0</v>
          </cell>
        </row>
        <row r="17">
          <cell r="B17">
            <v>0</v>
          </cell>
          <cell r="X17">
            <v>0</v>
          </cell>
          <cell r="AB17">
            <v>0</v>
          </cell>
        </row>
        <row r="18">
          <cell r="B18">
            <v>0</v>
          </cell>
          <cell r="X18">
            <v>0</v>
          </cell>
          <cell r="AB18">
            <v>0</v>
          </cell>
        </row>
        <row r="19">
          <cell r="B19">
            <v>59</v>
          </cell>
          <cell r="X19">
            <v>15</v>
          </cell>
          <cell r="AB19">
            <v>0</v>
          </cell>
        </row>
        <row r="20">
          <cell r="B20">
            <v>0</v>
          </cell>
          <cell r="X20">
            <v>0</v>
          </cell>
          <cell r="AB20">
            <v>0</v>
          </cell>
        </row>
        <row r="21">
          <cell r="B21">
            <v>0</v>
          </cell>
          <cell r="X21">
            <v>0</v>
          </cell>
          <cell r="AB21">
            <v>0</v>
          </cell>
        </row>
        <row r="22">
          <cell r="B22">
            <v>17</v>
          </cell>
          <cell r="X22">
            <v>0</v>
          </cell>
          <cell r="AB22">
            <v>5</v>
          </cell>
        </row>
        <row r="23">
          <cell r="B23">
            <v>0</v>
          </cell>
          <cell r="X23">
            <v>0</v>
          </cell>
          <cell r="AB23">
            <v>0</v>
          </cell>
        </row>
        <row r="24">
          <cell r="B24">
            <v>0</v>
          </cell>
          <cell r="X24">
            <v>0</v>
          </cell>
          <cell r="AB24">
            <v>0</v>
          </cell>
        </row>
        <row r="25">
          <cell r="B25">
            <v>0</v>
          </cell>
          <cell r="X25">
            <v>0</v>
          </cell>
          <cell r="AB25">
            <v>0</v>
          </cell>
        </row>
        <row r="26">
          <cell r="B26">
            <v>0</v>
          </cell>
          <cell r="X26">
            <v>0</v>
          </cell>
          <cell r="AB26">
            <v>0</v>
          </cell>
        </row>
        <row r="27">
          <cell r="B27">
            <v>0</v>
          </cell>
          <cell r="X27">
            <v>0</v>
          </cell>
          <cell r="AB27">
            <v>0</v>
          </cell>
        </row>
        <row r="28">
          <cell r="B28">
            <v>0</v>
          </cell>
          <cell r="X28">
            <v>0</v>
          </cell>
          <cell r="AB28">
            <v>0</v>
          </cell>
        </row>
        <row r="29">
          <cell r="B29">
            <v>0</v>
          </cell>
          <cell r="X29">
            <v>0</v>
          </cell>
          <cell r="AB29">
            <v>0</v>
          </cell>
        </row>
        <row r="30">
          <cell r="B30">
            <v>0</v>
          </cell>
          <cell r="X30">
            <v>0</v>
          </cell>
          <cell r="AB30">
            <v>0</v>
          </cell>
        </row>
        <row r="31">
          <cell r="B31">
            <v>0</v>
          </cell>
          <cell r="X31">
            <v>0</v>
          </cell>
          <cell r="AB31">
            <v>0</v>
          </cell>
        </row>
        <row r="32">
          <cell r="B32">
            <v>155</v>
          </cell>
          <cell r="X32">
            <v>9</v>
          </cell>
          <cell r="AB32">
            <v>52</v>
          </cell>
        </row>
        <row r="33">
          <cell r="B33">
            <v>0</v>
          </cell>
          <cell r="X33">
            <v>0</v>
          </cell>
          <cell r="AB33">
            <v>0</v>
          </cell>
        </row>
        <row r="34">
          <cell r="B34">
            <v>76</v>
          </cell>
          <cell r="X34">
            <v>5</v>
          </cell>
          <cell r="AB34">
            <v>13</v>
          </cell>
        </row>
        <row r="35">
          <cell r="B35">
            <v>0</v>
          </cell>
          <cell r="X35">
            <v>0</v>
          </cell>
          <cell r="AB35">
            <v>0</v>
          </cell>
        </row>
        <row r="36">
          <cell r="B36">
            <v>0</v>
          </cell>
          <cell r="X36">
            <v>0</v>
          </cell>
          <cell r="AB36">
            <v>0</v>
          </cell>
        </row>
        <row r="37">
          <cell r="B37">
            <v>0</v>
          </cell>
          <cell r="X37">
            <v>0</v>
          </cell>
          <cell r="AB37">
            <v>0</v>
          </cell>
        </row>
        <row r="38">
          <cell r="B38">
            <v>113</v>
          </cell>
          <cell r="X38">
            <v>18</v>
          </cell>
          <cell r="AB38">
            <v>0</v>
          </cell>
        </row>
        <row r="39">
          <cell r="B39">
            <v>350</v>
          </cell>
          <cell r="X39">
            <v>7</v>
          </cell>
          <cell r="AB39">
            <v>97</v>
          </cell>
        </row>
        <row r="40">
          <cell r="B40">
            <v>0</v>
          </cell>
          <cell r="X40">
            <v>0</v>
          </cell>
          <cell r="AB40">
            <v>0</v>
          </cell>
        </row>
        <row r="41">
          <cell r="B41">
            <v>242</v>
          </cell>
          <cell r="X41">
            <v>2</v>
          </cell>
          <cell r="AB41">
            <v>0</v>
          </cell>
        </row>
        <row r="42">
          <cell r="B42">
            <v>351</v>
          </cell>
          <cell r="X42">
            <v>1</v>
          </cell>
          <cell r="AB42">
            <v>7</v>
          </cell>
        </row>
        <row r="43">
          <cell r="B43">
            <v>139</v>
          </cell>
          <cell r="X43">
            <v>43</v>
          </cell>
          <cell r="AB43">
            <v>0</v>
          </cell>
        </row>
        <row r="44">
          <cell r="B44">
            <v>268</v>
          </cell>
          <cell r="X44">
            <v>3</v>
          </cell>
          <cell r="AB44">
            <v>81</v>
          </cell>
        </row>
        <row r="45">
          <cell r="B45">
            <v>42</v>
          </cell>
          <cell r="X45">
            <v>0</v>
          </cell>
          <cell r="AB45">
            <v>6</v>
          </cell>
        </row>
        <row r="46">
          <cell r="B46">
            <v>0</v>
          </cell>
          <cell r="X46">
            <v>0</v>
          </cell>
          <cell r="AB46">
            <v>0</v>
          </cell>
        </row>
        <row r="47">
          <cell r="B47">
            <v>0</v>
          </cell>
          <cell r="X47">
            <v>0</v>
          </cell>
          <cell r="AB47">
            <v>0</v>
          </cell>
        </row>
        <row r="48">
          <cell r="B48">
            <v>0</v>
          </cell>
          <cell r="X48">
            <v>0</v>
          </cell>
          <cell r="AB48">
            <v>0</v>
          </cell>
        </row>
        <row r="49">
          <cell r="B49">
            <v>40</v>
          </cell>
          <cell r="X49">
            <v>0</v>
          </cell>
          <cell r="AB49">
            <v>2</v>
          </cell>
        </row>
        <row r="50">
          <cell r="B50">
            <v>0</v>
          </cell>
          <cell r="X50">
            <v>0</v>
          </cell>
          <cell r="AB50">
            <v>0</v>
          </cell>
        </row>
        <row r="51">
          <cell r="B51">
            <v>0</v>
          </cell>
          <cell r="X51">
            <v>0</v>
          </cell>
          <cell r="AB51">
            <v>0</v>
          </cell>
        </row>
        <row r="52">
          <cell r="B52">
            <v>0</v>
          </cell>
          <cell r="X52">
            <v>0</v>
          </cell>
          <cell r="AB52">
            <v>0</v>
          </cell>
        </row>
        <row r="53">
          <cell r="B53">
            <v>0</v>
          </cell>
          <cell r="X53">
            <v>0</v>
          </cell>
          <cell r="AB53">
            <v>0</v>
          </cell>
        </row>
        <row r="54">
          <cell r="B54">
            <v>26</v>
          </cell>
          <cell r="X54">
            <v>0</v>
          </cell>
          <cell r="AB54">
            <v>22</v>
          </cell>
        </row>
        <row r="55">
          <cell r="B55">
            <v>668</v>
          </cell>
          <cell r="X55">
            <v>3</v>
          </cell>
          <cell r="AB55">
            <v>200</v>
          </cell>
        </row>
        <row r="56">
          <cell r="B56">
            <v>0</v>
          </cell>
          <cell r="X56">
            <v>0</v>
          </cell>
          <cell r="AB56">
            <v>0</v>
          </cell>
        </row>
        <row r="57">
          <cell r="B57">
            <v>0</v>
          </cell>
          <cell r="X57">
            <v>0</v>
          </cell>
          <cell r="AB57">
            <v>0</v>
          </cell>
        </row>
        <row r="58">
          <cell r="B58">
            <v>568</v>
          </cell>
          <cell r="X58">
            <v>53</v>
          </cell>
          <cell r="AB58">
            <v>240</v>
          </cell>
        </row>
        <row r="59">
          <cell r="B59">
            <v>125</v>
          </cell>
          <cell r="X59">
            <v>7</v>
          </cell>
          <cell r="AB59">
            <v>36</v>
          </cell>
        </row>
        <row r="60">
          <cell r="B60">
            <v>462</v>
          </cell>
          <cell r="X60">
            <v>42</v>
          </cell>
          <cell r="AB60">
            <v>76</v>
          </cell>
        </row>
        <row r="61">
          <cell r="B61">
            <v>235</v>
          </cell>
          <cell r="X61">
            <v>1</v>
          </cell>
          <cell r="AB61">
            <v>38</v>
          </cell>
        </row>
        <row r="62">
          <cell r="B62">
            <v>2</v>
          </cell>
          <cell r="X62">
            <v>0</v>
          </cell>
          <cell r="AB62">
            <v>0</v>
          </cell>
        </row>
        <row r="63">
          <cell r="B63">
            <v>0</v>
          </cell>
          <cell r="X63">
            <v>0</v>
          </cell>
          <cell r="AB63">
            <v>0</v>
          </cell>
        </row>
        <row r="64">
          <cell r="B64">
            <v>0</v>
          </cell>
          <cell r="X64">
            <v>0</v>
          </cell>
          <cell r="AB64">
            <v>0</v>
          </cell>
        </row>
        <row r="65">
          <cell r="B65">
            <v>0</v>
          </cell>
          <cell r="X65">
            <v>0</v>
          </cell>
          <cell r="AB65">
            <v>0</v>
          </cell>
        </row>
        <row r="66">
          <cell r="B66">
            <v>0</v>
          </cell>
          <cell r="X66">
            <v>0</v>
          </cell>
          <cell r="AB66">
            <v>0</v>
          </cell>
        </row>
        <row r="71">
          <cell r="V71">
            <v>6</v>
          </cell>
          <cell r="W71">
            <v>13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3">
          <cell r="B13"/>
          <cell r="C13"/>
          <cell r="D13"/>
          <cell r="E13"/>
          <cell r="F13"/>
          <cell r="G13"/>
          <cell r="H13"/>
          <cell r="I13"/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B14"/>
          <cell r="C14"/>
          <cell r="D14"/>
          <cell r="E14"/>
          <cell r="F14"/>
          <cell r="G14"/>
          <cell r="H14"/>
          <cell r="I14"/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B15"/>
          <cell r="C15"/>
          <cell r="D15"/>
          <cell r="E15"/>
          <cell r="F15"/>
          <cell r="G15"/>
          <cell r="H15"/>
          <cell r="I15"/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  <row r="16">
          <cell r="B16"/>
          <cell r="C16"/>
          <cell r="D16"/>
          <cell r="E16"/>
          <cell r="F16"/>
          <cell r="G16"/>
          <cell r="H16"/>
          <cell r="I16"/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B17"/>
          <cell r="C17"/>
          <cell r="D17"/>
          <cell r="E17"/>
          <cell r="F17"/>
          <cell r="G17"/>
          <cell r="H17"/>
          <cell r="I17"/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B18"/>
          <cell r="C18"/>
          <cell r="D18"/>
          <cell r="E18"/>
          <cell r="F18"/>
          <cell r="G18"/>
          <cell r="H18"/>
          <cell r="I18"/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B19"/>
          <cell r="C19"/>
          <cell r="D19"/>
          <cell r="E19"/>
          <cell r="F19"/>
          <cell r="G19"/>
          <cell r="H19"/>
          <cell r="I19"/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B20"/>
          <cell r="C20"/>
          <cell r="D20"/>
          <cell r="E20"/>
          <cell r="F20"/>
          <cell r="G20"/>
          <cell r="H20"/>
          <cell r="I20"/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B21"/>
          <cell r="C21"/>
          <cell r="D21"/>
          <cell r="E21"/>
          <cell r="F21"/>
          <cell r="G21"/>
          <cell r="H21"/>
          <cell r="I21"/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B22"/>
          <cell r="C22"/>
          <cell r="D22"/>
          <cell r="E22"/>
          <cell r="F22"/>
          <cell r="G22"/>
          <cell r="H22"/>
          <cell r="I22"/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B23"/>
          <cell r="C23"/>
          <cell r="D23"/>
          <cell r="E23"/>
          <cell r="F23"/>
          <cell r="G23"/>
          <cell r="H23"/>
          <cell r="I23"/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B24"/>
          <cell r="C24"/>
          <cell r="D24"/>
          <cell r="E24"/>
          <cell r="F24"/>
          <cell r="G24"/>
          <cell r="H24"/>
          <cell r="I24"/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B25"/>
          <cell r="C25"/>
          <cell r="D25"/>
          <cell r="E25"/>
          <cell r="F25"/>
          <cell r="G25"/>
          <cell r="H25"/>
          <cell r="I25"/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B26"/>
          <cell r="C26"/>
          <cell r="D26"/>
          <cell r="E26"/>
          <cell r="F26"/>
          <cell r="G26"/>
          <cell r="H26"/>
          <cell r="I26"/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B27"/>
          <cell r="C27"/>
          <cell r="D27"/>
          <cell r="E27"/>
          <cell r="F27"/>
          <cell r="G27"/>
          <cell r="H27"/>
          <cell r="I27"/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B28"/>
          <cell r="C28"/>
          <cell r="D28"/>
          <cell r="E28"/>
          <cell r="F28"/>
          <cell r="G28"/>
          <cell r="H28"/>
          <cell r="I28"/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B29"/>
          <cell r="C29"/>
          <cell r="D29"/>
          <cell r="E29"/>
          <cell r="F29"/>
          <cell r="G29"/>
          <cell r="H29"/>
          <cell r="I29"/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B30"/>
          <cell r="C30"/>
          <cell r="D30"/>
          <cell r="E30"/>
          <cell r="F30"/>
          <cell r="G30"/>
          <cell r="H30"/>
          <cell r="I30"/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B31"/>
          <cell r="C31"/>
          <cell r="D31"/>
          <cell r="E31"/>
          <cell r="F31"/>
          <cell r="G31"/>
          <cell r="H31"/>
          <cell r="I31"/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B32"/>
          <cell r="C32"/>
          <cell r="D32"/>
          <cell r="E32"/>
          <cell r="F32"/>
          <cell r="G32"/>
          <cell r="H32"/>
          <cell r="I32"/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B33"/>
          <cell r="C33"/>
          <cell r="D33"/>
          <cell r="E33"/>
          <cell r="F33"/>
          <cell r="G33"/>
          <cell r="H33"/>
          <cell r="I33"/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B34"/>
          <cell r="C34"/>
          <cell r="D34"/>
          <cell r="E34"/>
          <cell r="F34"/>
          <cell r="G34"/>
          <cell r="H34"/>
          <cell r="I34"/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B35"/>
          <cell r="C35"/>
          <cell r="D35"/>
          <cell r="E35"/>
          <cell r="F35"/>
          <cell r="G35"/>
          <cell r="H35"/>
          <cell r="I35"/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</row>
        <row r="36">
          <cell r="B36"/>
          <cell r="C36"/>
          <cell r="D36"/>
          <cell r="E36"/>
          <cell r="F36"/>
          <cell r="G36"/>
          <cell r="H36"/>
          <cell r="I36"/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B37"/>
          <cell r="C37"/>
          <cell r="D37"/>
          <cell r="E37"/>
          <cell r="F37"/>
          <cell r="G37"/>
          <cell r="H37"/>
          <cell r="I37"/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B38"/>
          <cell r="C38"/>
          <cell r="D38"/>
          <cell r="E38"/>
          <cell r="F38"/>
          <cell r="G38"/>
          <cell r="H38"/>
          <cell r="I38"/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B39"/>
          <cell r="C39"/>
          <cell r="D39"/>
          <cell r="E39"/>
          <cell r="F39"/>
          <cell r="G39"/>
          <cell r="H39"/>
          <cell r="I39"/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B40"/>
          <cell r="C40"/>
          <cell r="D40"/>
          <cell r="E40"/>
          <cell r="F40"/>
          <cell r="G40"/>
          <cell r="H40"/>
          <cell r="I40"/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</row>
        <row r="41">
          <cell r="B41"/>
          <cell r="C41"/>
          <cell r="D41"/>
          <cell r="E41"/>
          <cell r="F41"/>
          <cell r="G41"/>
          <cell r="H41"/>
          <cell r="I41"/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</row>
        <row r="42">
          <cell r="B42"/>
          <cell r="C42"/>
          <cell r="D42"/>
          <cell r="E42"/>
          <cell r="F42"/>
          <cell r="G42"/>
          <cell r="H42"/>
          <cell r="I42"/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</row>
        <row r="43">
          <cell r="B43"/>
          <cell r="C43"/>
          <cell r="D43"/>
          <cell r="E43"/>
          <cell r="F43"/>
          <cell r="G43"/>
          <cell r="H43"/>
          <cell r="I43"/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</row>
        <row r="44">
          <cell r="B44"/>
          <cell r="C44"/>
          <cell r="D44"/>
          <cell r="E44"/>
          <cell r="F44"/>
          <cell r="G44"/>
          <cell r="H44"/>
          <cell r="I44"/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</row>
        <row r="45">
          <cell r="B45"/>
          <cell r="C45"/>
          <cell r="D45"/>
          <cell r="E45"/>
          <cell r="F45"/>
          <cell r="G45"/>
          <cell r="H45"/>
          <cell r="I45"/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</row>
        <row r="46">
          <cell r="B46"/>
          <cell r="C46"/>
          <cell r="D46"/>
          <cell r="E46"/>
          <cell r="F46"/>
          <cell r="G46"/>
          <cell r="H46"/>
          <cell r="I46"/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B47"/>
          <cell r="C47"/>
          <cell r="D47"/>
          <cell r="E47"/>
          <cell r="F47"/>
          <cell r="G47"/>
          <cell r="H47"/>
          <cell r="I47"/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B48"/>
          <cell r="C48"/>
          <cell r="D48"/>
          <cell r="E48"/>
          <cell r="F48"/>
          <cell r="G48"/>
          <cell r="H48"/>
          <cell r="I48"/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B49"/>
          <cell r="C49"/>
          <cell r="D49"/>
          <cell r="E49"/>
          <cell r="F49"/>
          <cell r="G49"/>
          <cell r="H49"/>
          <cell r="I49"/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B50"/>
          <cell r="C50"/>
          <cell r="D50"/>
          <cell r="E50"/>
          <cell r="F50"/>
          <cell r="G50"/>
          <cell r="H50"/>
          <cell r="I50"/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1">
          <cell r="B51"/>
          <cell r="C51"/>
          <cell r="D51"/>
          <cell r="E51"/>
          <cell r="F51"/>
          <cell r="G51"/>
          <cell r="H51"/>
          <cell r="I51"/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B52"/>
          <cell r="C52"/>
          <cell r="D52"/>
          <cell r="E52"/>
          <cell r="F52"/>
          <cell r="G52"/>
          <cell r="H52"/>
          <cell r="I52"/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B53"/>
          <cell r="C53"/>
          <cell r="D53"/>
          <cell r="E53"/>
          <cell r="F53"/>
          <cell r="G53"/>
          <cell r="H53"/>
          <cell r="I53"/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B54"/>
          <cell r="C54"/>
          <cell r="D54"/>
          <cell r="E54"/>
          <cell r="F54"/>
          <cell r="G54"/>
          <cell r="H54"/>
          <cell r="I54"/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B55"/>
          <cell r="C55"/>
          <cell r="D55"/>
          <cell r="E55"/>
          <cell r="F55"/>
          <cell r="G55"/>
          <cell r="H55"/>
          <cell r="I55"/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B56"/>
          <cell r="C56"/>
          <cell r="D56"/>
          <cell r="E56"/>
          <cell r="F56"/>
          <cell r="G56"/>
          <cell r="H56"/>
          <cell r="I56"/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B57"/>
          <cell r="C57"/>
          <cell r="D57"/>
          <cell r="E57"/>
          <cell r="F57"/>
          <cell r="G57"/>
          <cell r="H57"/>
          <cell r="I57"/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B58"/>
          <cell r="C58"/>
          <cell r="D58"/>
          <cell r="E58"/>
          <cell r="F58"/>
          <cell r="G58"/>
          <cell r="H58"/>
          <cell r="I58"/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</row>
        <row r="59">
          <cell r="B59"/>
          <cell r="C59"/>
          <cell r="D59"/>
          <cell r="E59"/>
          <cell r="F59"/>
          <cell r="G59"/>
          <cell r="H59"/>
          <cell r="I59"/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B60"/>
          <cell r="C60"/>
          <cell r="D60"/>
          <cell r="E60"/>
          <cell r="F60"/>
          <cell r="G60"/>
          <cell r="H60"/>
          <cell r="I60"/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B61"/>
          <cell r="C61"/>
          <cell r="D61"/>
          <cell r="E61"/>
          <cell r="F61"/>
          <cell r="G61"/>
          <cell r="H61"/>
          <cell r="I61"/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</row>
        <row r="62">
          <cell r="B62"/>
          <cell r="C62"/>
          <cell r="D62"/>
          <cell r="E62"/>
          <cell r="F62"/>
          <cell r="G62"/>
          <cell r="H62"/>
          <cell r="I62"/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B63"/>
          <cell r="C63"/>
          <cell r="D63"/>
          <cell r="E63"/>
          <cell r="F63"/>
          <cell r="G63"/>
          <cell r="H63"/>
          <cell r="I63"/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B64"/>
          <cell r="C64"/>
          <cell r="D64"/>
          <cell r="E64"/>
          <cell r="F64"/>
          <cell r="G64"/>
          <cell r="H64"/>
          <cell r="I64"/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B65"/>
          <cell r="C65"/>
          <cell r="D65"/>
          <cell r="E65"/>
          <cell r="F65"/>
          <cell r="G65"/>
          <cell r="H65"/>
          <cell r="I65"/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B66"/>
          <cell r="C66"/>
          <cell r="D66"/>
          <cell r="E66"/>
          <cell r="F66"/>
          <cell r="G66"/>
          <cell r="H66"/>
          <cell r="I66"/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</row>
        <row r="67">
          <cell r="B67"/>
          <cell r="C67"/>
          <cell r="D67"/>
          <cell r="E67"/>
          <cell r="F67"/>
          <cell r="G67"/>
          <cell r="H67"/>
          <cell r="I67"/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</sheetData>
      <sheetData sheetId="23"/>
      <sheetData sheetId="24"/>
      <sheetData sheetId="25">
        <row r="35">
          <cell r="B35">
            <v>0</v>
          </cell>
          <cell r="Z35">
            <v>0</v>
          </cell>
          <cell r="AA35"/>
          <cell r="AB35"/>
          <cell r="AE35">
            <v>0</v>
          </cell>
        </row>
        <row r="36">
          <cell r="B36">
            <v>0</v>
          </cell>
          <cell r="Z36">
            <v>0</v>
          </cell>
          <cell r="AE36">
            <v>0</v>
          </cell>
        </row>
        <row r="37">
          <cell r="B37">
            <v>0</v>
          </cell>
          <cell r="Z37">
            <v>0</v>
          </cell>
          <cell r="AE37">
            <v>0</v>
          </cell>
        </row>
        <row r="38">
          <cell r="B38">
            <v>0</v>
          </cell>
          <cell r="Z38">
            <v>0</v>
          </cell>
          <cell r="AE38">
            <v>0</v>
          </cell>
        </row>
        <row r="39">
          <cell r="B39">
            <v>0</v>
          </cell>
          <cell r="Z39">
            <v>0</v>
          </cell>
          <cell r="AE39">
            <v>0</v>
          </cell>
        </row>
        <row r="40">
          <cell r="B40">
            <v>0</v>
          </cell>
          <cell r="Z40">
            <v>0</v>
          </cell>
          <cell r="AE40">
            <v>0</v>
          </cell>
        </row>
        <row r="41">
          <cell r="B41">
            <v>0</v>
          </cell>
          <cell r="Z41">
            <v>0</v>
          </cell>
          <cell r="AE41">
            <v>0</v>
          </cell>
        </row>
        <row r="42">
          <cell r="B42">
            <v>0</v>
          </cell>
          <cell r="Z42">
            <v>0</v>
          </cell>
          <cell r="AE42">
            <v>0</v>
          </cell>
        </row>
        <row r="43">
          <cell r="B43">
            <v>0</v>
          </cell>
          <cell r="Z43">
            <v>0</v>
          </cell>
          <cell r="AE43">
            <v>0</v>
          </cell>
        </row>
        <row r="44">
          <cell r="B44">
            <v>0</v>
          </cell>
          <cell r="Z44">
            <v>0</v>
          </cell>
          <cell r="AE44">
            <v>0</v>
          </cell>
        </row>
        <row r="45">
          <cell r="B45">
            <v>0</v>
          </cell>
          <cell r="Z45">
            <v>0</v>
          </cell>
          <cell r="AE45">
            <v>0</v>
          </cell>
        </row>
        <row r="46">
          <cell r="B46">
            <v>0</v>
          </cell>
          <cell r="Z46">
            <v>0</v>
          </cell>
          <cell r="AE46">
            <v>0</v>
          </cell>
        </row>
        <row r="47">
          <cell r="B47">
            <v>0</v>
          </cell>
          <cell r="Z47">
            <v>0</v>
          </cell>
          <cell r="AE47">
            <v>0</v>
          </cell>
        </row>
        <row r="48">
          <cell r="B48">
            <v>0</v>
          </cell>
          <cell r="Z48">
            <v>0</v>
          </cell>
          <cell r="AE48">
            <v>0</v>
          </cell>
        </row>
        <row r="49">
          <cell r="B49">
            <v>0</v>
          </cell>
          <cell r="Z49">
            <v>0</v>
          </cell>
          <cell r="AE49">
            <v>0</v>
          </cell>
        </row>
        <row r="50">
          <cell r="B50">
            <v>0</v>
          </cell>
          <cell r="Z50">
            <v>0</v>
          </cell>
          <cell r="AE50">
            <v>0</v>
          </cell>
        </row>
        <row r="51">
          <cell r="B51">
            <v>0</v>
          </cell>
          <cell r="Z51">
            <v>0</v>
          </cell>
          <cell r="AE51">
            <v>0</v>
          </cell>
        </row>
        <row r="52">
          <cell r="B52">
            <v>0</v>
          </cell>
          <cell r="Z52">
            <v>0</v>
          </cell>
          <cell r="AE52">
            <v>0</v>
          </cell>
        </row>
        <row r="53">
          <cell r="B53">
            <v>0</v>
          </cell>
          <cell r="Z53">
            <v>0</v>
          </cell>
          <cell r="AE53">
            <v>0</v>
          </cell>
        </row>
        <row r="54">
          <cell r="B54">
            <v>0</v>
          </cell>
          <cell r="Z54">
            <v>0</v>
          </cell>
          <cell r="AE54">
            <v>0</v>
          </cell>
        </row>
        <row r="55">
          <cell r="B55">
            <v>0</v>
          </cell>
          <cell r="Z55">
            <v>0</v>
          </cell>
          <cell r="AE55">
            <v>0</v>
          </cell>
        </row>
        <row r="56">
          <cell r="B56">
            <v>0</v>
          </cell>
          <cell r="Z56">
            <v>0</v>
          </cell>
          <cell r="AE56">
            <v>0</v>
          </cell>
        </row>
        <row r="57">
          <cell r="B57">
            <v>0</v>
          </cell>
          <cell r="Z57">
            <v>0</v>
          </cell>
          <cell r="AE57">
            <v>0</v>
          </cell>
        </row>
        <row r="58">
          <cell r="B58">
            <v>0</v>
          </cell>
          <cell r="Z58">
            <v>0</v>
          </cell>
          <cell r="AE58">
            <v>0</v>
          </cell>
        </row>
        <row r="59">
          <cell r="B59">
            <v>0</v>
          </cell>
          <cell r="Z59">
            <v>0</v>
          </cell>
          <cell r="AE59">
            <v>0</v>
          </cell>
        </row>
        <row r="60">
          <cell r="B60">
            <v>0</v>
          </cell>
          <cell r="Z60">
            <v>0</v>
          </cell>
          <cell r="AE60">
            <v>0</v>
          </cell>
        </row>
        <row r="61">
          <cell r="B61">
            <v>0</v>
          </cell>
          <cell r="Z61">
            <v>0</v>
          </cell>
          <cell r="AE61">
            <v>0</v>
          </cell>
        </row>
        <row r="62">
          <cell r="B62">
            <v>0</v>
          </cell>
          <cell r="Z62">
            <v>0</v>
          </cell>
          <cell r="AE62">
            <v>0</v>
          </cell>
        </row>
        <row r="63">
          <cell r="B63">
            <v>0</v>
          </cell>
          <cell r="Z63">
            <v>0</v>
          </cell>
          <cell r="AE63">
            <v>0</v>
          </cell>
        </row>
        <row r="64">
          <cell r="B64">
            <v>0</v>
          </cell>
          <cell r="Z64">
            <v>0</v>
          </cell>
          <cell r="AE64">
            <v>0</v>
          </cell>
        </row>
        <row r="65">
          <cell r="B65">
            <v>0</v>
          </cell>
          <cell r="Z65">
            <v>0</v>
          </cell>
          <cell r="AE65">
            <v>0</v>
          </cell>
        </row>
        <row r="66">
          <cell r="B66">
            <v>0</v>
          </cell>
          <cell r="Z66">
            <v>0</v>
          </cell>
          <cell r="AE66">
            <v>0</v>
          </cell>
        </row>
        <row r="67">
          <cell r="B67">
            <v>0</v>
          </cell>
          <cell r="Z67">
            <v>0</v>
          </cell>
          <cell r="AE67">
            <v>0</v>
          </cell>
        </row>
        <row r="68">
          <cell r="B68">
            <v>0</v>
          </cell>
          <cell r="Z68">
            <v>0</v>
          </cell>
          <cell r="AE68">
            <v>0</v>
          </cell>
        </row>
        <row r="69">
          <cell r="B69">
            <v>0</v>
          </cell>
          <cell r="Z69">
            <v>0</v>
          </cell>
          <cell r="AE69">
            <v>0</v>
          </cell>
        </row>
        <row r="70">
          <cell r="B70">
            <v>0</v>
          </cell>
          <cell r="Z70">
            <v>0</v>
          </cell>
          <cell r="AE70">
            <v>0</v>
          </cell>
        </row>
        <row r="71">
          <cell r="B71">
            <v>0</v>
          </cell>
          <cell r="Z71">
            <v>0</v>
          </cell>
          <cell r="AE71">
            <v>0</v>
          </cell>
        </row>
        <row r="72">
          <cell r="B72">
            <v>0</v>
          </cell>
          <cell r="Z72">
            <v>0</v>
          </cell>
          <cell r="AE72">
            <v>0</v>
          </cell>
        </row>
        <row r="73">
          <cell r="B73">
            <v>0</v>
          </cell>
          <cell r="Z73">
            <v>0</v>
          </cell>
          <cell r="AE73">
            <v>0</v>
          </cell>
        </row>
        <row r="74">
          <cell r="B74">
            <v>0</v>
          </cell>
          <cell r="Z74">
            <v>0</v>
          </cell>
          <cell r="AE74">
            <v>0</v>
          </cell>
        </row>
        <row r="75">
          <cell r="B75">
            <v>0</v>
          </cell>
          <cell r="Z75">
            <v>0</v>
          </cell>
          <cell r="AE75">
            <v>0</v>
          </cell>
        </row>
        <row r="76">
          <cell r="B76">
            <v>0</v>
          </cell>
          <cell r="Z76">
            <v>0</v>
          </cell>
          <cell r="AE76">
            <v>0</v>
          </cell>
        </row>
        <row r="77">
          <cell r="B77">
            <v>0</v>
          </cell>
          <cell r="Z77">
            <v>0</v>
          </cell>
          <cell r="AE77">
            <v>0</v>
          </cell>
        </row>
        <row r="78">
          <cell r="B78">
            <v>0</v>
          </cell>
          <cell r="Z78">
            <v>0</v>
          </cell>
          <cell r="AE78">
            <v>0</v>
          </cell>
        </row>
        <row r="79">
          <cell r="B79">
            <v>0</v>
          </cell>
          <cell r="Z79">
            <v>0</v>
          </cell>
          <cell r="AE79">
            <v>0</v>
          </cell>
        </row>
        <row r="80">
          <cell r="B80">
            <v>0</v>
          </cell>
          <cell r="Z80">
            <v>0</v>
          </cell>
          <cell r="AE80">
            <v>0</v>
          </cell>
        </row>
        <row r="81">
          <cell r="B81">
            <v>0</v>
          </cell>
          <cell r="Z81">
            <v>0</v>
          </cell>
          <cell r="AE81">
            <v>0</v>
          </cell>
        </row>
        <row r="82">
          <cell r="B82">
            <v>0</v>
          </cell>
          <cell r="Z82">
            <v>0</v>
          </cell>
          <cell r="AE82">
            <v>0</v>
          </cell>
        </row>
        <row r="83">
          <cell r="B83">
            <v>0</v>
          </cell>
          <cell r="Z83">
            <v>0</v>
          </cell>
          <cell r="AE83">
            <v>0</v>
          </cell>
        </row>
        <row r="84">
          <cell r="B84">
            <v>0</v>
          </cell>
          <cell r="Z84">
            <v>0</v>
          </cell>
          <cell r="AE84">
            <v>0</v>
          </cell>
        </row>
        <row r="85">
          <cell r="B85">
            <v>0</v>
          </cell>
          <cell r="Z85">
            <v>0</v>
          </cell>
          <cell r="AE85">
            <v>0</v>
          </cell>
        </row>
        <row r="86">
          <cell r="B86">
            <v>0</v>
          </cell>
          <cell r="Z86">
            <v>0</v>
          </cell>
          <cell r="AE86">
            <v>0</v>
          </cell>
        </row>
        <row r="87">
          <cell r="B87">
            <v>0</v>
          </cell>
          <cell r="Z87">
            <v>0</v>
          </cell>
          <cell r="AE87">
            <v>0</v>
          </cell>
        </row>
        <row r="88">
          <cell r="B88">
            <v>0</v>
          </cell>
          <cell r="Z88">
            <v>0</v>
          </cell>
          <cell r="AE88">
            <v>0</v>
          </cell>
        </row>
        <row r="89">
          <cell r="B89">
            <v>0</v>
          </cell>
          <cell r="Z89">
            <v>0</v>
          </cell>
          <cell r="AE89">
            <v>0</v>
          </cell>
        </row>
      </sheetData>
      <sheetData sheetId="26"/>
      <sheetData sheetId="27"/>
      <sheetData sheetId="28"/>
      <sheetData sheetId="29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BRE"/>
      <sheetName val="A01"/>
      <sheetName val="A02"/>
      <sheetName val="A03"/>
      <sheetName val="A04"/>
      <sheetName val="A05"/>
      <sheetName val="A06"/>
      <sheetName val="A07"/>
      <sheetName val="A08"/>
      <sheetName val="A09"/>
      <sheetName val="A11"/>
      <sheetName val="A11a"/>
      <sheetName val="A19a"/>
      <sheetName val="A19b"/>
      <sheetName val="A21"/>
      <sheetName val="A23"/>
      <sheetName val="A24"/>
      <sheetName val="A25"/>
      <sheetName val="A26"/>
      <sheetName val="A27"/>
      <sheetName val="A28"/>
      <sheetName val="A29"/>
      <sheetName val="A30"/>
      <sheetName val="A30AR"/>
      <sheetName val="A31"/>
      <sheetName val="A32"/>
      <sheetName val="A33"/>
      <sheetName val="A34"/>
      <sheetName val="Control"/>
      <sheetName val="MAC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2">
          <cell r="B12">
            <v>220</v>
          </cell>
          <cell r="X12">
            <v>80</v>
          </cell>
          <cell r="AB12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3">
          <cell r="B13"/>
          <cell r="C13"/>
          <cell r="D13"/>
          <cell r="E13"/>
          <cell r="F13"/>
          <cell r="G13"/>
          <cell r="H13"/>
          <cell r="I13"/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</sheetData>
      <sheetData sheetId="23"/>
      <sheetData sheetId="24"/>
      <sheetData sheetId="25">
        <row r="35">
          <cell r="B35">
            <v>0</v>
          </cell>
          <cell r="Z35">
            <v>0</v>
          </cell>
          <cell r="AE35">
            <v>0</v>
          </cell>
        </row>
      </sheetData>
      <sheetData sheetId="26"/>
      <sheetData sheetId="27"/>
      <sheetData sheetId="28"/>
      <sheetData sheetId="29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BRE"/>
      <sheetName val="B"/>
      <sheetName val="B17"/>
      <sheetName val="Control"/>
      <sheetName val="MACROS"/>
    </sheetNames>
    <sheetDataSet>
      <sheetData sheetId="0"/>
      <sheetData sheetId="1"/>
      <sheetData sheetId="2">
        <row r="198">
          <cell r="C198">
            <v>122</v>
          </cell>
        </row>
        <row r="199">
          <cell r="C199">
            <v>315</v>
          </cell>
        </row>
      </sheetData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BRE"/>
      <sheetName val="A01"/>
      <sheetName val="A02"/>
      <sheetName val="A03"/>
      <sheetName val="A04"/>
      <sheetName val="A05"/>
      <sheetName val="A06"/>
      <sheetName val="A07"/>
      <sheetName val="A08"/>
      <sheetName val="A09"/>
      <sheetName val="A11"/>
      <sheetName val="A11a"/>
      <sheetName val="A19a"/>
      <sheetName val="A19b"/>
      <sheetName val="A21"/>
      <sheetName val="A23"/>
      <sheetName val="A24"/>
      <sheetName val="A25"/>
      <sheetName val="A26"/>
      <sheetName val="A27"/>
      <sheetName val="A28"/>
      <sheetName val="A29"/>
      <sheetName val="A30"/>
      <sheetName val="A30AR"/>
      <sheetName val="A31"/>
      <sheetName val="A32"/>
      <sheetName val="A33"/>
      <sheetName val="A34"/>
      <sheetName val="Control"/>
      <sheetName val="MAC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07">
          <cell r="C107">
            <v>128</v>
          </cell>
        </row>
        <row r="108">
          <cell r="C108">
            <v>56</v>
          </cell>
        </row>
        <row r="109">
          <cell r="C109">
            <v>77</v>
          </cell>
        </row>
        <row r="112">
          <cell r="C112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BRE"/>
      <sheetName val="B"/>
      <sheetName val="B17"/>
      <sheetName val="Control"/>
      <sheetName val="MACROS"/>
    </sheetNames>
    <sheetDataSet>
      <sheetData sheetId="0"/>
      <sheetData sheetId="1"/>
      <sheetData sheetId="2">
        <row r="198">
          <cell r="C198">
            <v>143</v>
          </cell>
        </row>
        <row r="199">
          <cell r="C199">
            <v>257</v>
          </cell>
        </row>
      </sheetData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BRE"/>
      <sheetName val="B"/>
      <sheetName val="B17"/>
      <sheetName val="Control"/>
      <sheetName val="MACROS"/>
    </sheetNames>
    <sheetDataSet>
      <sheetData sheetId="0"/>
      <sheetData sheetId="1"/>
      <sheetData sheetId="2">
        <row r="198">
          <cell r="C198">
            <v>158</v>
          </cell>
        </row>
        <row r="199">
          <cell r="C199">
            <v>313</v>
          </cell>
        </row>
      </sheetData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BRE"/>
      <sheetName val="B"/>
      <sheetName val="B17"/>
      <sheetName val="Control"/>
      <sheetName val="MACROS"/>
    </sheetNames>
    <sheetDataSet>
      <sheetData sheetId="0"/>
      <sheetData sheetId="1"/>
      <sheetData sheetId="2">
        <row r="198">
          <cell r="C198">
            <v>139</v>
          </cell>
        </row>
        <row r="199">
          <cell r="C199">
            <v>354</v>
          </cell>
        </row>
      </sheetData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BRE"/>
      <sheetName val="B"/>
      <sheetName val="B17"/>
      <sheetName val="Control"/>
      <sheetName val="MACROS"/>
    </sheetNames>
    <sheetDataSet>
      <sheetData sheetId="0"/>
      <sheetData sheetId="1"/>
      <sheetData sheetId="2">
        <row r="198">
          <cell r="C198">
            <v>147</v>
          </cell>
        </row>
        <row r="199">
          <cell r="C199">
            <v>395</v>
          </cell>
        </row>
      </sheetData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BRE"/>
      <sheetName val="B"/>
      <sheetName val="B17"/>
      <sheetName val="Control"/>
      <sheetName val="MACROS"/>
    </sheetNames>
    <sheetDataSet>
      <sheetData sheetId="0"/>
      <sheetData sheetId="1"/>
      <sheetData sheetId="2">
        <row r="164">
          <cell r="C164">
            <v>148</v>
          </cell>
        </row>
        <row r="165">
          <cell r="C165">
            <v>356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774A9-EC87-4203-B633-EAD623642EFC}">
  <dimension ref="A1:D56"/>
  <sheetViews>
    <sheetView showGridLines="0" topLeftCell="A2" zoomScale="85" zoomScaleNormal="85" workbookViewId="0">
      <selection activeCell="A2" sqref="A2"/>
    </sheetView>
  </sheetViews>
  <sheetFormatPr baseColWidth="10" defaultColWidth="11.42578125" defaultRowHeight="13.5" x14ac:dyDescent="0.25"/>
  <cols>
    <col min="1" max="1" width="56.42578125" style="2" customWidth="1"/>
    <col min="2" max="16384" width="11.42578125" style="2"/>
  </cols>
  <sheetData>
    <row r="1" spans="1:4" ht="27.6" customHeight="1" x14ac:dyDescent="0.25">
      <c r="A1" s="100" t="s">
        <v>169</v>
      </c>
      <c r="B1" s="101" t="s">
        <v>170</v>
      </c>
      <c r="C1" s="101" t="s">
        <v>171</v>
      </c>
      <c r="D1" s="101" t="s">
        <v>184</v>
      </c>
    </row>
    <row r="2" spans="1:4" x14ac:dyDescent="0.15">
      <c r="A2" s="76" t="s">
        <v>87</v>
      </c>
      <c r="B2" s="2" t="s">
        <v>174</v>
      </c>
      <c r="C2" s="2" t="s">
        <v>181</v>
      </c>
      <c r="D2" s="2" t="s">
        <v>185</v>
      </c>
    </row>
    <row r="3" spans="1:4" x14ac:dyDescent="0.15">
      <c r="A3" s="77" t="s">
        <v>88</v>
      </c>
      <c r="B3" s="2" t="s">
        <v>175</v>
      </c>
      <c r="C3" s="2" t="s">
        <v>181</v>
      </c>
      <c r="D3" s="2" t="s">
        <v>185</v>
      </c>
    </row>
    <row r="4" spans="1:4" x14ac:dyDescent="0.15">
      <c r="A4" s="77" t="s">
        <v>89</v>
      </c>
    </row>
    <row r="5" spans="1:4" x14ac:dyDescent="0.15">
      <c r="A5" s="77" t="s">
        <v>90</v>
      </c>
    </row>
    <row r="6" spans="1:4" x14ac:dyDescent="0.15">
      <c r="A6" s="77" t="s">
        <v>91</v>
      </c>
    </row>
    <row r="7" spans="1:4" x14ac:dyDescent="0.15">
      <c r="A7" s="77" t="s">
        <v>92</v>
      </c>
    </row>
    <row r="8" spans="1:4" x14ac:dyDescent="0.15">
      <c r="A8" s="77" t="s">
        <v>93</v>
      </c>
      <c r="B8" s="2" t="s">
        <v>172</v>
      </c>
      <c r="C8" s="2" t="s">
        <v>186</v>
      </c>
      <c r="D8" s="2" t="s">
        <v>185</v>
      </c>
    </row>
    <row r="9" spans="1:4" x14ac:dyDescent="0.15">
      <c r="A9" s="77" t="s">
        <v>94</v>
      </c>
      <c r="B9" s="2" t="s">
        <v>173</v>
      </c>
      <c r="C9" s="2" t="s">
        <v>179</v>
      </c>
      <c r="D9" s="2" t="s">
        <v>185</v>
      </c>
    </row>
    <row r="10" spans="1:4" x14ac:dyDescent="0.15">
      <c r="A10" s="77" t="s">
        <v>95</v>
      </c>
    </row>
    <row r="11" spans="1:4" x14ac:dyDescent="0.15">
      <c r="A11" s="77" t="s">
        <v>96</v>
      </c>
    </row>
    <row r="12" spans="1:4" x14ac:dyDescent="0.15">
      <c r="A12" s="77" t="s">
        <v>97</v>
      </c>
      <c r="B12" s="2" t="s">
        <v>175</v>
      </c>
      <c r="C12" s="2" t="s">
        <v>180</v>
      </c>
      <c r="D12" s="2" t="s">
        <v>185</v>
      </c>
    </row>
    <row r="13" spans="1:4" x14ac:dyDescent="0.15">
      <c r="A13" s="77" t="s">
        <v>98</v>
      </c>
    </row>
    <row r="14" spans="1:4" x14ac:dyDescent="0.15">
      <c r="A14" s="77" t="s">
        <v>99</v>
      </c>
    </row>
    <row r="15" spans="1:4" x14ac:dyDescent="0.15">
      <c r="A15" s="78" t="s">
        <v>100</v>
      </c>
    </row>
    <row r="16" spans="1:4" x14ac:dyDescent="0.15">
      <c r="A16" s="77" t="s">
        <v>101</v>
      </c>
    </row>
    <row r="17" spans="1:4" x14ac:dyDescent="0.15">
      <c r="A17" s="77" t="s">
        <v>102</v>
      </c>
    </row>
    <row r="18" spans="1:4" x14ac:dyDescent="0.15">
      <c r="A18" s="77" t="s">
        <v>103</v>
      </c>
    </row>
    <row r="19" spans="1:4" x14ac:dyDescent="0.15">
      <c r="A19" s="77" t="s">
        <v>104</v>
      </c>
    </row>
    <row r="20" spans="1:4" x14ac:dyDescent="0.15">
      <c r="A20" s="77" t="s">
        <v>105</v>
      </c>
    </row>
    <row r="21" spans="1:4" x14ac:dyDescent="0.2">
      <c r="A21" s="79" t="s">
        <v>106</v>
      </c>
    </row>
    <row r="22" spans="1:4" x14ac:dyDescent="0.15">
      <c r="A22" s="77" t="s">
        <v>107</v>
      </c>
      <c r="B22" s="2" t="s">
        <v>176</v>
      </c>
      <c r="C22" s="2" t="s">
        <v>182</v>
      </c>
      <c r="D22" s="2" t="s">
        <v>185</v>
      </c>
    </row>
    <row r="23" spans="1:4" x14ac:dyDescent="0.15">
      <c r="A23" s="77" t="s">
        <v>108</v>
      </c>
    </row>
    <row r="24" spans="1:4" x14ac:dyDescent="0.15">
      <c r="A24" s="77" t="s">
        <v>109</v>
      </c>
      <c r="B24" s="2" t="s">
        <v>173</v>
      </c>
      <c r="C24" s="2" t="s">
        <v>178</v>
      </c>
      <c r="D24" s="2" t="s">
        <v>185</v>
      </c>
    </row>
    <row r="25" spans="1:4" x14ac:dyDescent="0.15">
      <c r="A25" s="77" t="s">
        <v>110</v>
      </c>
    </row>
    <row r="26" spans="1:4" x14ac:dyDescent="0.15">
      <c r="A26" s="77" t="s">
        <v>111</v>
      </c>
    </row>
    <row r="27" spans="1:4" x14ac:dyDescent="0.2">
      <c r="A27" s="79" t="s">
        <v>112</v>
      </c>
    </row>
    <row r="28" spans="1:4" x14ac:dyDescent="0.15">
      <c r="A28" s="77" t="s">
        <v>113</v>
      </c>
      <c r="B28" s="2" t="s">
        <v>174</v>
      </c>
      <c r="C28" s="2" t="s">
        <v>180</v>
      </c>
      <c r="D28" s="2" t="s">
        <v>185</v>
      </c>
    </row>
    <row r="29" spans="1:4" x14ac:dyDescent="0.15">
      <c r="A29" s="77" t="s">
        <v>114</v>
      </c>
      <c r="B29" s="2" t="s">
        <v>174</v>
      </c>
      <c r="C29" s="2" t="s">
        <v>181</v>
      </c>
      <c r="D29" s="2" t="s">
        <v>185</v>
      </c>
    </row>
    <row r="30" spans="1:4" x14ac:dyDescent="0.15">
      <c r="A30" s="77" t="s">
        <v>115</v>
      </c>
    </row>
    <row r="31" spans="1:4" x14ac:dyDescent="0.15">
      <c r="A31" s="77" t="s">
        <v>116</v>
      </c>
      <c r="B31" s="2" t="s">
        <v>172</v>
      </c>
      <c r="C31" s="2" t="s">
        <v>180</v>
      </c>
      <c r="D31" s="2" t="s">
        <v>185</v>
      </c>
    </row>
    <row r="32" spans="1:4" x14ac:dyDescent="0.15">
      <c r="A32" s="77" t="s">
        <v>117</v>
      </c>
      <c r="B32" s="2" t="s">
        <v>172</v>
      </c>
      <c r="C32" s="2" t="s">
        <v>180</v>
      </c>
      <c r="D32" s="2" t="s">
        <v>185</v>
      </c>
    </row>
    <row r="33" spans="1:4" x14ac:dyDescent="0.15">
      <c r="A33" s="80" t="s">
        <v>118</v>
      </c>
      <c r="B33" s="2" t="s">
        <v>175</v>
      </c>
      <c r="C33" s="2" t="s">
        <v>173</v>
      </c>
      <c r="D33" s="2" t="s">
        <v>185</v>
      </c>
    </row>
    <row r="34" spans="1:4" x14ac:dyDescent="0.15">
      <c r="A34" s="77" t="s">
        <v>119</v>
      </c>
      <c r="B34" s="2" t="s">
        <v>176</v>
      </c>
      <c r="C34" s="2" t="s">
        <v>182</v>
      </c>
      <c r="D34" s="2" t="s">
        <v>185</v>
      </c>
    </row>
    <row r="35" spans="1:4" x14ac:dyDescent="0.15">
      <c r="A35" s="81" t="s">
        <v>120</v>
      </c>
      <c r="B35" s="2" t="s">
        <v>176</v>
      </c>
      <c r="C35" s="2" t="s">
        <v>182</v>
      </c>
      <c r="D35" s="2" t="s">
        <v>185</v>
      </c>
    </row>
    <row r="36" spans="1:4" x14ac:dyDescent="0.15">
      <c r="A36" s="82" t="s">
        <v>121</v>
      </c>
    </row>
    <row r="37" spans="1:4" x14ac:dyDescent="0.15">
      <c r="A37" s="77" t="s">
        <v>122</v>
      </c>
    </row>
    <row r="38" spans="1:4" x14ac:dyDescent="0.15">
      <c r="A38" s="77" t="s">
        <v>123</v>
      </c>
    </row>
    <row r="39" spans="1:4" x14ac:dyDescent="0.15">
      <c r="A39" s="77" t="s">
        <v>124</v>
      </c>
      <c r="B39" s="2" t="s">
        <v>176</v>
      </c>
      <c r="C39" s="2" t="s">
        <v>181</v>
      </c>
      <c r="D39" s="2" t="s">
        <v>185</v>
      </c>
    </row>
    <row r="40" spans="1:4" x14ac:dyDescent="0.15">
      <c r="A40" s="77" t="s">
        <v>125</v>
      </c>
    </row>
    <row r="41" spans="1:4" x14ac:dyDescent="0.15">
      <c r="A41" s="77" t="s">
        <v>126</v>
      </c>
    </row>
    <row r="42" spans="1:4" x14ac:dyDescent="0.15">
      <c r="A42" s="77" t="s">
        <v>127</v>
      </c>
    </row>
    <row r="43" spans="1:4" x14ac:dyDescent="0.15">
      <c r="A43" s="77" t="s">
        <v>128</v>
      </c>
    </row>
    <row r="44" spans="1:4" x14ac:dyDescent="0.15">
      <c r="A44" s="76" t="s">
        <v>129</v>
      </c>
      <c r="B44" s="2" t="s">
        <v>177</v>
      </c>
      <c r="C44" s="2" t="s">
        <v>183</v>
      </c>
      <c r="D44" s="2" t="s">
        <v>185</v>
      </c>
    </row>
    <row r="45" spans="1:4" x14ac:dyDescent="0.15">
      <c r="A45" s="82" t="s">
        <v>130</v>
      </c>
      <c r="B45" s="2" t="s">
        <v>175</v>
      </c>
      <c r="C45" s="2" t="s">
        <v>181</v>
      </c>
      <c r="D45" s="2" t="s">
        <v>185</v>
      </c>
    </row>
    <row r="46" spans="1:4" x14ac:dyDescent="0.15">
      <c r="A46" s="82" t="s">
        <v>131</v>
      </c>
    </row>
    <row r="47" spans="1:4" x14ac:dyDescent="0.2">
      <c r="A47" s="79" t="s">
        <v>132</v>
      </c>
    </row>
    <row r="48" spans="1:4" x14ac:dyDescent="0.15">
      <c r="A48" s="77" t="s">
        <v>133</v>
      </c>
      <c r="B48" s="2" t="s">
        <v>176</v>
      </c>
      <c r="C48" s="2" t="s">
        <v>182</v>
      </c>
      <c r="D48" s="2" t="s">
        <v>185</v>
      </c>
    </row>
    <row r="49" spans="1:4" x14ac:dyDescent="0.15">
      <c r="A49" s="77" t="s">
        <v>134</v>
      </c>
      <c r="B49" s="2" t="s">
        <v>176</v>
      </c>
      <c r="C49" s="2" t="s">
        <v>182</v>
      </c>
      <c r="D49" s="2" t="s">
        <v>185</v>
      </c>
    </row>
    <row r="50" spans="1:4" x14ac:dyDescent="0.15">
      <c r="A50" s="77" t="s">
        <v>135</v>
      </c>
      <c r="B50" s="2" t="s">
        <v>175</v>
      </c>
      <c r="C50" s="2" t="s">
        <v>181</v>
      </c>
      <c r="D50" s="2" t="s">
        <v>185</v>
      </c>
    </row>
    <row r="51" spans="1:4" x14ac:dyDescent="0.15">
      <c r="A51" s="77" t="s">
        <v>136</v>
      </c>
      <c r="B51" s="2" t="s">
        <v>175</v>
      </c>
      <c r="C51" s="2" t="s">
        <v>180</v>
      </c>
      <c r="D51" s="2" t="s">
        <v>185</v>
      </c>
    </row>
    <row r="52" spans="1:4" x14ac:dyDescent="0.15">
      <c r="A52" s="77" t="s">
        <v>137</v>
      </c>
      <c r="B52" s="2" t="s">
        <v>174</v>
      </c>
      <c r="C52" s="2" t="s">
        <v>181</v>
      </c>
      <c r="D52" s="2" t="s">
        <v>185</v>
      </c>
    </row>
    <row r="53" spans="1:4" x14ac:dyDescent="0.15">
      <c r="A53" s="77" t="s">
        <v>138</v>
      </c>
    </row>
    <row r="54" spans="1:4" x14ac:dyDescent="0.15">
      <c r="A54" s="77" t="s">
        <v>139</v>
      </c>
    </row>
    <row r="55" spans="1:4" x14ac:dyDescent="0.15">
      <c r="A55" s="76" t="s">
        <v>140</v>
      </c>
    </row>
    <row r="56" spans="1:4" x14ac:dyDescent="0.15">
      <c r="A56" s="78" t="s">
        <v>141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412D9-545E-4029-8406-BF11F3F5F9F5}">
  <dimension ref="A1:K14"/>
  <sheetViews>
    <sheetView workbookViewId="0">
      <selection activeCell="D6" sqref="D6"/>
    </sheetView>
  </sheetViews>
  <sheetFormatPr baseColWidth="10" defaultColWidth="11.5703125" defaultRowHeight="30" customHeight="1" x14ac:dyDescent="0.3"/>
  <cols>
    <col min="1" max="3" width="11.5703125" style="13"/>
    <col min="4" max="4" width="15.7109375" style="13" customWidth="1"/>
    <col min="5" max="5" width="18.5703125" style="13" customWidth="1"/>
    <col min="6" max="6" width="14" style="13" customWidth="1"/>
    <col min="7" max="7" width="12.5703125" style="13" customWidth="1"/>
    <col min="8" max="16384" width="11.5703125" style="13"/>
  </cols>
  <sheetData>
    <row r="1" spans="1:11" s="14" customFormat="1" ht="69" customHeight="1" x14ac:dyDescent="0.3">
      <c r="A1" s="25" t="s">
        <v>11</v>
      </c>
      <c r="B1" s="25" t="s">
        <v>12</v>
      </c>
      <c r="C1" s="25" t="s">
        <v>13</v>
      </c>
      <c r="D1" s="7" t="s">
        <v>6</v>
      </c>
      <c r="E1" s="56" t="s">
        <v>2</v>
      </c>
      <c r="F1" s="56" t="s">
        <v>3</v>
      </c>
      <c r="G1" s="57" t="s">
        <v>10</v>
      </c>
    </row>
    <row r="2" spans="1:11" ht="19.899999999999999" customHeight="1" x14ac:dyDescent="0.3">
      <c r="A2" s="86"/>
      <c r="B2"/>
      <c r="C2" s="24"/>
      <c r="D2" s="71">
        <v>45658</v>
      </c>
      <c r="E2" s="85"/>
      <c r="F2" s="87"/>
      <c r="G2" s="114" t="e">
        <f>E2/F2</f>
        <v>#DIV/0!</v>
      </c>
    </row>
    <row r="3" spans="1:11" ht="19.899999999999999" customHeight="1" x14ac:dyDescent="0.3">
      <c r="A3" s="86"/>
      <c r="B3"/>
      <c r="C3" s="24"/>
      <c r="D3" s="71">
        <v>45689</v>
      </c>
      <c r="E3" s="58"/>
      <c r="F3" s="59"/>
      <c r="G3" s="114" t="e">
        <f t="shared" ref="G3:G14" si="0">E3/F3</f>
        <v>#DIV/0!</v>
      </c>
    </row>
    <row r="4" spans="1:11" ht="19.899999999999999" customHeight="1" x14ac:dyDescent="0.3">
      <c r="A4" s="86"/>
      <c r="B4"/>
      <c r="C4" s="24"/>
      <c r="D4" s="71">
        <v>45717</v>
      </c>
      <c r="E4" s="58"/>
      <c r="F4" s="59"/>
      <c r="G4" s="114" t="e">
        <f t="shared" si="0"/>
        <v>#DIV/0!</v>
      </c>
      <c r="I4" s="13">
        <v>29</v>
      </c>
      <c r="J4" s="13">
        <v>0</v>
      </c>
    </row>
    <row r="5" spans="1:11" ht="19.899999999999999" customHeight="1" x14ac:dyDescent="0.3">
      <c r="A5" s="86"/>
      <c r="B5"/>
      <c r="C5" s="24"/>
      <c r="D5" s="71">
        <v>45748</v>
      </c>
      <c r="E5" s="58"/>
      <c r="F5" s="59"/>
      <c r="G5" s="114" t="e">
        <f t="shared" si="0"/>
        <v>#DIV/0!</v>
      </c>
      <c r="I5" s="13">
        <v>0</v>
      </c>
      <c r="J5" s="13">
        <v>2</v>
      </c>
    </row>
    <row r="6" spans="1:11" ht="19.899999999999999" customHeight="1" x14ac:dyDescent="0.3">
      <c r="A6" s="86"/>
      <c r="B6"/>
      <c r="C6" s="24"/>
      <c r="D6" s="71">
        <v>45778</v>
      </c>
      <c r="E6" s="58">
        <v>45</v>
      </c>
      <c r="F6" s="59">
        <v>47</v>
      </c>
      <c r="G6" s="115">
        <f t="shared" si="0"/>
        <v>0.95744680851063835</v>
      </c>
      <c r="I6" s="13">
        <v>16</v>
      </c>
    </row>
    <row r="7" spans="1:11" ht="19.899999999999999" customHeight="1" x14ac:dyDescent="0.3">
      <c r="A7" s="86"/>
      <c r="B7"/>
      <c r="C7" s="24"/>
      <c r="D7" s="71">
        <v>45809</v>
      </c>
      <c r="E7" s="58"/>
      <c r="F7" s="59"/>
      <c r="G7" s="114" t="e">
        <f t="shared" si="0"/>
        <v>#DIV/0!</v>
      </c>
    </row>
    <row r="8" spans="1:11" ht="19.899999999999999" customHeight="1" x14ac:dyDescent="0.3">
      <c r="A8" s="86"/>
      <c r="B8"/>
      <c r="C8" s="24"/>
      <c r="D8" s="71">
        <v>45839</v>
      </c>
      <c r="E8" s="58"/>
      <c r="F8" s="59"/>
      <c r="G8" s="114" t="e">
        <f t="shared" si="0"/>
        <v>#DIV/0!</v>
      </c>
      <c r="I8" s="13">
        <f>SUM(I4:I7)</f>
        <v>45</v>
      </c>
      <c r="J8" s="13">
        <f>SUM(J4:J7)</f>
        <v>2</v>
      </c>
      <c r="K8" s="13">
        <f>SUM(I8:J8)</f>
        <v>47</v>
      </c>
    </row>
    <row r="9" spans="1:11" ht="19.899999999999999" customHeight="1" x14ac:dyDescent="0.3">
      <c r="A9" s="86"/>
      <c r="B9"/>
      <c r="C9" s="24"/>
      <c r="D9" s="71">
        <v>45870</v>
      </c>
      <c r="E9" s="58"/>
      <c r="F9" s="59"/>
      <c r="G9" s="114" t="e">
        <f t="shared" si="0"/>
        <v>#DIV/0!</v>
      </c>
    </row>
    <row r="10" spans="1:11" ht="19.899999999999999" customHeight="1" x14ac:dyDescent="0.3">
      <c r="A10" s="86"/>
      <c r="B10"/>
      <c r="C10" s="24"/>
      <c r="D10" s="71">
        <v>45901</v>
      </c>
      <c r="E10" s="58"/>
      <c r="F10" s="59"/>
      <c r="G10" s="114" t="e">
        <f t="shared" si="0"/>
        <v>#DIV/0!</v>
      </c>
    </row>
    <row r="11" spans="1:11" ht="19.899999999999999" customHeight="1" thickBot="1" x14ac:dyDescent="0.35">
      <c r="A11" s="86"/>
      <c r="B11"/>
      <c r="C11" s="24"/>
      <c r="D11" s="71">
        <v>45931</v>
      </c>
      <c r="E11" s="58"/>
      <c r="F11" s="59"/>
      <c r="G11" s="114" t="e">
        <f t="shared" si="0"/>
        <v>#DIV/0!</v>
      </c>
    </row>
    <row r="12" spans="1:11" ht="19.899999999999999" customHeight="1" thickBot="1" x14ac:dyDescent="0.35">
      <c r="A12" s="86"/>
      <c r="B12"/>
      <c r="C12" s="24"/>
      <c r="D12" s="71">
        <v>45962</v>
      </c>
      <c r="E12" s="58"/>
      <c r="F12" s="59"/>
      <c r="G12" s="114" t="e">
        <f t="shared" si="0"/>
        <v>#DIV/0!</v>
      </c>
      <c r="H12" s="117"/>
      <c r="I12" s="117"/>
      <c r="J12" s="117"/>
    </row>
    <row r="13" spans="1:11" ht="19.899999999999999" customHeight="1" x14ac:dyDescent="0.3">
      <c r="A13" s="86"/>
      <c r="B13"/>
      <c r="C13" s="24"/>
      <c r="D13" s="71">
        <v>45992</v>
      </c>
      <c r="E13" s="58"/>
      <c r="F13" s="59"/>
      <c r="G13" s="114" t="e">
        <f t="shared" si="0"/>
        <v>#DIV/0!</v>
      </c>
    </row>
    <row r="14" spans="1:11" ht="19.899999999999999" customHeight="1" x14ac:dyDescent="0.3">
      <c r="A14" s="86"/>
      <c r="B14"/>
      <c r="C14" s="24"/>
      <c r="D14" s="10" t="s">
        <v>4</v>
      </c>
      <c r="E14" s="61">
        <f>SUM(E2:E13)</f>
        <v>45</v>
      </c>
      <c r="F14" s="62">
        <f>SUM(F2:F13)</f>
        <v>47</v>
      </c>
      <c r="G14" s="116">
        <f t="shared" si="0"/>
        <v>0.95744680851063835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FB04C-509D-4A47-BBBE-E28B7DC02E83}">
  <dimension ref="A1:J14"/>
  <sheetViews>
    <sheetView workbookViewId="0">
      <selection activeCell="C4" sqref="C4"/>
    </sheetView>
  </sheetViews>
  <sheetFormatPr baseColWidth="10" defaultColWidth="11.5703125" defaultRowHeight="30" customHeight="1" x14ac:dyDescent="0.3"/>
  <cols>
    <col min="1" max="3" width="11.5703125" style="13"/>
    <col min="4" max="4" width="15.7109375" style="13" customWidth="1"/>
    <col min="5" max="5" width="18.5703125" style="13" customWidth="1"/>
    <col min="6" max="6" width="14" style="13" customWidth="1"/>
    <col min="7" max="7" width="12.5703125" style="13" customWidth="1"/>
    <col min="8" max="16384" width="11.5703125" style="13"/>
  </cols>
  <sheetData>
    <row r="1" spans="1:10" s="14" customFormat="1" ht="69" customHeight="1" x14ac:dyDescent="0.3">
      <c r="A1" s="25" t="s">
        <v>11</v>
      </c>
      <c r="B1" s="25" t="s">
        <v>12</v>
      </c>
      <c r="C1" s="25" t="s">
        <v>13</v>
      </c>
      <c r="D1" s="7" t="s">
        <v>6</v>
      </c>
      <c r="E1" s="56" t="s">
        <v>2</v>
      </c>
      <c r="F1" s="56" t="s">
        <v>3</v>
      </c>
      <c r="G1" s="57" t="s">
        <v>10</v>
      </c>
    </row>
    <row r="2" spans="1:10" ht="19.899999999999999" customHeight="1" x14ac:dyDescent="0.3">
      <c r="A2" s="86"/>
      <c r="B2"/>
      <c r="C2" s="24"/>
      <c r="D2" s="71">
        <v>46023</v>
      </c>
      <c r="E2" s="85">
        <v>152</v>
      </c>
      <c r="F2" s="87">
        <v>160</v>
      </c>
      <c r="G2" s="116">
        <f>IFERROR(E2/F2,"")</f>
        <v>0.95</v>
      </c>
      <c r="I2" s="189"/>
    </row>
    <row r="3" spans="1:10" ht="19.899999999999999" customHeight="1" x14ac:dyDescent="0.3">
      <c r="A3" s="86"/>
      <c r="B3"/>
      <c r="C3" s="24"/>
      <c r="D3" s="71">
        <v>46054</v>
      </c>
      <c r="E3" s="58">
        <v>187</v>
      </c>
      <c r="F3" s="59">
        <v>199</v>
      </c>
      <c r="G3" s="116">
        <f t="shared" ref="G3:G13" si="0">IFERROR(E3/F3,"")</f>
        <v>0.93969849246231152</v>
      </c>
      <c r="I3" s="189"/>
    </row>
    <row r="4" spans="1:10" ht="19.899999999999999" customHeight="1" x14ac:dyDescent="0.3">
      <c r="A4" s="86"/>
      <c r="B4"/>
      <c r="C4" s="24"/>
      <c r="D4" s="71">
        <v>46082</v>
      </c>
      <c r="E4" s="58">
        <v>208</v>
      </c>
      <c r="F4" s="59">
        <v>258</v>
      </c>
      <c r="G4" s="116">
        <f t="shared" si="0"/>
        <v>0.80620155038759689</v>
      </c>
      <c r="I4" s="189"/>
    </row>
    <row r="5" spans="1:10" ht="19.899999999999999" customHeight="1" x14ac:dyDescent="0.3">
      <c r="A5" s="86"/>
      <c r="B5"/>
      <c r="C5" s="24"/>
      <c r="D5" s="71">
        <v>46113</v>
      </c>
      <c r="E5" s="58">
        <v>208</v>
      </c>
      <c r="F5" s="59">
        <v>285</v>
      </c>
      <c r="G5" s="116">
        <f t="shared" si="0"/>
        <v>0.72982456140350882</v>
      </c>
      <c r="I5" s="189"/>
    </row>
    <row r="6" spans="1:10" ht="19.899999999999999" customHeight="1" x14ac:dyDescent="0.3">
      <c r="A6" s="86"/>
      <c r="B6"/>
      <c r="C6" s="24"/>
      <c r="D6" s="71">
        <v>46143</v>
      </c>
      <c r="E6" s="58">
        <v>361</v>
      </c>
      <c r="F6" s="59">
        <v>431</v>
      </c>
      <c r="G6" s="116">
        <f t="shared" si="0"/>
        <v>0.83758700696055688</v>
      </c>
      <c r="I6" s="189"/>
    </row>
    <row r="7" spans="1:10" ht="19.899999999999999" customHeight="1" x14ac:dyDescent="0.3">
      <c r="A7" s="86"/>
      <c r="B7"/>
      <c r="C7" s="24"/>
      <c r="D7" s="71">
        <v>46174</v>
      </c>
      <c r="E7" s="58">
        <v>354</v>
      </c>
      <c r="F7" s="59">
        <v>452</v>
      </c>
      <c r="G7" s="116">
        <f t="shared" si="0"/>
        <v>0.7831858407079646</v>
      </c>
      <c r="I7" s="189"/>
    </row>
    <row r="8" spans="1:10" ht="19.899999999999999" customHeight="1" x14ac:dyDescent="0.3">
      <c r="A8" s="86"/>
      <c r="B8"/>
      <c r="C8" s="24"/>
      <c r="D8" s="71">
        <v>46204</v>
      </c>
      <c r="E8" s="58"/>
      <c r="F8" s="59"/>
      <c r="G8" s="116" t="str">
        <f t="shared" si="0"/>
        <v/>
      </c>
    </row>
    <row r="9" spans="1:10" ht="19.899999999999999" customHeight="1" x14ac:dyDescent="0.3">
      <c r="A9" s="86"/>
      <c r="B9"/>
      <c r="C9" s="24"/>
      <c r="D9" s="71">
        <v>46235</v>
      </c>
      <c r="E9" s="58"/>
      <c r="F9" s="59"/>
      <c r="G9" s="116" t="str">
        <f t="shared" si="0"/>
        <v/>
      </c>
    </row>
    <row r="10" spans="1:10" ht="19.899999999999999" customHeight="1" x14ac:dyDescent="0.3">
      <c r="A10" s="86"/>
      <c r="B10"/>
      <c r="C10" s="24"/>
      <c r="D10" s="71">
        <v>46266</v>
      </c>
      <c r="E10" s="58"/>
      <c r="F10" s="59"/>
      <c r="G10" s="116" t="str">
        <f t="shared" si="0"/>
        <v/>
      </c>
    </row>
    <row r="11" spans="1:10" ht="19.899999999999999" customHeight="1" thickBot="1" x14ac:dyDescent="0.35">
      <c r="A11" s="86"/>
      <c r="B11"/>
      <c r="C11" s="24"/>
      <c r="D11" s="71">
        <v>46296</v>
      </c>
      <c r="E11" s="58"/>
      <c r="F11" s="59"/>
      <c r="G11" s="116" t="str">
        <f t="shared" si="0"/>
        <v/>
      </c>
    </row>
    <row r="12" spans="1:10" ht="19.899999999999999" customHeight="1" thickBot="1" x14ac:dyDescent="0.35">
      <c r="A12" s="86"/>
      <c r="B12"/>
      <c r="C12" s="24"/>
      <c r="D12" s="71">
        <v>46327</v>
      </c>
      <c r="E12" s="58"/>
      <c r="F12" s="59"/>
      <c r="G12" s="116" t="str">
        <f t="shared" si="0"/>
        <v/>
      </c>
      <c r="H12" s="117"/>
      <c r="I12" s="117"/>
      <c r="J12" s="117"/>
    </row>
    <row r="13" spans="1:10" ht="19.899999999999999" customHeight="1" x14ac:dyDescent="0.3">
      <c r="A13" s="86"/>
      <c r="B13"/>
      <c r="C13" s="24"/>
      <c r="D13" s="71">
        <v>46357</v>
      </c>
      <c r="E13" s="58"/>
      <c r="F13" s="59"/>
      <c r="G13" s="116" t="str">
        <f t="shared" si="0"/>
        <v/>
      </c>
    </row>
    <row r="14" spans="1:10" ht="19.899999999999999" customHeight="1" x14ac:dyDescent="0.3">
      <c r="A14" s="86"/>
      <c r="B14"/>
      <c r="C14" s="24"/>
      <c r="D14" s="10" t="s">
        <v>4</v>
      </c>
      <c r="E14" s="61">
        <f>E7</f>
        <v>354</v>
      </c>
      <c r="F14" s="61">
        <f t="shared" ref="F14:G14" si="1">F7</f>
        <v>452</v>
      </c>
      <c r="G14" s="116">
        <f t="shared" si="1"/>
        <v>0.7831858407079646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A7F57-D976-4F9C-8632-437C4A5E1B29}">
  <dimension ref="A1:F14"/>
  <sheetViews>
    <sheetView tabSelected="1" workbookViewId="0">
      <selection activeCell="F14" sqref="A1:F14"/>
    </sheetView>
  </sheetViews>
  <sheetFormatPr baseColWidth="10" defaultColWidth="11.5703125" defaultRowHeight="30" customHeight="1" x14ac:dyDescent="0.3"/>
  <cols>
    <col min="1" max="1" width="11.5703125" style="13"/>
    <col min="2" max="2" width="15.7109375" style="13" customWidth="1"/>
    <col min="3" max="3" width="18.5703125" style="13" customWidth="1"/>
    <col min="4" max="4" width="16.7109375" style="13" customWidth="1"/>
    <col min="5" max="5" width="14" style="13" customWidth="1"/>
    <col min="6" max="6" width="12.5703125" style="13" customWidth="1"/>
    <col min="7" max="16384" width="11.5703125" style="13"/>
  </cols>
  <sheetData>
    <row r="1" spans="1:6" s="14" customFormat="1" ht="69" customHeight="1" x14ac:dyDescent="0.3">
      <c r="A1" s="129" t="s">
        <v>13</v>
      </c>
      <c r="B1" s="118" t="s">
        <v>6</v>
      </c>
      <c r="C1" s="57" t="s">
        <v>267</v>
      </c>
      <c r="D1" s="57" t="s">
        <v>266</v>
      </c>
      <c r="E1" s="57" t="s">
        <v>151</v>
      </c>
      <c r="F1" s="57" t="s">
        <v>10</v>
      </c>
    </row>
    <row r="2" spans="1:6" ht="19.899999999999999" customHeight="1" x14ac:dyDescent="0.3">
      <c r="A2" s="128">
        <v>5.2</v>
      </c>
      <c r="B2" s="71">
        <v>46023</v>
      </c>
      <c r="C2" s="201">
        <v>0</v>
      </c>
      <c r="D2" s="202">
        <v>0</v>
      </c>
      <c r="E2" s="90" t="s">
        <v>268</v>
      </c>
      <c r="F2" s="60" t="e">
        <f>C2/D2</f>
        <v>#DIV/0!</v>
      </c>
    </row>
    <row r="3" spans="1:6" ht="19.899999999999999" customHeight="1" x14ac:dyDescent="0.3">
      <c r="A3" s="128">
        <v>5.2</v>
      </c>
      <c r="B3" s="71">
        <v>46054</v>
      </c>
      <c r="C3" s="201">
        <v>0</v>
      </c>
      <c r="D3" s="202">
        <v>0</v>
      </c>
      <c r="E3" s="90" t="s">
        <v>268</v>
      </c>
      <c r="F3" s="60" t="e">
        <f t="shared" ref="F3:F14" si="0">C3/D3</f>
        <v>#DIV/0!</v>
      </c>
    </row>
    <row r="4" spans="1:6" ht="19.899999999999999" customHeight="1" x14ac:dyDescent="0.3">
      <c r="A4" s="128">
        <v>5.2</v>
      </c>
      <c r="B4" s="71">
        <v>46082</v>
      </c>
      <c r="C4" s="201">
        <v>0</v>
      </c>
      <c r="D4" s="202">
        <v>0</v>
      </c>
      <c r="E4" s="90" t="s">
        <v>268</v>
      </c>
      <c r="F4" s="60" t="e">
        <f t="shared" si="0"/>
        <v>#DIV/0!</v>
      </c>
    </row>
    <row r="5" spans="1:6" ht="19.899999999999999" customHeight="1" x14ac:dyDescent="0.3">
      <c r="A5" s="128">
        <v>5.2</v>
      </c>
      <c r="B5" s="71">
        <v>46113</v>
      </c>
      <c r="C5" s="201">
        <v>0</v>
      </c>
      <c r="D5" s="202">
        <v>0</v>
      </c>
      <c r="E5" s="90" t="s">
        <v>268</v>
      </c>
      <c r="F5" s="60" t="e">
        <f t="shared" si="0"/>
        <v>#DIV/0!</v>
      </c>
    </row>
    <row r="6" spans="1:6" ht="19.899999999999999" customHeight="1" x14ac:dyDescent="0.3">
      <c r="A6" s="128">
        <v>5.2</v>
      </c>
      <c r="B6" s="71">
        <v>46143</v>
      </c>
      <c r="C6" s="201">
        <v>0</v>
      </c>
      <c r="D6" s="202">
        <v>0</v>
      </c>
      <c r="E6" s="90" t="s">
        <v>268</v>
      </c>
      <c r="F6" s="60" t="e">
        <f t="shared" si="0"/>
        <v>#DIV/0!</v>
      </c>
    </row>
    <row r="7" spans="1:6" ht="19.899999999999999" customHeight="1" x14ac:dyDescent="0.3">
      <c r="A7" s="128">
        <v>5.2</v>
      </c>
      <c r="B7" s="71">
        <v>46174</v>
      </c>
      <c r="C7" s="201">
        <v>0</v>
      </c>
      <c r="D7" s="202">
        <v>0</v>
      </c>
      <c r="E7" s="90" t="s">
        <v>268</v>
      </c>
      <c r="F7" s="60" t="e">
        <f t="shared" si="0"/>
        <v>#DIV/0!</v>
      </c>
    </row>
    <row r="8" spans="1:6" ht="19.899999999999999" customHeight="1" x14ac:dyDescent="0.3">
      <c r="A8" s="128">
        <v>5.2</v>
      </c>
      <c r="B8" s="71">
        <v>46204</v>
      </c>
      <c r="C8" s="201">
        <v>0</v>
      </c>
      <c r="D8" s="202">
        <v>0</v>
      </c>
      <c r="E8" s="90" t="s">
        <v>268</v>
      </c>
      <c r="F8" s="60" t="e">
        <f t="shared" si="0"/>
        <v>#DIV/0!</v>
      </c>
    </row>
    <row r="9" spans="1:6" ht="19.899999999999999" customHeight="1" x14ac:dyDescent="0.3">
      <c r="A9" s="128">
        <v>5.2</v>
      </c>
      <c r="B9" s="71">
        <v>46235</v>
      </c>
      <c r="C9" s="58"/>
      <c r="D9" s="59"/>
      <c r="E9" s="90" t="s">
        <v>268</v>
      </c>
      <c r="F9" s="60" t="e">
        <f t="shared" si="0"/>
        <v>#DIV/0!</v>
      </c>
    </row>
    <row r="10" spans="1:6" ht="19.899999999999999" customHeight="1" x14ac:dyDescent="0.3">
      <c r="A10" s="128">
        <v>5.2</v>
      </c>
      <c r="B10" s="71">
        <v>46266</v>
      </c>
      <c r="C10" s="58"/>
      <c r="D10" s="59"/>
      <c r="E10" s="90" t="s">
        <v>268</v>
      </c>
      <c r="F10" s="60" t="e">
        <f t="shared" si="0"/>
        <v>#DIV/0!</v>
      </c>
    </row>
    <row r="11" spans="1:6" ht="19.899999999999999" customHeight="1" x14ac:dyDescent="0.3">
      <c r="A11" s="128">
        <v>5.2</v>
      </c>
      <c r="B11" s="71">
        <v>46296</v>
      </c>
      <c r="C11" s="58"/>
      <c r="D11" s="59"/>
      <c r="E11" s="90" t="s">
        <v>268</v>
      </c>
      <c r="F11" s="60" t="e">
        <f t="shared" si="0"/>
        <v>#DIV/0!</v>
      </c>
    </row>
    <row r="12" spans="1:6" ht="19.899999999999999" customHeight="1" x14ac:dyDescent="0.3">
      <c r="A12" s="128">
        <v>5.2</v>
      </c>
      <c r="B12" s="71">
        <v>46327</v>
      </c>
      <c r="C12" s="58"/>
      <c r="D12" s="59"/>
      <c r="E12" s="90" t="s">
        <v>268</v>
      </c>
      <c r="F12" s="60" t="e">
        <f t="shared" si="0"/>
        <v>#DIV/0!</v>
      </c>
    </row>
    <row r="13" spans="1:6" ht="19.899999999999999" customHeight="1" x14ac:dyDescent="0.3">
      <c r="A13" s="128">
        <v>5.2</v>
      </c>
      <c r="B13" s="71">
        <v>46357</v>
      </c>
      <c r="C13" s="58"/>
      <c r="D13" s="59"/>
      <c r="E13" s="90" t="s">
        <v>268</v>
      </c>
      <c r="F13" s="60" t="e">
        <f t="shared" si="0"/>
        <v>#DIV/0!</v>
      </c>
    </row>
    <row r="14" spans="1:6" ht="19.899999999999999" customHeight="1" x14ac:dyDescent="0.3">
      <c r="A14" s="128">
        <v>5.2</v>
      </c>
      <c r="B14" s="10" t="s">
        <v>4</v>
      </c>
      <c r="C14" s="61">
        <f>SUM(C2:C13)</f>
        <v>0</v>
      </c>
      <c r="D14" s="61">
        <f>SUM(D2:D13)</f>
        <v>0</v>
      </c>
      <c r="E14" s="90" t="s">
        <v>268</v>
      </c>
      <c r="F14" s="60" t="e">
        <f t="shared" si="0"/>
        <v>#DIV/0!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29311-3654-459F-8A59-8834839E0915}">
  <dimension ref="A1:E16"/>
  <sheetViews>
    <sheetView workbookViewId="0">
      <selection activeCell="B4" sqref="B4"/>
    </sheetView>
  </sheetViews>
  <sheetFormatPr baseColWidth="10" defaultColWidth="11.5703125" defaultRowHeight="30" customHeight="1" x14ac:dyDescent="0.3"/>
  <cols>
    <col min="1" max="1" width="15.7109375" style="13" customWidth="1"/>
    <col min="2" max="2" width="18.5703125" style="13" customWidth="1"/>
    <col min="3" max="3" width="17.140625" style="13" customWidth="1"/>
    <col min="4" max="4" width="14" style="13" customWidth="1"/>
    <col min="5" max="5" width="12.5703125" style="13" customWidth="1"/>
    <col min="6" max="16384" width="11.5703125" style="13"/>
  </cols>
  <sheetData>
    <row r="1" spans="1:5" ht="30" customHeight="1" x14ac:dyDescent="0.3">
      <c r="A1" s="119" t="s">
        <v>241</v>
      </c>
    </row>
    <row r="2" spans="1:5" ht="30" customHeight="1" x14ac:dyDescent="0.3">
      <c r="A2" s="119" t="s">
        <v>242</v>
      </c>
    </row>
    <row r="3" spans="1:5" s="14" customFormat="1" ht="69" customHeight="1" x14ac:dyDescent="0.3">
      <c r="A3" s="118" t="s">
        <v>6</v>
      </c>
      <c r="B3" s="57" t="s">
        <v>238</v>
      </c>
      <c r="C3" s="57" t="s">
        <v>239</v>
      </c>
      <c r="D3" s="57" t="s">
        <v>151</v>
      </c>
      <c r="E3" s="57" t="s">
        <v>10</v>
      </c>
    </row>
    <row r="4" spans="1:5" ht="19.899999999999999" customHeight="1" x14ac:dyDescent="0.3">
      <c r="A4" s="71">
        <v>46023</v>
      </c>
      <c r="B4" s="58"/>
      <c r="C4" s="59"/>
      <c r="D4" s="90" t="e">
        <f>B4/C4</f>
        <v>#DIV/0!</v>
      </c>
      <c r="E4" s="114" t="e">
        <f>B4/C4</f>
        <v>#DIV/0!</v>
      </c>
    </row>
    <row r="5" spans="1:5" ht="19.899999999999999" customHeight="1" x14ac:dyDescent="0.3">
      <c r="A5" s="71">
        <v>46054</v>
      </c>
      <c r="B5" s="58"/>
      <c r="C5" s="59"/>
      <c r="D5" s="59"/>
      <c r="E5" s="114" t="e">
        <f t="shared" ref="E5:E16" si="0">B5/C5</f>
        <v>#DIV/0!</v>
      </c>
    </row>
    <row r="6" spans="1:5" ht="19.899999999999999" customHeight="1" x14ac:dyDescent="0.3">
      <c r="A6" s="71">
        <v>46082</v>
      </c>
      <c r="B6" s="58"/>
      <c r="C6" s="59"/>
      <c r="D6" s="59"/>
      <c r="E6" s="114" t="e">
        <f t="shared" si="0"/>
        <v>#DIV/0!</v>
      </c>
    </row>
    <row r="7" spans="1:5" ht="19.899999999999999" customHeight="1" x14ac:dyDescent="0.3">
      <c r="A7" s="71">
        <v>46113</v>
      </c>
      <c r="B7" s="58"/>
      <c r="C7" s="59"/>
      <c r="D7" s="59"/>
      <c r="E7" s="114" t="e">
        <f t="shared" si="0"/>
        <v>#DIV/0!</v>
      </c>
    </row>
    <row r="8" spans="1:5" ht="19.899999999999999" customHeight="1" x14ac:dyDescent="0.3">
      <c r="A8" s="71">
        <v>46143</v>
      </c>
      <c r="B8" s="58"/>
      <c r="C8" s="59"/>
      <c r="D8" s="59"/>
      <c r="E8" s="116" t="e">
        <f t="shared" si="0"/>
        <v>#DIV/0!</v>
      </c>
    </row>
    <row r="9" spans="1:5" ht="19.899999999999999" customHeight="1" x14ac:dyDescent="0.3">
      <c r="A9" s="71">
        <v>46174</v>
      </c>
      <c r="B9" s="58"/>
      <c r="C9" s="59"/>
      <c r="D9" s="59"/>
      <c r="E9" s="114" t="e">
        <f t="shared" si="0"/>
        <v>#DIV/0!</v>
      </c>
    </row>
    <row r="10" spans="1:5" ht="19.899999999999999" customHeight="1" x14ac:dyDescent="0.3">
      <c r="A10" s="71">
        <v>46204</v>
      </c>
      <c r="B10" s="58"/>
      <c r="C10" s="59"/>
      <c r="D10" s="59"/>
      <c r="E10" s="115" t="e">
        <f t="shared" si="0"/>
        <v>#DIV/0!</v>
      </c>
    </row>
    <row r="11" spans="1:5" ht="19.899999999999999" customHeight="1" x14ac:dyDescent="0.3">
      <c r="A11" s="71">
        <v>46235</v>
      </c>
      <c r="B11" s="58"/>
      <c r="C11" s="59"/>
      <c r="D11" s="59"/>
      <c r="E11" s="114" t="e">
        <f t="shared" si="0"/>
        <v>#DIV/0!</v>
      </c>
    </row>
    <row r="12" spans="1:5" ht="19.899999999999999" customHeight="1" x14ac:dyDescent="0.3">
      <c r="A12" s="71">
        <v>46266</v>
      </c>
      <c r="B12" s="58"/>
      <c r="C12" s="59"/>
      <c r="D12" s="59"/>
      <c r="E12" s="114" t="e">
        <f t="shared" si="0"/>
        <v>#DIV/0!</v>
      </c>
    </row>
    <row r="13" spans="1:5" ht="19.899999999999999" customHeight="1" x14ac:dyDescent="0.3">
      <c r="A13" s="71">
        <v>46296</v>
      </c>
      <c r="B13" s="58"/>
      <c r="C13" s="59"/>
      <c r="D13" s="59"/>
      <c r="E13" s="114" t="e">
        <f t="shared" si="0"/>
        <v>#DIV/0!</v>
      </c>
    </row>
    <row r="14" spans="1:5" ht="19.899999999999999" customHeight="1" x14ac:dyDescent="0.3">
      <c r="A14" s="71">
        <v>46327</v>
      </c>
      <c r="B14" s="58"/>
      <c r="C14" s="59"/>
      <c r="D14" s="59"/>
      <c r="E14" s="114" t="e">
        <f t="shared" si="0"/>
        <v>#DIV/0!</v>
      </c>
    </row>
    <row r="15" spans="1:5" ht="19.899999999999999" customHeight="1" x14ac:dyDescent="0.3">
      <c r="A15" s="71">
        <v>46357</v>
      </c>
      <c r="B15" s="58"/>
      <c r="C15" s="59"/>
      <c r="D15" s="59"/>
      <c r="E15" s="114" t="e">
        <f t="shared" si="0"/>
        <v>#DIV/0!</v>
      </c>
    </row>
    <row r="16" spans="1:5" ht="19.899999999999999" customHeight="1" x14ac:dyDescent="0.3">
      <c r="A16" s="10" t="s">
        <v>4</v>
      </c>
      <c r="B16" s="61">
        <f>SUM(B4:B15)</f>
        <v>0</v>
      </c>
      <c r="C16" s="62">
        <f>SUM(C4:C15)</f>
        <v>0</v>
      </c>
      <c r="D16" s="59"/>
      <c r="E16" s="116" t="e">
        <f t="shared" si="0"/>
        <v>#DIV/0!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A523F-512E-478A-B970-592F55E62FFA}">
  <dimension ref="A1:E16"/>
  <sheetViews>
    <sheetView workbookViewId="0">
      <selection activeCell="A6" sqref="A6:D6"/>
    </sheetView>
  </sheetViews>
  <sheetFormatPr baseColWidth="10" defaultColWidth="11.5703125" defaultRowHeight="30" customHeight="1" x14ac:dyDescent="0.3"/>
  <cols>
    <col min="1" max="1" width="15.7109375" style="13" customWidth="1"/>
    <col min="2" max="2" width="13.140625" style="13" customWidth="1"/>
    <col min="3" max="4" width="14" style="13" customWidth="1"/>
    <col min="5" max="5" width="31.42578125" style="13" customWidth="1"/>
    <col min="6" max="16384" width="11.5703125" style="13"/>
  </cols>
  <sheetData>
    <row r="1" spans="1:5" s="14" customFormat="1" ht="69" customHeight="1" x14ac:dyDescent="0.3">
      <c r="A1" s="118" t="s">
        <v>6</v>
      </c>
      <c r="B1" s="57" t="s">
        <v>273</v>
      </c>
      <c r="C1" s="57" t="s">
        <v>354</v>
      </c>
      <c r="D1" s="57" t="s">
        <v>274</v>
      </c>
      <c r="E1" s="57" t="s">
        <v>275</v>
      </c>
    </row>
    <row r="2" spans="1:5" ht="19.899999999999999" customHeight="1" x14ac:dyDescent="0.3">
      <c r="A2" s="71">
        <v>46023</v>
      </c>
      <c r="B2" s="131"/>
      <c r="C2" s="132"/>
      <c r="D2" s="89"/>
      <c r="E2" s="114" t="s">
        <v>276</v>
      </c>
    </row>
    <row r="3" spans="1:5" ht="19.899999999999999" customHeight="1" x14ac:dyDescent="0.3">
      <c r="A3" s="71">
        <v>46054</v>
      </c>
      <c r="B3" s="131"/>
      <c r="C3" s="132"/>
      <c r="D3" s="89"/>
      <c r="E3" s="114"/>
    </row>
    <row r="4" spans="1:5" ht="19.899999999999999" customHeight="1" x14ac:dyDescent="0.3">
      <c r="A4" s="71">
        <v>46082</v>
      </c>
      <c r="B4" s="131"/>
      <c r="C4" s="132"/>
      <c r="D4" s="89"/>
      <c r="E4" s="114"/>
    </row>
    <row r="5" spans="1:5" ht="19.899999999999999" customHeight="1" x14ac:dyDescent="0.3">
      <c r="A5" s="71">
        <v>46113</v>
      </c>
      <c r="B5" s="131"/>
      <c r="C5" s="132"/>
      <c r="D5" s="89"/>
      <c r="E5" s="114"/>
    </row>
    <row r="6" spans="1:5" ht="19.899999999999999" customHeight="1" x14ac:dyDescent="0.3">
      <c r="A6" s="71">
        <v>46143</v>
      </c>
      <c r="B6" s="131">
        <v>10.199999999999999</v>
      </c>
      <c r="C6" s="132">
        <v>8.1</v>
      </c>
      <c r="D6" s="89">
        <f t="shared" ref="D6:D14" si="0">C6-B6</f>
        <v>-2.0999999999999996</v>
      </c>
      <c r="E6" s="116"/>
    </row>
    <row r="7" spans="1:5" ht="19.899999999999999" customHeight="1" x14ac:dyDescent="0.3">
      <c r="A7" s="71">
        <v>46174</v>
      </c>
      <c r="B7" s="131"/>
      <c r="C7" s="132"/>
      <c r="D7" s="89">
        <f t="shared" si="0"/>
        <v>0</v>
      </c>
      <c r="E7" s="114"/>
    </row>
    <row r="8" spans="1:5" ht="19.899999999999999" customHeight="1" x14ac:dyDescent="0.3">
      <c r="A8" s="71">
        <v>46204</v>
      </c>
      <c r="B8" s="131"/>
      <c r="C8" s="132"/>
      <c r="D8" s="89">
        <f t="shared" si="0"/>
        <v>0</v>
      </c>
      <c r="E8" s="114"/>
    </row>
    <row r="9" spans="1:5" ht="19.899999999999999" customHeight="1" x14ac:dyDescent="0.3">
      <c r="A9" s="71">
        <v>46235</v>
      </c>
      <c r="B9" s="131"/>
      <c r="C9" s="132"/>
      <c r="D9" s="89">
        <f t="shared" si="0"/>
        <v>0</v>
      </c>
      <c r="E9" s="114"/>
    </row>
    <row r="10" spans="1:5" ht="19.899999999999999" customHeight="1" x14ac:dyDescent="0.3">
      <c r="A10" s="71">
        <v>46266</v>
      </c>
      <c r="B10" s="131"/>
      <c r="C10" s="132"/>
      <c r="D10" s="89">
        <f t="shared" si="0"/>
        <v>0</v>
      </c>
      <c r="E10" s="114"/>
    </row>
    <row r="11" spans="1:5" ht="19.899999999999999" customHeight="1" x14ac:dyDescent="0.3">
      <c r="A11" s="71">
        <v>46296</v>
      </c>
      <c r="B11" s="131"/>
      <c r="C11" s="132"/>
      <c r="D11" s="89">
        <f t="shared" si="0"/>
        <v>0</v>
      </c>
      <c r="E11" s="114"/>
    </row>
    <row r="12" spans="1:5" ht="19.899999999999999" customHeight="1" x14ac:dyDescent="0.3">
      <c r="A12" s="71">
        <v>46327</v>
      </c>
      <c r="B12" s="131"/>
      <c r="C12" s="132"/>
      <c r="D12" s="89">
        <f t="shared" si="0"/>
        <v>0</v>
      </c>
      <c r="E12" s="114"/>
    </row>
    <row r="13" spans="1:5" ht="19.899999999999999" customHeight="1" x14ac:dyDescent="0.3">
      <c r="A13" s="71">
        <v>46357</v>
      </c>
      <c r="B13" s="131"/>
      <c r="C13" s="132"/>
      <c r="D13" s="89">
        <f t="shared" si="0"/>
        <v>0</v>
      </c>
      <c r="E13" s="114"/>
    </row>
    <row r="14" spans="1:5" ht="19.899999999999999" customHeight="1" x14ac:dyDescent="0.3">
      <c r="A14" s="10" t="s">
        <v>4</v>
      </c>
      <c r="B14" s="61"/>
      <c r="C14" s="62"/>
      <c r="D14" s="89">
        <f t="shared" si="0"/>
        <v>0</v>
      </c>
      <c r="E14" s="116"/>
    </row>
    <row r="15" spans="1:5" ht="30" customHeight="1" x14ac:dyDescent="0.3">
      <c r="A15" s="119" t="s">
        <v>240</v>
      </c>
    </row>
    <row r="16" spans="1:5" ht="30" customHeight="1" x14ac:dyDescent="0.3">
      <c r="A16" s="119" t="s">
        <v>243</v>
      </c>
    </row>
  </sheetData>
  <phoneticPr fontId="22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65A70-D7DB-4553-91E0-B77B1B68D6A6}">
  <dimension ref="A1:E14"/>
  <sheetViews>
    <sheetView workbookViewId="0">
      <selection activeCell="H7" sqref="H7"/>
    </sheetView>
  </sheetViews>
  <sheetFormatPr baseColWidth="10" defaultColWidth="11.5703125" defaultRowHeight="30" customHeight="1" x14ac:dyDescent="0.3"/>
  <cols>
    <col min="1" max="1" width="15.7109375" style="13" customWidth="1"/>
    <col min="2" max="2" width="18.5703125" style="13" customWidth="1"/>
    <col min="3" max="3" width="17.140625" style="13" customWidth="1"/>
    <col min="4" max="4" width="14" style="13" customWidth="1"/>
    <col min="5" max="5" width="12.5703125" style="13" customWidth="1"/>
    <col min="6" max="16384" width="11.5703125" style="13"/>
  </cols>
  <sheetData>
    <row r="1" spans="1:5" s="14" customFormat="1" ht="69" customHeight="1" x14ac:dyDescent="0.3">
      <c r="A1" s="118" t="s">
        <v>6</v>
      </c>
      <c r="B1" s="57" t="s">
        <v>285</v>
      </c>
      <c r="C1" s="57" t="s">
        <v>286</v>
      </c>
      <c r="D1" s="57" t="s">
        <v>151</v>
      </c>
      <c r="E1" s="57" t="s">
        <v>10</v>
      </c>
    </row>
    <row r="2" spans="1:5" ht="19.899999999999999" customHeight="1" x14ac:dyDescent="0.3">
      <c r="A2" s="71">
        <v>46023</v>
      </c>
      <c r="B2" s="134"/>
      <c r="C2" s="134"/>
      <c r="D2" s="90" t="s">
        <v>284</v>
      </c>
      <c r="E2" s="193" t="str">
        <f>IFERROR(B2/C2,"")</f>
        <v/>
      </c>
    </row>
    <row r="3" spans="1:5" ht="19.899999999999999" customHeight="1" x14ac:dyDescent="0.3">
      <c r="A3" s="71">
        <v>46054</v>
      </c>
      <c r="B3" s="134"/>
      <c r="C3" s="134"/>
      <c r="D3" s="59"/>
      <c r="E3" s="193" t="str">
        <f t="shared" ref="E3:E14" si="0">IFERROR(B3/C3,"")</f>
        <v/>
      </c>
    </row>
    <row r="4" spans="1:5" ht="19.899999999999999" customHeight="1" x14ac:dyDescent="0.3">
      <c r="A4" s="71">
        <v>46082</v>
      </c>
      <c r="B4" s="134">
        <v>3223649</v>
      </c>
      <c r="C4" s="134">
        <v>3876000</v>
      </c>
      <c r="D4" s="59"/>
      <c r="E4" s="193">
        <f t="shared" si="0"/>
        <v>0.83169478844169242</v>
      </c>
    </row>
    <row r="5" spans="1:5" ht="19.899999999999999" customHeight="1" x14ac:dyDescent="0.3">
      <c r="A5" s="71">
        <v>46113</v>
      </c>
      <c r="B5" s="134"/>
      <c r="C5" s="134"/>
      <c r="D5" s="59"/>
      <c r="E5" s="193" t="str">
        <f t="shared" si="0"/>
        <v/>
      </c>
    </row>
    <row r="6" spans="1:5" ht="19.899999999999999" customHeight="1" x14ac:dyDescent="0.3">
      <c r="A6" s="71">
        <v>46143</v>
      </c>
      <c r="B6" s="134"/>
      <c r="C6" s="134"/>
      <c r="D6" s="59"/>
      <c r="E6" s="193" t="str">
        <f t="shared" si="0"/>
        <v/>
      </c>
    </row>
    <row r="7" spans="1:5" ht="19.899999999999999" customHeight="1" x14ac:dyDescent="0.3">
      <c r="A7" s="71">
        <v>46174</v>
      </c>
      <c r="B7" s="134"/>
      <c r="C7" s="134"/>
      <c r="D7" s="59"/>
      <c r="E7" s="193" t="str">
        <f t="shared" si="0"/>
        <v/>
      </c>
    </row>
    <row r="8" spans="1:5" ht="19.899999999999999" customHeight="1" x14ac:dyDescent="0.3">
      <c r="A8" s="71">
        <v>46204</v>
      </c>
      <c r="B8" s="134"/>
      <c r="C8" s="134"/>
      <c r="D8" s="135"/>
      <c r="E8" s="193" t="str">
        <f t="shared" si="0"/>
        <v/>
      </c>
    </row>
    <row r="9" spans="1:5" ht="19.899999999999999" customHeight="1" x14ac:dyDescent="0.3">
      <c r="A9" s="71">
        <v>46235</v>
      </c>
      <c r="B9" s="134"/>
      <c r="C9" s="134"/>
      <c r="D9" s="59"/>
      <c r="E9" s="193" t="str">
        <f t="shared" si="0"/>
        <v/>
      </c>
    </row>
    <row r="10" spans="1:5" ht="19.899999999999999" customHeight="1" x14ac:dyDescent="0.3">
      <c r="A10" s="71">
        <v>46266</v>
      </c>
      <c r="B10" s="134"/>
      <c r="C10" s="134"/>
      <c r="D10" s="59"/>
      <c r="E10" s="193" t="str">
        <f t="shared" si="0"/>
        <v/>
      </c>
    </row>
    <row r="11" spans="1:5" ht="19.899999999999999" customHeight="1" x14ac:dyDescent="0.3">
      <c r="A11" s="71">
        <v>46296</v>
      </c>
      <c r="B11" s="134"/>
      <c r="C11" s="134"/>
      <c r="D11" s="59"/>
      <c r="E11" s="193" t="str">
        <f t="shared" si="0"/>
        <v/>
      </c>
    </row>
    <row r="12" spans="1:5" ht="19.899999999999999" customHeight="1" x14ac:dyDescent="0.3">
      <c r="A12" s="71">
        <v>46327</v>
      </c>
      <c r="B12" s="134"/>
      <c r="C12" s="134"/>
      <c r="D12" s="59"/>
      <c r="E12" s="193" t="str">
        <f t="shared" si="0"/>
        <v/>
      </c>
    </row>
    <row r="13" spans="1:5" ht="19.899999999999999" customHeight="1" x14ac:dyDescent="0.3">
      <c r="A13" s="71">
        <v>46357</v>
      </c>
      <c r="B13" s="134"/>
      <c r="C13" s="134"/>
      <c r="D13" s="59"/>
      <c r="E13" s="193" t="str">
        <f t="shared" si="0"/>
        <v/>
      </c>
    </row>
    <row r="14" spans="1:5" ht="19.899999999999999" customHeight="1" x14ac:dyDescent="0.3">
      <c r="A14" s="10" t="s">
        <v>4</v>
      </c>
      <c r="B14" s="136">
        <f>SUM(B2:B13)</f>
        <v>3223649</v>
      </c>
      <c r="C14" s="136">
        <f>SUM(C2:C13)</f>
        <v>3876000</v>
      </c>
      <c r="D14" s="59"/>
      <c r="E14" s="193">
        <f t="shared" si="0"/>
        <v>0.83169478844169242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1467E-FC93-4042-B53C-DAB64AC70ED7}">
  <dimension ref="A1:J21"/>
  <sheetViews>
    <sheetView zoomScale="90" zoomScaleNormal="90" workbookViewId="0">
      <selection activeCell="B6" sqref="B6"/>
    </sheetView>
  </sheetViews>
  <sheetFormatPr baseColWidth="10" defaultColWidth="11.5703125" defaultRowHeight="30" customHeight="1" x14ac:dyDescent="0.3"/>
  <cols>
    <col min="1" max="1" width="5" style="13" customWidth="1"/>
    <col min="2" max="2" width="92.7109375" style="13" customWidth="1"/>
    <col min="3" max="4" width="8.7109375" style="13" customWidth="1"/>
    <col min="5" max="5" width="12.5703125" style="13" customWidth="1"/>
    <col min="6" max="9" width="8.7109375" style="13" customWidth="1"/>
    <col min="10" max="16384" width="11.5703125" style="13"/>
  </cols>
  <sheetData>
    <row r="1" spans="1:10" ht="30" customHeight="1" x14ac:dyDescent="0.3">
      <c r="A1" s="120" t="s">
        <v>299</v>
      </c>
      <c r="B1" s="121"/>
      <c r="C1" s="121"/>
      <c r="D1" s="121"/>
      <c r="E1" s="121"/>
      <c r="F1" s="121"/>
      <c r="G1" s="121"/>
      <c r="H1" s="121"/>
      <c r="I1" s="121"/>
    </row>
    <row r="2" spans="1:10" ht="30" customHeight="1" x14ac:dyDescent="0.3">
      <c r="A2" s="120" t="s">
        <v>244</v>
      </c>
      <c r="B2" s="121"/>
      <c r="C2" s="121"/>
      <c r="D2" s="121"/>
      <c r="E2" s="121"/>
      <c r="F2" s="121"/>
      <c r="G2" s="121"/>
      <c r="H2" s="121"/>
      <c r="I2" s="121"/>
    </row>
    <row r="3" spans="1:10" ht="19.899999999999999" customHeight="1" x14ac:dyDescent="0.3">
      <c r="A3" s="122" t="s">
        <v>261</v>
      </c>
      <c r="B3" s="122"/>
      <c r="C3" s="123">
        <v>45809</v>
      </c>
      <c r="D3" s="123">
        <v>45839</v>
      </c>
      <c r="E3" s="123">
        <v>45870</v>
      </c>
      <c r="F3" s="123">
        <v>45901</v>
      </c>
      <c r="G3" s="123">
        <v>45931</v>
      </c>
      <c r="H3" s="123">
        <v>45962</v>
      </c>
      <c r="I3" s="123">
        <v>45992</v>
      </c>
    </row>
    <row r="4" spans="1:10" ht="19.899999999999999" customHeight="1" x14ac:dyDescent="0.3">
      <c r="A4" s="124" t="s">
        <v>245</v>
      </c>
      <c r="B4" s="124" t="s">
        <v>246</v>
      </c>
      <c r="C4" s="124"/>
      <c r="D4" s="124"/>
      <c r="E4" s="124"/>
      <c r="F4" s="124"/>
      <c r="G4" s="124"/>
      <c r="H4" s="124"/>
      <c r="I4" s="124"/>
      <c r="J4" s="13" t="s">
        <v>265</v>
      </c>
    </row>
    <row r="5" spans="1:10" ht="19.899999999999999" customHeight="1" x14ac:dyDescent="0.3">
      <c r="A5" s="124" t="s">
        <v>247</v>
      </c>
      <c r="B5" s="124" t="s">
        <v>248</v>
      </c>
      <c r="C5" s="124"/>
      <c r="D5" s="124"/>
      <c r="E5" s="124" t="s">
        <v>264</v>
      </c>
      <c r="F5" s="124"/>
      <c r="G5" s="124"/>
      <c r="H5" s="124"/>
      <c r="I5" s="124"/>
    </row>
    <row r="6" spans="1:10" ht="19.899999999999999" customHeight="1" x14ac:dyDescent="0.3">
      <c r="A6" s="124" t="s">
        <v>249</v>
      </c>
      <c r="B6" s="124" t="s">
        <v>250</v>
      </c>
      <c r="C6" s="124"/>
      <c r="D6" s="124"/>
      <c r="E6" s="124" t="s">
        <v>264</v>
      </c>
      <c r="F6" s="124"/>
      <c r="G6" s="124"/>
      <c r="H6" s="124"/>
      <c r="I6" s="124"/>
    </row>
    <row r="7" spans="1:10" ht="19.899999999999999" customHeight="1" x14ac:dyDescent="0.3">
      <c r="A7" s="121"/>
      <c r="B7" s="121"/>
      <c r="C7" s="121"/>
      <c r="D7" s="121"/>
      <c r="E7" s="121"/>
      <c r="F7" s="121"/>
      <c r="G7" s="121"/>
      <c r="H7" s="121"/>
      <c r="I7" s="121"/>
    </row>
    <row r="8" spans="1:10" ht="49.15" customHeight="1" x14ac:dyDescent="0.3">
      <c r="A8" s="198" t="s">
        <v>251</v>
      </c>
      <c r="B8" s="198"/>
      <c r="C8" s="123">
        <v>45809</v>
      </c>
      <c r="D8" s="123">
        <v>45839</v>
      </c>
      <c r="E8" s="123">
        <v>45870</v>
      </c>
      <c r="F8" s="123">
        <v>45901</v>
      </c>
      <c r="G8" s="123">
        <v>45931</v>
      </c>
      <c r="H8" s="123">
        <v>45962</v>
      </c>
      <c r="I8" s="123">
        <v>45992</v>
      </c>
    </row>
    <row r="9" spans="1:10" ht="19.899999999999999" customHeight="1" x14ac:dyDescent="0.3">
      <c r="A9" s="124" t="s">
        <v>245</v>
      </c>
      <c r="B9" s="124" t="s">
        <v>252</v>
      </c>
      <c r="C9" s="124"/>
      <c r="D9" s="124"/>
      <c r="E9" s="124" t="s">
        <v>264</v>
      </c>
      <c r="F9" s="124"/>
      <c r="G9" s="124"/>
      <c r="H9" s="124"/>
      <c r="I9" s="124"/>
    </row>
    <row r="10" spans="1:10" ht="19.899999999999999" customHeight="1" x14ac:dyDescent="0.3">
      <c r="A10" s="124" t="s">
        <v>247</v>
      </c>
      <c r="B10" s="124" t="s">
        <v>253</v>
      </c>
      <c r="C10" s="124"/>
      <c r="D10" s="124"/>
      <c r="E10" s="124" t="s">
        <v>264</v>
      </c>
      <c r="F10" s="124"/>
      <c r="G10" s="124"/>
      <c r="H10" s="124"/>
      <c r="I10" s="124"/>
    </row>
    <row r="11" spans="1:10" ht="19.899999999999999" customHeight="1" x14ac:dyDescent="0.3">
      <c r="A11" s="121"/>
      <c r="B11" s="121"/>
      <c r="C11" s="121"/>
      <c r="D11" s="121"/>
      <c r="E11" s="121"/>
      <c r="F11" s="121"/>
      <c r="G11" s="121"/>
      <c r="H11" s="121"/>
      <c r="I11" s="121"/>
    </row>
    <row r="12" spans="1:10" ht="30" customHeight="1" x14ac:dyDescent="0.3">
      <c r="B12" s="122" t="s">
        <v>254</v>
      </c>
      <c r="C12" s="121"/>
      <c r="D12" s="121"/>
      <c r="E12" s="121"/>
      <c r="F12" s="121"/>
      <c r="G12" s="121"/>
      <c r="H12" s="121"/>
      <c r="I12" s="121"/>
    </row>
    <row r="13" spans="1:10" ht="15" customHeight="1" x14ac:dyDescent="0.3">
      <c r="A13" s="121"/>
      <c r="B13" s="197" t="s">
        <v>256</v>
      </c>
      <c r="C13" s="197"/>
      <c r="D13" s="197"/>
      <c r="E13" s="197"/>
      <c r="F13" s="121"/>
      <c r="G13" s="121"/>
      <c r="H13" s="121"/>
      <c r="I13" s="121"/>
    </row>
    <row r="14" spans="1:10" ht="15" customHeight="1" x14ac:dyDescent="0.3">
      <c r="A14" s="121"/>
      <c r="B14" s="197" t="s">
        <v>257</v>
      </c>
      <c r="C14" s="197"/>
      <c r="D14" s="197"/>
      <c r="E14" s="197"/>
      <c r="F14" s="121"/>
      <c r="G14" s="121"/>
      <c r="H14" s="121"/>
      <c r="I14" s="121"/>
    </row>
    <row r="15" spans="1:10" ht="15" customHeight="1" x14ac:dyDescent="0.3">
      <c r="A15" s="121"/>
      <c r="B15" s="197" t="s">
        <v>258</v>
      </c>
      <c r="C15" s="197"/>
      <c r="D15" s="197"/>
      <c r="E15" s="197"/>
      <c r="F15" s="121"/>
      <c r="G15" s="121"/>
      <c r="H15" s="121"/>
      <c r="I15" s="121"/>
    </row>
    <row r="16" spans="1:10" ht="15" customHeight="1" x14ac:dyDescent="0.3">
      <c r="A16" s="121"/>
      <c r="B16" s="197" t="s">
        <v>259</v>
      </c>
      <c r="C16" s="197"/>
      <c r="D16" s="197"/>
      <c r="E16" s="197"/>
      <c r="F16" s="121"/>
      <c r="G16" s="121"/>
      <c r="H16" s="121"/>
      <c r="I16" s="121"/>
    </row>
    <row r="17" spans="1:9" ht="15" customHeight="1" x14ac:dyDescent="0.3">
      <c r="A17" s="121"/>
      <c r="B17" s="197" t="s">
        <v>260</v>
      </c>
      <c r="C17" s="197"/>
      <c r="D17" s="197"/>
      <c r="E17" s="197"/>
      <c r="F17" s="121"/>
      <c r="G17" s="121"/>
      <c r="H17" s="121"/>
      <c r="I17" s="121"/>
    </row>
    <row r="19" spans="1:9" ht="30" customHeight="1" x14ac:dyDescent="0.3">
      <c r="A19" s="13" t="s">
        <v>255</v>
      </c>
    </row>
    <row r="21" spans="1:9" ht="30" customHeight="1" x14ac:dyDescent="0.3">
      <c r="A21" s="13" t="s">
        <v>255</v>
      </c>
    </row>
  </sheetData>
  <mergeCells count="6">
    <mergeCell ref="B17:E17"/>
    <mergeCell ref="A8:B8"/>
    <mergeCell ref="B13:E13"/>
    <mergeCell ref="B14:E14"/>
    <mergeCell ref="B15:E15"/>
    <mergeCell ref="B16:E1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FD044-19A3-4CFC-B8B0-5202944465A1}">
  <dimension ref="A1:I14"/>
  <sheetViews>
    <sheetView workbookViewId="0">
      <selection activeCell="A5" sqref="A5:I5"/>
    </sheetView>
  </sheetViews>
  <sheetFormatPr baseColWidth="10" defaultColWidth="11.5703125" defaultRowHeight="30" customHeight="1" x14ac:dyDescent="0.3"/>
  <cols>
    <col min="1" max="3" width="11.5703125" style="13"/>
    <col min="4" max="4" width="15.7109375" style="13" customWidth="1"/>
    <col min="5" max="5" width="18.5703125" style="13" customWidth="1"/>
    <col min="6" max="7" width="14" style="13" customWidth="1"/>
    <col min="8" max="8" width="12.5703125" style="13" customWidth="1"/>
    <col min="9" max="9" width="14" style="13" customWidth="1"/>
    <col min="10" max="16384" width="11.5703125" style="13"/>
  </cols>
  <sheetData>
    <row r="1" spans="1:9" s="14" customFormat="1" ht="69" customHeight="1" x14ac:dyDescent="0.3">
      <c r="A1" s="25" t="s">
        <v>11</v>
      </c>
      <c r="B1" s="25" t="s">
        <v>12</v>
      </c>
      <c r="C1" s="25" t="s">
        <v>13</v>
      </c>
      <c r="D1" s="7" t="s">
        <v>6</v>
      </c>
      <c r="E1" s="56" t="s">
        <v>2</v>
      </c>
      <c r="F1" s="56" t="s">
        <v>3</v>
      </c>
      <c r="G1" s="56" t="s">
        <v>151</v>
      </c>
      <c r="H1" s="57" t="s">
        <v>10</v>
      </c>
      <c r="I1" s="7" t="s">
        <v>10</v>
      </c>
    </row>
    <row r="2" spans="1:9" ht="19.899999999999999" customHeight="1" x14ac:dyDescent="0.3">
      <c r="A2" s="86" t="s">
        <v>159</v>
      </c>
      <c r="B2" t="s">
        <v>160</v>
      </c>
      <c r="C2" s="24">
        <v>3.2</v>
      </c>
      <c r="D2" s="71">
        <v>46023</v>
      </c>
      <c r="E2" s="85"/>
      <c r="F2" s="87"/>
      <c r="G2" s="90" t="e">
        <f>E2/F2</f>
        <v>#DIV/0!</v>
      </c>
      <c r="H2" s="114" t="e">
        <f>E2/F2</f>
        <v>#DIV/0!</v>
      </c>
      <c r="I2" s="20"/>
    </row>
    <row r="3" spans="1:9" ht="19.899999999999999" customHeight="1" x14ac:dyDescent="0.3">
      <c r="A3" s="86" t="s">
        <v>159</v>
      </c>
      <c r="B3" t="s">
        <v>160</v>
      </c>
      <c r="C3" s="24">
        <v>3.2</v>
      </c>
      <c r="D3" s="71">
        <v>46054</v>
      </c>
      <c r="E3" s="58"/>
      <c r="F3" s="59"/>
      <c r="G3" s="59"/>
      <c r="H3" s="114" t="e">
        <f t="shared" ref="H3:H14" si="0">E3/F3</f>
        <v>#DIV/0!</v>
      </c>
      <c r="I3" s="15"/>
    </row>
    <row r="4" spans="1:9" ht="19.899999999999999" customHeight="1" x14ac:dyDescent="0.3">
      <c r="A4" s="86" t="s">
        <v>159</v>
      </c>
      <c r="B4" t="s">
        <v>160</v>
      </c>
      <c r="C4" s="24">
        <v>3.2</v>
      </c>
      <c r="D4" s="71">
        <v>46082</v>
      </c>
      <c r="E4" s="58"/>
      <c r="F4" s="59"/>
      <c r="G4" s="59"/>
      <c r="H4" s="114" t="e">
        <f t="shared" si="0"/>
        <v>#DIV/0!</v>
      </c>
      <c r="I4" s="15"/>
    </row>
    <row r="5" spans="1:9" ht="19.899999999999999" customHeight="1" x14ac:dyDescent="0.3">
      <c r="A5" s="86" t="s">
        <v>159</v>
      </c>
      <c r="B5" t="s">
        <v>160</v>
      </c>
      <c r="C5" s="24">
        <v>3.2</v>
      </c>
      <c r="D5" s="71">
        <v>46113</v>
      </c>
      <c r="E5" s="58">
        <v>60</v>
      </c>
      <c r="F5" s="59">
        <v>183</v>
      </c>
      <c r="G5" s="59"/>
      <c r="H5" s="115">
        <f t="shared" si="0"/>
        <v>0.32786885245901637</v>
      </c>
      <c r="I5" s="15"/>
    </row>
    <row r="6" spans="1:9" ht="19.899999999999999" customHeight="1" x14ac:dyDescent="0.3">
      <c r="A6" s="86" t="s">
        <v>159</v>
      </c>
      <c r="B6" t="s">
        <v>160</v>
      </c>
      <c r="C6" s="24">
        <v>3.2</v>
      </c>
      <c r="D6" s="71">
        <v>46143</v>
      </c>
      <c r="E6" s="58"/>
      <c r="F6" s="59"/>
      <c r="G6" s="59"/>
      <c r="H6" s="116" t="e">
        <f t="shared" si="0"/>
        <v>#DIV/0!</v>
      </c>
      <c r="I6" s="15"/>
    </row>
    <row r="7" spans="1:9" ht="19.899999999999999" customHeight="1" x14ac:dyDescent="0.3">
      <c r="A7" s="86" t="s">
        <v>159</v>
      </c>
      <c r="B7" t="s">
        <v>160</v>
      </c>
      <c r="C7" s="24">
        <v>3.2</v>
      </c>
      <c r="D7" s="71">
        <v>46174</v>
      </c>
      <c r="E7" s="58"/>
      <c r="F7" s="59"/>
      <c r="G7" s="59"/>
      <c r="H7" s="114" t="e">
        <f t="shared" si="0"/>
        <v>#DIV/0!</v>
      </c>
      <c r="I7" s="15"/>
    </row>
    <row r="8" spans="1:9" ht="19.899999999999999" customHeight="1" x14ac:dyDescent="0.3">
      <c r="A8" s="86" t="s">
        <v>159</v>
      </c>
      <c r="B8" t="s">
        <v>160</v>
      </c>
      <c r="C8" s="24">
        <v>3.2</v>
      </c>
      <c r="D8" s="71">
        <v>46204</v>
      </c>
      <c r="E8" s="58"/>
      <c r="F8" s="59"/>
      <c r="G8" s="59"/>
      <c r="H8" s="114" t="e">
        <f t="shared" si="0"/>
        <v>#DIV/0!</v>
      </c>
      <c r="I8" s="15"/>
    </row>
    <row r="9" spans="1:9" ht="19.899999999999999" customHeight="1" x14ac:dyDescent="0.3">
      <c r="A9" s="86" t="s">
        <v>159</v>
      </c>
      <c r="B9" t="s">
        <v>160</v>
      </c>
      <c r="C9" s="24">
        <v>3.2</v>
      </c>
      <c r="D9" s="71">
        <v>46235</v>
      </c>
      <c r="E9" s="58"/>
      <c r="F9" s="59"/>
      <c r="G9" s="59"/>
      <c r="H9" s="116" t="e">
        <f t="shared" si="0"/>
        <v>#DIV/0!</v>
      </c>
      <c r="I9" s="15"/>
    </row>
    <row r="10" spans="1:9" ht="19.899999999999999" customHeight="1" x14ac:dyDescent="0.3">
      <c r="A10" s="86" t="s">
        <v>159</v>
      </c>
      <c r="B10" t="s">
        <v>160</v>
      </c>
      <c r="C10" s="24">
        <v>3.2</v>
      </c>
      <c r="D10" s="71">
        <v>46266</v>
      </c>
      <c r="E10" s="58"/>
      <c r="F10" s="59"/>
      <c r="G10" s="59"/>
      <c r="H10" s="114" t="e">
        <f t="shared" si="0"/>
        <v>#DIV/0!</v>
      </c>
      <c r="I10" s="15"/>
    </row>
    <row r="11" spans="1:9" ht="19.899999999999999" customHeight="1" x14ac:dyDescent="0.3">
      <c r="A11" s="86" t="s">
        <v>159</v>
      </c>
      <c r="B11" t="s">
        <v>160</v>
      </c>
      <c r="C11" s="24">
        <v>3.2</v>
      </c>
      <c r="D11" s="71">
        <v>46296</v>
      </c>
      <c r="E11" s="58"/>
      <c r="F11" s="59"/>
      <c r="G11" s="59"/>
      <c r="H11" s="114" t="e">
        <f t="shared" si="0"/>
        <v>#DIV/0!</v>
      </c>
      <c r="I11" s="15"/>
    </row>
    <row r="12" spans="1:9" ht="19.899999999999999" customHeight="1" x14ac:dyDescent="0.3">
      <c r="A12" s="86" t="s">
        <v>159</v>
      </c>
      <c r="B12" t="s">
        <v>160</v>
      </c>
      <c r="C12" s="24">
        <v>3.2</v>
      </c>
      <c r="D12" s="71">
        <v>46327</v>
      </c>
      <c r="E12" s="58"/>
      <c r="F12" s="59"/>
      <c r="G12" s="59"/>
      <c r="H12" s="114" t="e">
        <f t="shared" si="0"/>
        <v>#DIV/0!</v>
      </c>
      <c r="I12" s="15"/>
    </row>
    <row r="13" spans="1:9" ht="19.899999999999999" customHeight="1" x14ac:dyDescent="0.3">
      <c r="A13" s="86" t="s">
        <v>159</v>
      </c>
      <c r="B13" t="s">
        <v>160</v>
      </c>
      <c r="C13" s="24">
        <v>3.2</v>
      </c>
      <c r="D13" s="71">
        <v>46357</v>
      </c>
      <c r="E13" s="58"/>
      <c r="F13" s="59"/>
      <c r="G13" s="59"/>
      <c r="H13" s="114" t="e">
        <f t="shared" si="0"/>
        <v>#DIV/0!</v>
      </c>
      <c r="I13" s="15"/>
    </row>
    <row r="14" spans="1:9" ht="19.899999999999999" customHeight="1" x14ac:dyDescent="0.3">
      <c r="A14" s="86" t="s">
        <v>159</v>
      </c>
      <c r="B14" t="s">
        <v>160</v>
      </c>
      <c r="C14" s="24">
        <v>3.2</v>
      </c>
      <c r="D14" s="10" t="s">
        <v>4</v>
      </c>
      <c r="E14" s="61">
        <f>SUM(E2:E13)</f>
        <v>60</v>
      </c>
      <c r="F14" s="62">
        <f>SUM(F2:F13)</f>
        <v>183</v>
      </c>
      <c r="G14" s="59"/>
      <c r="H14" s="116">
        <f t="shared" si="0"/>
        <v>0.32786885245901637</v>
      </c>
      <c r="I14" s="16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56BEE-1715-4A45-9051-D942AA13EDB7}">
  <dimension ref="A1:L14"/>
  <sheetViews>
    <sheetView workbookViewId="0">
      <selection activeCell="E7" sqref="E7"/>
    </sheetView>
  </sheetViews>
  <sheetFormatPr baseColWidth="10" defaultColWidth="11.5703125" defaultRowHeight="30" customHeight="1" x14ac:dyDescent="0.3"/>
  <cols>
    <col min="1" max="3" width="11.5703125" style="13"/>
    <col min="4" max="4" width="15.7109375" style="13" customWidth="1"/>
    <col min="5" max="5" width="18.5703125" style="13" customWidth="1"/>
    <col min="6" max="7" width="14" style="13" customWidth="1"/>
    <col min="8" max="8" width="12.5703125" style="13" customWidth="1"/>
    <col min="9" max="11" width="11.5703125" style="13"/>
    <col min="12" max="12" width="20.140625" style="13" customWidth="1"/>
    <col min="13" max="16384" width="11.5703125" style="13"/>
  </cols>
  <sheetData>
    <row r="1" spans="1:12" s="14" customFormat="1" ht="69" customHeight="1" x14ac:dyDescent="0.3">
      <c r="A1" s="25" t="s">
        <v>11</v>
      </c>
      <c r="B1" s="25" t="s">
        <v>12</v>
      </c>
      <c r="C1" s="25" t="s">
        <v>13</v>
      </c>
      <c r="D1" s="7" t="s">
        <v>6</v>
      </c>
      <c r="E1" s="56" t="s">
        <v>2</v>
      </c>
      <c r="F1" s="56" t="s">
        <v>3</v>
      </c>
      <c r="G1" s="56" t="s">
        <v>151</v>
      </c>
      <c r="H1" s="57" t="s">
        <v>10</v>
      </c>
    </row>
    <row r="2" spans="1:12" ht="19.899999999999999" customHeight="1" x14ac:dyDescent="0.3">
      <c r="A2" s="86" t="s">
        <v>159</v>
      </c>
      <c r="B2" t="s">
        <v>161</v>
      </c>
      <c r="C2" s="24"/>
      <c r="D2" s="71">
        <v>46023</v>
      </c>
      <c r="E2" s="85">
        <f>'[3]6 GES'!H2</f>
        <v>2259</v>
      </c>
      <c r="F2" s="87">
        <f>'[3]6 GES'!I2</f>
        <v>2377</v>
      </c>
      <c r="G2" s="90">
        <v>0.995</v>
      </c>
      <c r="H2" s="116">
        <f>IFERROR(E2/F2,"")</f>
        <v>0.95035759360538496</v>
      </c>
    </row>
    <row r="3" spans="1:12" ht="19.899999999999999" customHeight="1" thickBot="1" x14ac:dyDescent="0.35">
      <c r="A3" s="86" t="s">
        <v>159</v>
      </c>
      <c r="B3" t="s">
        <v>161</v>
      </c>
      <c r="C3" s="24"/>
      <c r="D3" s="71">
        <v>46054</v>
      </c>
      <c r="E3" s="85">
        <f>'[3]6 GES'!H3</f>
        <v>2920</v>
      </c>
      <c r="F3" s="87">
        <f>'[3]6 GES'!I3</f>
        <v>3095</v>
      </c>
      <c r="G3" s="90">
        <v>0.995</v>
      </c>
      <c r="H3" s="116">
        <f t="shared" ref="H3:H13" si="0">IFERROR(E3/F3,"")</f>
        <v>0.94345718901453957</v>
      </c>
      <c r="I3" s="148">
        <v>45975</v>
      </c>
      <c r="J3" s="13" t="s">
        <v>287</v>
      </c>
      <c r="L3" s="13" t="s">
        <v>293</v>
      </c>
    </row>
    <row r="4" spans="1:12" ht="19.899999999999999" customHeight="1" x14ac:dyDescent="0.3">
      <c r="A4" s="86" t="s">
        <v>159</v>
      </c>
      <c r="B4" t="s">
        <v>161</v>
      </c>
      <c r="C4" s="24"/>
      <c r="D4" s="71">
        <v>46082</v>
      </c>
      <c r="E4" s="85">
        <f>'[3]6 GES'!H4</f>
        <v>3387</v>
      </c>
      <c r="F4" s="87">
        <f>'[3]6 GES'!I4</f>
        <v>3758</v>
      </c>
      <c r="G4" s="90">
        <v>0.995</v>
      </c>
      <c r="H4" s="116">
        <f t="shared" si="0"/>
        <v>0.90127727514635447</v>
      </c>
      <c r="I4" s="137" t="s">
        <v>288</v>
      </c>
      <c r="J4" s="143">
        <v>8733</v>
      </c>
      <c r="K4" s="137">
        <v>395</v>
      </c>
      <c r="L4" s="138" t="s">
        <v>291</v>
      </c>
    </row>
    <row r="5" spans="1:12" ht="19.899999999999999" customHeight="1" x14ac:dyDescent="0.3">
      <c r="A5" s="86" t="s">
        <v>159</v>
      </c>
      <c r="B5" t="s">
        <v>161</v>
      </c>
      <c r="C5" s="24"/>
      <c r="D5" s="71">
        <v>46113</v>
      </c>
      <c r="E5" s="85">
        <f>'[3]6 GES'!H5</f>
        <v>4820</v>
      </c>
      <c r="F5" s="87">
        <f>'[3]6 GES'!I5</f>
        <v>5273</v>
      </c>
      <c r="G5" s="90">
        <v>0.995</v>
      </c>
      <c r="H5" s="116">
        <f t="shared" si="0"/>
        <v>0.91409065048359572</v>
      </c>
      <c r="I5" s="139" t="s">
        <v>289</v>
      </c>
      <c r="J5" s="144">
        <v>228</v>
      </c>
      <c r="K5" s="139"/>
      <c r="L5" s="140" t="s">
        <v>292</v>
      </c>
    </row>
    <row r="6" spans="1:12" ht="19.899999999999999" customHeight="1" thickBot="1" x14ac:dyDescent="0.35">
      <c r="A6" s="86" t="s">
        <v>159</v>
      </c>
      <c r="B6" t="s">
        <v>161</v>
      </c>
      <c r="C6" s="24"/>
      <c r="D6" s="71">
        <v>46143</v>
      </c>
      <c r="E6" s="85">
        <v>5821</v>
      </c>
      <c r="F6" s="87">
        <v>6299</v>
      </c>
      <c r="G6" s="90">
        <v>0.995</v>
      </c>
      <c r="H6" s="116">
        <f t="shared" si="0"/>
        <v>0.92411493887918716</v>
      </c>
      <c r="I6" s="141" t="s">
        <v>290</v>
      </c>
      <c r="J6" s="145">
        <v>2157</v>
      </c>
      <c r="K6" s="141"/>
      <c r="L6" s="142"/>
    </row>
    <row r="7" spans="1:12" ht="19.899999999999999" customHeight="1" thickBot="1" x14ac:dyDescent="0.35">
      <c r="A7" s="86" t="s">
        <v>159</v>
      </c>
      <c r="B7" t="s">
        <v>161</v>
      </c>
      <c r="C7" s="24"/>
      <c r="D7" s="71">
        <v>46174</v>
      </c>
      <c r="E7" s="85">
        <v>6399</v>
      </c>
      <c r="F7" s="87">
        <v>6979</v>
      </c>
      <c r="G7" s="59"/>
      <c r="H7" s="116">
        <f t="shared" si="0"/>
        <v>0.91689353775612548</v>
      </c>
      <c r="J7" s="146">
        <f>SUM(J4:J6)</f>
        <v>11118</v>
      </c>
      <c r="K7" s="13">
        <f>SUM(K4:K6)</f>
        <v>395</v>
      </c>
      <c r="L7" s="146">
        <f>SUM(J7:K7)</f>
        <v>11513</v>
      </c>
    </row>
    <row r="8" spans="1:12" ht="19.899999999999999" customHeight="1" x14ac:dyDescent="0.3">
      <c r="A8" s="86" t="s">
        <v>159</v>
      </c>
      <c r="B8" t="s">
        <v>161</v>
      </c>
      <c r="C8" s="24"/>
      <c r="D8" s="71">
        <v>46204</v>
      </c>
      <c r="E8" s="85">
        <f>'[3]6 GES'!H8</f>
        <v>0</v>
      </c>
      <c r="F8" s="87">
        <f>'[3]6 GES'!I8</f>
        <v>0</v>
      </c>
      <c r="G8" s="59"/>
      <c r="H8" s="114" t="str">
        <f t="shared" si="0"/>
        <v/>
      </c>
    </row>
    <row r="9" spans="1:12" ht="19.899999999999999" customHeight="1" x14ac:dyDescent="0.3">
      <c r="A9" s="86" t="s">
        <v>159</v>
      </c>
      <c r="B9" t="s">
        <v>161</v>
      </c>
      <c r="C9" s="24"/>
      <c r="D9" s="71">
        <v>46235</v>
      </c>
      <c r="E9" s="85">
        <f>'[3]6 GES'!H9</f>
        <v>0</v>
      </c>
      <c r="F9" s="87">
        <f>'[3]6 GES'!I9</f>
        <v>0</v>
      </c>
      <c r="G9" s="59"/>
      <c r="H9" s="114" t="str">
        <f t="shared" si="0"/>
        <v/>
      </c>
    </row>
    <row r="10" spans="1:12" ht="19.899999999999999" customHeight="1" x14ac:dyDescent="0.3">
      <c r="A10" s="86" t="s">
        <v>159</v>
      </c>
      <c r="B10" t="s">
        <v>161</v>
      </c>
      <c r="C10" s="24"/>
      <c r="D10" s="71">
        <v>46266</v>
      </c>
      <c r="E10" s="85">
        <f>'[3]6 GES'!H10</f>
        <v>0</v>
      </c>
      <c r="F10" s="87">
        <f>'[3]6 GES'!I10</f>
        <v>0</v>
      </c>
      <c r="G10" s="59"/>
      <c r="H10" s="114" t="str">
        <f t="shared" si="0"/>
        <v/>
      </c>
    </row>
    <row r="11" spans="1:12" ht="19.899999999999999" customHeight="1" thickBot="1" x14ac:dyDescent="0.35">
      <c r="A11" s="86" t="s">
        <v>159</v>
      </c>
      <c r="B11" t="s">
        <v>161</v>
      </c>
      <c r="C11" s="24"/>
      <c r="D11" s="71">
        <v>46296</v>
      </c>
      <c r="E11" s="85">
        <f>'[3]6 GES'!H11</f>
        <v>0</v>
      </c>
      <c r="F11" s="87">
        <f>'[3]6 GES'!I11</f>
        <v>0</v>
      </c>
      <c r="G11" s="59"/>
      <c r="H11" s="114" t="str">
        <f t="shared" si="0"/>
        <v/>
      </c>
    </row>
    <row r="12" spans="1:12" ht="19.899999999999999" customHeight="1" thickBot="1" x14ac:dyDescent="0.35">
      <c r="A12" s="86" t="s">
        <v>159</v>
      </c>
      <c r="B12" t="s">
        <v>161</v>
      </c>
      <c r="C12" s="24"/>
      <c r="D12" s="71">
        <v>46327</v>
      </c>
      <c r="E12" s="85">
        <f>'[3]6 GES'!H12</f>
        <v>0</v>
      </c>
      <c r="F12" s="87">
        <f>'[3]6 GES'!I12</f>
        <v>0</v>
      </c>
      <c r="G12" s="59"/>
      <c r="H12" s="114" t="str">
        <f t="shared" si="0"/>
        <v/>
      </c>
      <c r="I12" s="117"/>
      <c r="J12" s="117"/>
      <c r="K12" s="117"/>
    </row>
    <row r="13" spans="1:12" ht="19.899999999999999" customHeight="1" x14ac:dyDescent="0.3">
      <c r="A13" s="86" t="s">
        <v>159</v>
      </c>
      <c r="B13" t="s">
        <v>161</v>
      </c>
      <c r="C13" s="24"/>
      <c r="D13" s="71">
        <v>46357</v>
      </c>
      <c r="E13" s="85">
        <f>'[3]6 GES'!H13</f>
        <v>0</v>
      </c>
      <c r="F13" s="87">
        <f>'[3]6 GES'!I13</f>
        <v>0</v>
      </c>
      <c r="G13" s="59"/>
      <c r="H13" s="114" t="str">
        <f t="shared" si="0"/>
        <v/>
      </c>
    </row>
    <row r="14" spans="1:12" ht="19.899999999999999" customHeight="1" x14ac:dyDescent="0.3">
      <c r="A14" s="86" t="s">
        <v>159</v>
      </c>
      <c r="B14" t="s">
        <v>161</v>
      </c>
      <c r="C14" s="24"/>
      <c r="D14" s="10" t="s">
        <v>4</v>
      </c>
      <c r="E14" s="61">
        <f>E7</f>
        <v>6399</v>
      </c>
      <c r="F14" s="61">
        <f>F7</f>
        <v>6979</v>
      </c>
      <c r="G14" s="116">
        <f>E14/F14</f>
        <v>0.91689353775612548</v>
      </c>
      <c r="H14" s="116">
        <f>H6</f>
        <v>0.92411493887918716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97D78-D912-49FB-9F30-C43DBD0206F5}">
  <dimension ref="A1:I14"/>
  <sheetViews>
    <sheetView workbookViewId="0">
      <selection activeCell="K9" sqref="K9"/>
    </sheetView>
  </sheetViews>
  <sheetFormatPr baseColWidth="10" defaultColWidth="11.5703125" defaultRowHeight="30" customHeight="1" x14ac:dyDescent="0.3"/>
  <cols>
    <col min="1" max="3" width="11.5703125" style="13"/>
    <col min="4" max="4" width="15.7109375" style="13" customWidth="1"/>
    <col min="5" max="5" width="18.5703125" style="13" customWidth="1"/>
    <col min="6" max="7" width="14" style="13" customWidth="1"/>
    <col min="8" max="8" width="12.5703125" style="13" customWidth="1"/>
    <col min="9" max="9" width="14" style="13" customWidth="1"/>
    <col min="10" max="16384" width="11.5703125" style="13"/>
  </cols>
  <sheetData>
    <row r="1" spans="1:9" s="14" customFormat="1" ht="69" customHeight="1" x14ac:dyDescent="0.3">
      <c r="A1" s="25" t="s">
        <v>11</v>
      </c>
      <c r="B1" s="25" t="s">
        <v>12</v>
      </c>
      <c r="C1" s="25" t="s">
        <v>13</v>
      </c>
      <c r="D1" s="7" t="s">
        <v>6</v>
      </c>
      <c r="E1" s="56" t="s">
        <v>2</v>
      </c>
      <c r="F1" s="56" t="s">
        <v>3</v>
      </c>
      <c r="G1" s="56" t="s">
        <v>151</v>
      </c>
      <c r="H1" s="57" t="s">
        <v>10</v>
      </c>
      <c r="I1" s="7" t="s">
        <v>10</v>
      </c>
    </row>
    <row r="2" spans="1:9" ht="19.899999999999999" customHeight="1" x14ac:dyDescent="0.3">
      <c r="A2" s="86"/>
      <c r="B2" s="25"/>
      <c r="C2" s="127">
        <v>2.1</v>
      </c>
      <c r="D2" s="71">
        <v>46023</v>
      </c>
      <c r="E2" s="85"/>
      <c r="F2" s="87"/>
      <c r="G2" s="90"/>
      <c r="H2" s="60" t="e">
        <f>E2/F2</f>
        <v>#DIV/0!</v>
      </c>
      <c r="I2" s="20"/>
    </row>
    <row r="3" spans="1:9" ht="19.899999999999999" customHeight="1" x14ac:dyDescent="0.3">
      <c r="A3" s="86"/>
      <c r="B3" s="25"/>
      <c r="C3" s="127">
        <v>2.1</v>
      </c>
      <c r="D3" s="71">
        <v>46054</v>
      </c>
      <c r="E3" s="85"/>
      <c r="F3" s="87"/>
      <c r="G3" s="90"/>
      <c r="H3" s="60" t="e">
        <f t="shared" ref="H3:H14" si="0">E3/F3</f>
        <v>#DIV/0!</v>
      </c>
      <c r="I3" s="15"/>
    </row>
    <row r="4" spans="1:9" ht="19.899999999999999" customHeight="1" x14ac:dyDescent="0.3">
      <c r="A4" s="86"/>
      <c r="B4" s="25"/>
      <c r="C4" s="127">
        <v>2.1</v>
      </c>
      <c r="D4" s="71">
        <v>46082</v>
      </c>
      <c r="E4" s="85"/>
      <c r="F4" s="87"/>
      <c r="G4" s="90"/>
      <c r="H4" s="60" t="e">
        <f t="shared" si="0"/>
        <v>#DIV/0!</v>
      </c>
      <c r="I4" s="15"/>
    </row>
    <row r="5" spans="1:9" ht="19.899999999999999" customHeight="1" x14ac:dyDescent="0.3">
      <c r="A5" s="86"/>
      <c r="B5" s="25"/>
      <c r="C5" s="127">
        <v>2.1</v>
      </c>
      <c r="D5" s="71">
        <v>46113</v>
      </c>
      <c r="E5" s="85"/>
      <c r="F5" s="87"/>
      <c r="G5" s="90"/>
      <c r="H5" s="60" t="e">
        <f t="shared" si="0"/>
        <v>#DIV/0!</v>
      </c>
      <c r="I5" s="15"/>
    </row>
    <row r="6" spans="1:9" ht="19.899999999999999" customHeight="1" x14ac:dyDescent="0.3">
      <c r="A6" s="86"/>
      <c r="B6" s="25"/>
      <c r="C6" s="127">
        <v>2.1</v>
      </c>
      <c r="D6" s="71">
        <v>46143</v>
      </c>
      <c r="E6" s="85"/>
      <c r="F6" s="87"/>
      <c r="G6" s="90"/>
      <c r="H6" s="60" t="e">
        <f t="shared" si="0"/>
        <v>#DIV/0!</v>
      </c>
      <c r="I6" s="15"/>
    </row>
    <row r="7" spans="1:9" ht="19.899999999999999" customHeight="1" x14ac:dyDescent="0.3">
      <c r="A7" s="86"/>
      <c r="B7" s="25"/>
      <c r="C7" s="127">
        <v>2.1</v>
      </c>
      <c r="D7" s="71">
        <v>46174</v>
      </c>
      <c r="E7" s="85"/>
      <c r="F7" s="87"/>
      <c r="G7" s="90"/>
      <c r="H7" s="60" t="e">
        <f t="shared" si="0"/>
        <v>#DIV/0!</v>
      </c>
      <c r="I7" s="15"/>
    </row>
    <row r="8" spans="1:9" ht="19.899999999999999" customHeight="1" x14ac:dyDescent="0.3">
      <c r="A8" s="86"/>
      <c r="B8" s="25"/>
      <c r="C8" s="127">
        <v>2.1</v>
      </c>
      <c r="D8" s="71">
        <v>46204</v>
      </c>
      <c r="E8" s="85"/>
      <c r="F8" s="87"/>
      <c r="G8" s="90"/>
      <c r="H8" s="60" t="e">
        <f t="shared" si="0"/>
        <v>#DIV/0!</v>
      </c>
      <c r="I8" s="15"/>
    </row>
    <row r="9" spans="1:9" ht="19.899999999999999" customHeight="1" x14ac:dyDescent="0.3">
      <c r="A9" s="86"/>
      <c r="B9" s="25"/>
      <c r="C9" s="127">
        <v>2.1</v>
      </c>
      <c r="D9" s="71">
        <v>46235</v>
      </c>
      <c r="E9" s="58"/>
      <c r="F9" s="59"/>
      <c r="G9" s="90"/>
      <c r="H9" s="60" t="e">
        <f t="shared" si="0"/>
        <v>#DIV/0!</v>
      </c>
      <c r="I9" s="15"/>
    </row>
    <row r="10" spans="1:9" ht="19.899999999999999" customHeight="1" x14ac:dyDescent="0.3">
      <c r="A10" s="86"/>
      <c r="B10" s="25"/>
      <c r="C10" s="127">
        <v>2.1</v>
      </c>
      <c r="D10" s="71">
        <v>46266</v>
      </c>
      <c r="E10" s="58"/>
      <c r="F10" s="59"/>
      <c r="G10" s="90"/>
      <c r="H10" s="60" t="e">
        <f t="shared" si="0"/>
        <v>#DIV/0!</v>
      </c>
      <c r="I10" s="15"/>
    </row>
    <row r="11" spans="1:9" ht="19.899999999999999" customHeight="1" x14ac:dyDescent="0.3">
      <c r="A11" s="86"/>
      <c r="B11" s="25"/>
      <c r="C11" s="127">
        <v>2.1</v>
      </c>
      <c r="D11" s="71">
        <v>46296</v>
      </c>
      <c r="E11" s="58"/>
      <c r="F11" s="59"/>
      <c r="G11" s="90"/>
      <c r="H11" s="60" t="e">
        <f t="shared" si="0"/>
        <v>#DIV/0!</v>
      </c>
      <c r="I11" s="15"/>
    </row>
    <row r="12" spans="1:9" ht="19.899999999999999" customHeight="1" x14ac:dyDescent="0.3">
      <c r="A12" s="86"/>
      <c r="B12" s="25"/>
      <c r="C12" s="127">
        <v>2.1</v>
      </c>
      <c r="D12" s="71">
        <v>46327</v>
      </c>
      <c r="E12" s="58"/>
      <c r="F12" s="59"/>
      <c r="G12" s="90"/>
      <c r="H12" s="60" t="e">
        <f t="shared" si="0"/>
        <v>#DIV/0!</v>
      </c>
      <c r="I12" s="15"/>
    </row>
    <row r="13" spans="1:9" ht="19.899999999999999" customHeight="1" x14ac:dyDescent="0.3">
      <c r="A13" s="86"/>
      <c r="B13" s="25"/>
      <c r="C13" s="127">
        <v>2.1</v>
      </c>
      <c r="D13" s="71">
        <v>46357</v>
      </c>
      <c r="E13" s="58"/>
      <c r="F13" s="59"/>
      <c r="G13" s="90"/>
      <c r="H13" s="60" t="e">
        <f t="shared" si="0"/>
        <v>#DIV/0!</v>
      </c>
      <c r="I13" s="15"/>
    </row>
    <row r="14" spans="1:9" ht="19.899999999999999" customHeight="1" x14ac:dyDescent="0.3">
      <c r="A14" s="86"/>
      <c r="B14" s="25"/>
      <c r="C14" s="127">
        <v>2.1</v>
      </c>
      <c r="D14" s="10" t="s">
        <v>4</v>
      </c>
      <c r="E14" s="61">
        <f>SUM(E2:E13)</f>
        <v>0</v>
      </c>
      <c r="F14" s="61">
        <f>SUM(F2:F13)</f>
        <v>0</v>
      </c>
      <c r="G14" s="90"/>
      <c r="H14" s="60" t="e">
        <f t="shared" si="0"/>
        <v>#DIV/0!</v>
      </c>
      <c r="I14" s="16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19BD9-B5BE-42DE-B801-B7C0AEE01D69}">
  <dimension ref="A1:H14"/>
  <sheetViews>
    <sheetView workbookViewId="0">
      <selection activeCell="G2" sqref="G2"/>
    </sheetView>
  </sheetViews>
  <sheetFormatPr baseColWidth="10" defaultColWidth="11.5703125" defaultRowHeight="30" customHeight="1" x14ac:dyDescent="0.3"/>
  <cols>
    <col min="1" max="3" width="11.5703125" style="13"/>
    <col min="4" max="4" width="15.7109375" style="13" customWidth="1"/>
    <col min="5" max="5" width="18.5703125" style="13" customWidth="1"/>
    <col min="6" max="7" width="14" style="13" customWidth="1"/>
    <col min="8" max="8" width="12.5703125" style="13" customWidth="1"/>
    <col min="9" max="16384" width="11.5703125" style="13"/>
  </cols>
  <sheetData>
    <row r="1" spans="1:8" s="14" customFormat="1" ht="69" customHeight="1" x14ac:dyDescent="0.3">
      <c r="A1" s="25" t="s">
        <v>11</v>
      </c>
      <c r="B1" s="25" t="s">
        <v>12</v>
      </c>
      <c r="C1" s="25" t="s">
        <v>13</v>
      </c>
      <c r="D1" s="7" t="s">
        <v>6</v>
      </c>
      <c r="E1" s="56" t="s">
        <v>2</v>
      </c>
      <c r="F1" s="56" t="s">
        <v>3</v>
      </c>
      <c r="G1" s="56" t="s">
        <v>151</v>
      </c>
      <c r="H1" s="57" t="s">
        <v>10</v>
      </c>
    </row>
    <row r="2" spans="1:8" ht="19.899999999999999" customHeight="1" x14ac:dyDescent="0.3">
      <c r="A2" s="86"/>
      <c r="B2" s="25"/>
      <c r="C2" s="128">
        <v>2.8</v>
      </c>
      <c r="D2" s="71">
        <v>46023</v>
      </c>
      <c r="E2" s="85">
        <v>8</v>
      </c>
      <c r="F2" s="87">
        <v>29</v>
      </c>
      <c r="G2" s="90" t="s">
        <v>355</v>
      </c>
      <c r="H2" s="60">
        <f>E2/F2</f>
        <v>0.27586206896551724</v>
      </c>
    </row>
    <row r="3" spans="1:8" ht="19.899999999999999" customHeight="1" x14ac:dyDescent="0.3">
      <c r="A3" s="86"/>
      <c r="B3" s="25"/>
      <c r="C3" s="128">
        <v>2.8</v>
      </c>
      <c r="D3" s="71">
        <v>46054</v>
      </c>
      <c r="E3" s="85">
        <v>9</v>
      </c>
      <c r="F3" s="87">
        <v>30</v>
      </c>
      <c r="G3" s="90" t="s">
        <v>355</v>
      </c>
      <c r="H3" s="60">
        <f t="shared" ref="H3:H14" si="0">E3/F3</f>
        <v>0.3</v>
      </c>
    </row>
    <row r="4" spans="1:8" ht="19.899999999999999" customHeight="1" x14ac:dyDescent="0.3">
      <c r="A4" s="86"/>
      <c r="B4" s="25"/>
      <c r="C4" s="128">
        <v>2.8</v>
      </c>
      <c r="D4" s="71">
        <v>46082</v>
      </c>
      <c r="E4" s="85">
        <v>9</v>
      </c>
      <c r="F4" s="87">
        <v>34</v>
      </c>
      <c r="G4" s="90" t="s">
        <v>355</v>
      </c>
      <c r="H4" s="60">
        <f t="shared" si="0"/>
        <v>0.26470588235294118</v>
      </c>
    </row>
    <row r="5" spans="1:8" ht="19.899999999999999" customHeight="1" x14ac:dyDescent="0.3">
      <c r="A5" s="86"/>
      <c r="B5" s="25"/>
      <c r="C5" s="128">
        <v>2.8</v>
      </c>
      <c r="D5" s="71">
        <v>46113</v>
      </c>
      <c r="E5" s="85">
        <v>10</v>
      </c>
      <c r="F5" s="87">
        <v>36</v>
      </c>
      <c r="G5" s="90" t="s">
        <v>355</v>
      </c>
      <c r="H5" s="60">
        <f t="shared" si="0"/>
        <v>0.27777777777777779</v>
      </c>
    </row>
    <row r="6" spans="1:8" ht="19.899999999999999" customHeight="1" x14ac:dyDescent="0.3">
      <c r="A6" s="86"/>
      <c r="B6" s="25"/>
      <c r="C6" s="128">
        <v>2.8</v>
      </c>
      <c r="D6" s="71">
        <v>46143</v>
      </c>
      <c r="E6" s="85">
        <v>12</v>
      </c>
      <c r="F6" s="87">
        <v>42</v>
      </c>
      <c r="G6" s="90" t="s">
        <v>355</v>
      </c>
      <c r="H6" s="60">
        <f t="shared" si="0"/>
        <v>0.2857142857142857</v>
      </c>
    </row>
    <row r="7" spans="1:8" ht="19.899999999999999" customHeight="1" x14ac:dyDescent="0.3">
      <c r="A7" s="86"/>
      <c r="B7" s="25"/>
      <c r="C7" s="128">
        <v>2.8</v>
      </c>
      <c r="D7" s="71">
        <v>46174</v>
      </c>
      <c r="E7" s="85"/>
      <c r="F7" s="87"/>
      <c r="G7" s="90" t="s">
        <v>355</v>
      </c>
      <c r="H7" s="60" t="e">
        <f t="shared" si="0"/>
        <v>#DIV/0!</v>
      </c>
    </row>
    <row r="8" spans="1:8" ht="19.899999999999999" customHeight="1" x14ac:dyDescent="0.3">
      <c r="A8" s="86"/>
      <c r="B8" s="25"/>
      <c r="C8" s="128">
        <v>2.8</v>
      </c>
      <c r="D8" s="71">
        <v>46204</v>
      </c>
      <c r="E8" s="85"/>
      <c r="F8" s="87"/>
      <c r="G8" s="90" t="s">
        <v>355</v>
      </c>
      <c r="H8" s="60" t="e">
        <f t="shared" si="0"/>
        <v>#DIV/0!</v>
      </c>
    </row>
    <row r="9" spans="1:8" ht="19.899999999999999" customHeight="1" x14ac:dyDescent="0.3">
      <c r="A9" s="86"/>
      <c r="B9" s="25"/>
      <c r="C9" s="128">
        <v>2.8</v>
      </c>
      <c r="D9" s="71">
        <v>46235</v>
      </c>
      <c r="E9" s="58"/>
      <c r="F9" s="59"/>
      <c r="G9" s="90" t="s">
        <v>355</v>
      </c>
      <c r="H9" s="60" t="e">
        <f t="shared" si="0"/>
        <v>#DIV/0!</v>
      </c>
    </row>
    <row r="10" spans="1:8" ht="19.899999999999999" customHeight="1" x14ac:dyDescent="0.3">
      <c r="A10" s="86"/>
      <c r="B10" s="25"/>
      <c r="C10" s="128">
        <v>2.8</v>
      </c>
      <c r="D10" s="71">
        <v>46266</v>
      </c>
      <c r="E10" s="58"/>
      <c r="F10" s="59"/>
      <c r="G10" s="90" t="s">
        <v>355</v>
      </c>
      <c r="H10" s="60" t="e">
        <f t="shared" si="0"/>
        <v>#DIV/0!</v>
      </c>
    </row>
    <row r="11" spans="1:8" ht="19.899999999999999" customHeight="1" x14ac:dyDescent="0.3">
      <c r="A11" s="86"/>
      <c r="B11" s="25"/>
      <c r="C11" s="128">
        <v>2.8</v>
      </c>
      <c r="D11" s="71">
        <v>46296</v>
      </c>
      <c r="E11" s="58"/>
      <c r="F11" s="59"/>
      <c r="G11" s="90" t="s">
        <v>355</v>
      </c>
      <c r="H11" s="60" t="e">
        <f t="shared" si="0"/>
        <v>#DIV/0!</v>
      </c>
    </row>
    <row r="12" spans="1:8" ht="19.899999999999999" customHeight="1" x14ac:dyDescent="0.3">
      <c r="A12" s="86"/>
      <c r="B12" s="25"/>
      <c r="C12" s="128">
        <v>2.8</v>
      </c>
      <c r="D12" s="71">
        <v>46327</v>
      </c>
      <c r="E12" s="58"/>
      <c r="F12" s="59"/>
      <c r="G12" s="90" t="s">
        <v>355</v>
      </c>
      <c r="H12" s="60" t="e">
        <f t="shared" si="0"/>
        <v>#DIV/0!</v>
      </c>
    </row>
    <row r="13" spans="1:8" ht="19.899999999999999" customHeight="1" x14ac:dyDescent="0.3">
      <c r="A13" s="86"/>
      <c r="B13" s="25"/>
      <c r="C13" s="128">
        <v>2.8</v>
      </c>
      <c r="D13" s="71">
        <v>46357</v>
      </c>
      <c r="E13" s="58"/>
      <c r="F13" s="59"/>
      <c r="G13" s="90" t="s">
        <v>355</v>
      </c>
      <c r="H13" s="60" t="e">
        <f t="shared" si="0"/>
        <v>#DIV/0!</v>
      </c>
    </row>
    <row r="14" spans="1:8" ht="19.899999999999999" customHeight="1" x14ac:dyDescent="0.3">
      <c r="A14" s="86"/>
      <c r="B14" s="25"/>
      <c r="C14" s="128">
        <v>2.8</v>
      </c>
      <c r="D14" s="10" t="s">
        <v>4</v>
      </c>
      <c r="E14" s="61">
        <f>SUM(E2:E13)</f>
        <v>48</v>
      </c>
      <c r="F14" s="61">
        <f>SUM(F2:F13)</f>
        <v>171</v>
      </c>
      <c r="G14" s="90" t="s">
        <v>355</v>
      </c>
      <c r="H14" s="60">
        <f t="shared" si="0"/>
        <v>0.2807017543859649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2A3C9-1DD1-4E22-8701-BECB1FB6402B}">
  <dimension ref="A1:H14"/>
  <sheetViews>
    <sheetView workbookViewId="0">
      <selection activeCell="G4" sqref="G4"/>
    </sheetView>
  </sheetViews>
  <sheetFormatPr baseColWidth="10" defaultColWidth="11.5703125" defaultRowHeight="30" customHeight="1" x14ac:dyDescent="0.3"/>
  <cols>
    <col min="1" max="3" width="11.5703125" style="13"/>
    <col min="4" max="4" width="15.7109375" style="13" customWidth="1"/>
    <col min="5" max="5" width="18.5703125" style="13" customWidth="1"/>
    <col min="6" max="7" width="14" style="13" customWidth="1"/>
    <col min="8" max="8" width="12.5703125" style="13" customWidth="1"/>
    <col min="9" max="16384" width="11.5703125" style="13"/>
  </cols>
  <sheetData>
    <row r="1" spans="1:8" s="14" customFormat="1" ht="69" customHeight="1" x14ac:dyDescent="0.3">
      <c r="A1" s="25" t="s">
        <v>11</v>
      </c>
      <c r="B1" s="25" t="s">
        <v>12</v>
      </c>
      <c r="C1" s="25" t="s">
        <v>13</v>
      </c>
      <c r="D1" s="7" t="s">
        <v>6</v>
      </c>
      <c r="E1" s="56" t="s">
        <v>2</v>
      </c>
      <c r="F1" s="56" t="s">
        <v>3</v>
      </c>
      <c r="G1" s="56" t="s">
        <v>151</v>
      </c>
      <c r="H1" s="57" t="s">
        <v>10</v>
      </c>
    </row>
    <row r="2" spans="1:8" ht="19.899999999999999" customHeight="1" x14ac:dyDescent="0.3">
      <c r="A2" s="86"/>
      <c r="B2" s="25"/>
      <c r="C2" s="128">
        <v>2.7</v>
      </c>
      <c r="D2" s="71">
        <v>46023</v>
      </c>
      <c r="E2" s="85"/>
      <c r="F2" s="87"/>
      <c r="G2" s="90">
        <v>0.7</v>
      </c>
      <c r="H2" s="60" t="e">
        <f>E2/F2</f>
        <v>#DIV/0!</v>
      </c>
    </row>
    <row r="3" spans="1:8" ht="19.899999999999999" customHeight="1" x14ac:dyDescent="0.3">
      <c r="A3" s="86"/>
      <c r="B3" s="25"/>
      <c r="C3" s="128">
        <v>2.7</v>
      </c>
      <c r="D3" s="71">
        <v>46054</v>
      </c>
      <c r="E3" s="85"/>
      <c r="F3" s="87"/>
      <c r="G3" s="90">
        <v>0.7</v>
      </c>
      <c r="H3" s="60" t="e">
        <f t="shared" ref="H3:H14" si="0">E3/F3</f>
        <v>#DIV/0!</v>
      </c>
    </row>
    <row r="4" spans="1:8" ht="19.899999999999999" customHeight="1" x14ac:dyDescent="0.3">
      <c r="A4" s="86"/>
      <c r="B4" s="25"/>
      <c r="C4" s="128">
        <v>2.7</v>
      </c>
      <c r="D4" s="71">
        <v>46082</v>
      </c>
      <c r="E4" s="85">
        <v>113</v>
      </c>
      <c r="F4" s="87">
        <v>195</v>
      </c>
      <c r="G4" s="90">
        <v>0.7</v>
      </c>
      <c r="H4" s="60">
        <f t="shared" si="0"/>
        <v>0.57948717948717954</v>
      </c>
    </row>
    <row r="5" spans="1:8" ht="19.899999999999999" customHeight="1" x14ac:dyDescent="0.3">
      <c r="A5" s="86"/>
      <c r="B5" s="25"/>
      <c r="C5" s="128">
        <v>2.7</v>
      </c>
      <c r="D5" s="71">
        <v>46113</v>
      </c>
      <c r="E5" s="85">
        <v>115</v>
      </c>
      <c r="F5" s="87">
        <v>201</v>
      </c>
      <c r="G5" s="90">
        <v>0.7</v>
      </c>
      <c r="H5" s="60">
        <f t="shared" si="0"/>
        <v>0.57213930348258701</v>
      </c>
    </row>
    <row r="6" spans="1:8" ht="19.899999999999999" customHeight="1" x14ac:dyDescent="0.3">
      <c r="A6" s="86"/>
      <c r="B6" s="25"/>
      <c r="C6" s="128">
        <v>2.7</v>
      </c>
      <c r="D6" s="71">
        <v>46143</v>
      </c>
      <c r="E6" s="85"/>
      <c r="F6" s="87"/>
      <c r="G6" s="90">
        <v>0.7</v>
      </c>
      <c r="H6" s="60" t="e">
        <f t="shared" si="0"/>
        <v>#DIV/0!</v>
      </c>
    </row>
    <row r="7" spans="1:8" ht="19.899999999999999" customHeight="1" x14ac:dyDescent="0.3">
      <c r="A7" s="86"/>
      <c r="B7" s="25"/>
      <c r="C7" s="128">
        <v>2.7</v>
      </c>
      <c r="D7" s="71">
        <v>46174</v>
      </c>
      <c r="E7" s="85"/>
      <c r="F7" s="87"/>
      <c r="G7" s="90">
        <v>0.7</v>
      </c>
      <c r="H7" s="60" t="e">
        <f t="shared" si="0"/>
        <v>#DIV/0!</v>
      </c>
    </row>
    <row r="8" spans="1:8" ht="19.899999999999999" customHeight="1" x14ac:dyDescent="0.3">
      <c r="A8" s="86"/>
      <c r="B8" s="25"/>
      <c r="C8" s="128">
        <v>2.7</v>
      </c>
      <c r="D8" s="71">
        <v>46204</v>
      </c>
      <c r="E8" s="85"/>
      <c r="F8" s="87"/>
      <c r="G8" s="90">
        <v>0.7</v>
      </c>
      <c r="H8" s="60" t="e">
        <f t="shared" si="0"/>
        <v>#DIV/0!</v>
      </c>
    </row>
    <row r="9" spans="1:8" ht="19.899999999999999" customHeight="1" x14ac:dyDescent="0.3">
      <c r="A9" s="86"/>
      <c r="B9" s="25"/>
      <c r="C9" s="128">
        <v>2.7</v>
      </c>
      <c r="D9" s="71">
        <v>46235</v>
      </c>
      <c r="E9" s="58"/>
      <c r="F9" s="59"/>
      <c r="G9" s="90">
        <v>0.7</v>
      </c>
      <c r="H9" s="60" t="e">
        <f t="shared" si="0"/>
        <v>#DIV/0!</v>
      </c>
    </row>
    <row r="10" spans="1:8" ht="19.899999999999999" customHeight="1" x14ac:dyDescent="0.3">
      <c r="A10" s="86"/>
      <c r="B10" s="25"/>
      <c r="C10" s="128">
        <v>2.7</v>
      </c>
      <c r="D10" s="71">
        <v>46266</v>
      </c>
      <c r="E10" s="58"/>
      <c r="F10" s="59"/>
      <c r="G10" s="90">
        <v>0.7</v>
      </c>
      <c r="H10" s="60" t="e">
        <f t="shared" si="0"/>
        <v>#DIV/0!</v>
      </c>
    </row>
    <row r="11" spans="1:8" ht="19.899999999999999" customHeight="1" x14ac:dyDescent="0.3">
      <c r="A11" s="86"/>
      <c r="B11" s="25"/>
      <c r="C11" s="128">
        <v>2.7</v>
      </c>
      <c r="D11" s="71">
        <v>46296</v>
      </c>
      <c r="E11" s="58"/>
      <c r="F11" s="59"/>
      <c r="G11" s="90">
        <v>0.7</v>
      </c>
      <c r="H11" s="60" t="e">
        <f t="shared" si="0"/>
        <v>#DIV/0!</v>
      </c>
    </row>
    <row r="12" spans="1:8" ht="19.899999999999999" customHeight="1" x14ac:dyDescent="0.3">
      <c r="A12" s="86"/>
      <c r="B12" s="25"/>
      <c r="C12" s="128">
        <v>2.7</v>
      </c>
      <c r="D12" s="71">
        <v>46327</v>
      </c>
      <c r="E12" s="58"/>
      <c r="F12" s="59"/>
      <c r="G12" s="90">
        <v>0.7</v>
      </c>
      <c r="H12" s="60" t="e">
        <f t="shared" si="0"/>
        <v>#DIV/0!</v>
      </c>
    </row>
    <row r="13" spans="1:8" ht="19.899999999999999" customHeight="1" x14ac:dyDescent="0.3">
      <c r="A13" s="86"/>
      <c r="B13" s="25"/>
      <c r="C13" s="128">
        <v>2.7</v>
      </c>
      <c r="D13" s="71">
        <v>46357</v>
      </c>
      <c r="E13" s="58"/>
      <c r="F13" s="59"/>
      <c r="G13" s="90">
        <v>0.7</v>
      </c>
      <c r="H13" s="60" t="e">
        <f t="shared" si="0"/>
        <v>#DIV/0!</v>
      </c>
    </row>
    <row r="14" spans="1:8" ht="19.899999999999999" customHeight="1" x14ac:dyDescent="0.3">
      <c r="A14" s="86"/>
      <c r="B14" s="25"/>
      <c r="C14" s="128">
        <v>2.7</v>
      </c>
      <c r="D14" s="10" t="s">
        <v>4</v>
      </c>
      <c r="E14" s="61">
        <f>SUM(E2:E13)</f>
        <v>228</v>
      </c>
      <c r="F14" s="61">
        <f>SUM(F2:F13)</f>
        <v>396</v>
      </c>
      <c r="G14" s="90">
        <v>0.7</v>
      </c>
      <c r="H14" s="60">
        <f t="shared" si="0"/>
        <v>0.5757575757575758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F0B78-585E-4085-9457-AA35D62D3AE0}">
  <dimension ref="A1:M14"/>
  <sheetViews>
    <sheetView workbookViewId="0">
      <selection activeCell="K12" sqref="K12"/>
    </sheetView>
  </sheetViews>
  <sheetFormatPr baseColWidth="10" defaultColWidth="11.5703125" defaultRowHeight="30" customHeight="1" x14ac:dyDescent="0.3"/>
  <cols>
    <col min="1" max="3" width="11.5703125" style="13"/>
    <col min="4" max="4" width="15.7109375" style="13" customWidth="1"/>
    <col min="5" max="5" width="18.5703125" style="13" customWidth="1"/>
    <col min="6" max="7" width="14" style="13" customWidth="1"/>
    <col min="8" max="8" width="12.5703125" style="13" customWidth="1"/>
    <col min="9" max="9" width="14" style="13" customWidth="1"/>
    <col min="10" max="16384" width="11.5703125" style="13"/>
  </cols>
  <sheetData>
    <row r="1" spans="1:13" s="14" customFormat="1" ht="69" customHeight="1" x14ac:dyDescent="0.3">
      <c r="A1" s="25" t="s">
        <v>11</v>
      </c>
      <c r="B1" s="25" t="s">
        <v>12</v>
      </c>
      <c r="C1" s="25" t="s">
        <v>13</v>
      </c>
      <c r="D1" s="7" t="s">
        <v>6</v>
      </c>
      <c r="E1" s="56" t="s">
        <v>2</v>
      </c>
      <c r="F1" s="56" t="s">
        <v>3</v>
      </c>
      <c r="G1" s="56" t="s">
        <v>151</v>
      </c>
      <c r="H1" s="57" t="s">
        <v>10</v>
      </c>
      <c r="I1" s="7" t="s">
        <v>10</v>
      </c>
    </row>
    <row r="2" spans="1:13" ht="19.899999999999999" customHeight="1" x14ac:dyDescent="0.3">
      <c r="A2" s="86" t="s">
        <v>157</v>
      </c>
      <c r="B2" s="25" t="s">
        <v>156</v>
      </c>
      <c r="C2" s="24" t="s">
        <v>158</v>
      </c>
      <c r="D2" s="71">
        <v>46023</v>
      </c>
      <c r="E2" s="85">
        <f>[4]A24!$C$15+[4]A24!$C$16</f>
        <v>26</v>
      </c>
      <c r="F2" s="87">
        <f>[4]A24!$C$13+[4]A24!$C$14+[4]A24!$C$15+[4]A24!$C$16</f>
        <v>68</v>
      </c>
      <c r="G2" s="90" t="s">
        <v>297</v>
      </c>
      <c r="H2" s="60">
        <f>E2/F2</f>
        <v>0.38235294117647056</v>
      </c>
      <c r="I2" s="20"/>
    </row>
    <row r="3" spans="1:13" ht="19.899999999999999" customHeight="1" x14ac:dyDescent="0.3">
      <c r="A3" s="86" t="s">
        <v>157</v>
      </c>
      <c r="B3" s="25" t="s">
        <v>156</v>
      </c>
      <c r="C3" s="24" t="s">
        <v>158</v>
      </c>
      <c r="D3" s="71">
        <v>46054</v>
      </c>
      <c r="E3" s="85">
        <f>[5]A24!$C$15+[5]A24!$C$16</f>
        <v>37</v>
      </c>
      <c r="F3" s="87">
        <f>[5]A24!$C$13+[5]A24!$C$14+[5]A24!$C$15+[5]A24!$C$16</f>
        <v>75</v>
      </c>
      <c r="G3" s="90" t="s">
        <v>297</v>
      </c>
      <c r="H3" s="60">
        <f t="shared" ref="H3:H14" si="0">E3/F3</f>
        <v>0.49333333333333335</v>
      </c>
      <c r="I3" s="15"/>
    </row>
    <row r="4" spans="1:13" ht="19.899999999999999" customHeight="1" x14ac:dyDescent="0.3">
      <c r="A4" s="86" t="s">
        <v>157</v>
      </c>
      <c r="B4" s="25" t="s">
        <v>156</v>
      </c>
      <c r="C4" s="24" t="s">
        <v>158</v>
      </c>
      <c r="D4" s="71">
        <v>46082</v>
      </c>
      <c r="E4" s="85">
        <f>[6]A24!$C$15+[6]A24!$C$16</f>
        <v>39</v>
      </c>
      <c r="F4" s="87">
        <f>[6]A24!$C$13+[6]A24!$C$14+[6]A24!$C$15+[6]A24!$C$16</f>
        <v>84</v>
      </c>
      <c r="G4" s="90" t="s">
        <v>297</v>
      </c>
      <c r="H4" s="60">
        <f t="shared" si="0"/>
        <v>0.4642857142857143</v>
      </c>
      <c r="I4" s="15"/>
    </row>
    <row r="5" spans="1:13" ht="19.899999999999999" customHeight="1" x14ac:dyDescent="0.3">
      <c r="A5" s="86" t="s">
        <v>157</v>
      </c>
      <c r="B5" s="25" t="s">
        <v>156</v>
      </c>
      <c r="C5" s="24" t="s">
        <v>158</v>
      </c>
      <c r="D5" s="71">
        <v>46113</v>
      </c>
      <c r="E5" s="85">
        <f>[7]A24!$C$15+[7]A24!$C$16</f>
        <v>39</v>
      </c>
      <c r="F5" s="87">
        <f>[7]A24!$C$13+[7]A24!$C$14+[7]A24!$C$15+[7]A24!$C$16</f>
        <v>93</v>
      </c>
      <c r="G5" s="90" t="s">
        <v>297</v>
      </c>
      <c r="H5" s="60">
        <f t="shared" si="0"/>
        <v>0.41935483870967744</v>
      </c>
      <c r="I5" s="15"/>
      <c r="K5" s="13" t="s">
        <v>298</v>
      </c>
    </row>
    <row r="6" spans="1:13" ht="19.899999999999999" customHeight="1" x14ac:dyDescent="0.3">
      <c r="A6" s="86" t="s">
        <v>157</v>
      </c>
      <c r="B6" s="25" t="s">
        <v>156</v>
      </c>
      <c r="C6" s="24" t="s">
        <v>158</v>
      </c>
      <c r="D6" s="71">
        <v>46143</v>
      </c>
      <c r="E6" s="85">
        <f>[8]A24!$C$15+[8]A24!$C$16</f>
        <v>35</v>
      </c>
      <c r="F6" s="87">
        <f>[8]A24!$C$13+[8]A24!$C$14+[8]A24!$C$15+[8]A24!$C$16</f>
        <v>77</v>
      </c>
      <c r="G6" s="90" t="s">
        <v>297</v>
      </c>
      <c r="H6" s="60">
        <f t="shared" si="0"/>
        <v>0.45454545454545453</v>
      </c>
      <c r="I6" s="15"/>
      <c r="K6" s="157">
        <v>0.433</v>
      </c>
      <c r="L6" s="158">
        <v>0.04</v>
      </c>
      <c r="M6" s="157">
        <f>K6-L6</f>
        <v>0.39300000000000002</v>
      </c>
    </row>
    <row r="7" spans="1:13" ht="19.899999999999999" customHeight="1" x14ac:dyDescent="0.3">
      <c r="A7" s="86" t="s">
        <v>157</v>
      </c>
      <c r="B7" s="25" t="s">
        <v>156</v>
      </c>
      <c r="C7" s="24" t="s">
        <v>158</v>
      </c>
      <c r="D7" s="71">
        <v>46174</v>
      </c>
      <c r="E7" s="85">
        <f>[9]A24!$C$15+[9]A24!$C$16</f>
        <v>55</v>
      </c>
      <c r="F7" s="87">
        <f>[9]A24!$C$13+[9]A24!$C$14+[9]A24!$C$15+[9]A24!$C$16</f>
        <v>96</v>
      </c>
      <c r="G7" s="90" t="s">
        <v>297</v>
      </c>
      <c r="H7" s="60">
        <f t="shared" si="0"/>
        <v>0.57291666666666663</v>
      </c>
      <c r="I7" s="15"/>
    </row>
    <row r="8" spans="1:13" ht="19.899999999999999" customHeight="1" x14ac:dyDescent="0.3">
      <c r="A8" s="86" t="s">
        <v>157</v>
      </c>
      <c r="B8" s="25" t="s">
        <v>156</v>
      </c>
      <c r="C8" s="24" t="s">
        <v>158</v>
      </c>
      <c r="D8" s="71">
        <v>46204</v>
      </c>
      <c r="E8" s="85"/>
      <c r="F8" s="87"/>
      <c r="G8" s="90" t="s">
        <v>297</v>
      </c>
      <c r="H8" s="60" t="e">
        <f t="shared" si="0"/>
        <v>#DIV/0!</v>
      </c>
      <c r="I8" s="15"/>
    </row>
    <row r="9" spans="1:13" ht="19.899999999999999" customHeight="1" x14ac:dyDescent="0.3">
      <c r="A9" s="86" t="s">
        <v>157</v>
      </c>
      <c r="B9" s="25" t="s">
        <v>156</v>
      </c>
      <c r="C9" s="24" t="s">
        <v>158</v>
      </c>
      <c r="D9" s="71">
        <v>46235</v>
      </c>
      <c r="E9" s="85"/>
      <c r="F9" s="87"/>
      <c r="G9" s="90" t="s">
        <v>297</v>
      </c>
      <c r="H9" s="60" t="e">
        <f t="shared" si="0"/>
        <v>#DIV/0!</v>
      </c>
      <c r="I9" s="15"/>
    </row>
    <row r="10" spans="1:13" ht="19.899999999999999" customHeight="1" x14ac:dyDescent="0.3">
      <c r="A10" s="86" t="s">
        <v>157</v>
      </c>
      <c r="B10" s="25" t="s">
        <v>156</v>
      </c>
      <c r="C10" s="24" t="s">
        <v>158</v>
      </c>
      <c r="D10" s="71">
        <v>46266</v>
      </c>
      <c r="E10" s="85"/>
      <c r="F10" s="87"/>
      <c r="G10" s="90" t="s">
        <v>297</v>
      </c>
      <c r="H10" s="60" t="e">
        <f t="shared" si="0"/>
        <v>#DIV/0!</v>
      </c>
      <c r="I10" s="15"/>
    </row>
    <row r="11" spans="1:13" ht="19.899999999999999" customHeight="1" x14ac:dyDescent="0.3">
      <c r="A11" s="86" t="s">
        <v>157</v>
      </c>
      <c r="B11" s="25" t="s">
        <v>156</v>
      </c>
      <c r="C11" s="24" t="s">
        <v>158</v>
      </c>
      <c r="D11" s="71">
        <v>46296</v>
      </c>
      <c r="E11" s="85"/>
      <c r="F11" s="87"/>
      <c r="G11" s="90" t="s">
        <v>297</v>
      </c>
      <c r="H11" s="60" t="e">
        <f t="shared" si="0"/>
        <v>#DIV/0!</v>
      </c>
      <c r="I11" s="15"/>
    </row>
    <row r="12" spans="1:13" ht="19.899999999999999" customHeight="1" x14ac:dyDescent="0.3">
      <c r="A12" s="86" t="s">
        <v>157</v>
      </c>
      <c r="B12" s="25" t="s">
        <v>156</v>
      </c>
      <c r="C12" s="24" t="s">
        <v>158</v>
      </c>
      <c r="D12" s="71">
        <v>46327</v>
      </c>
      <c r="E12" s="85"/>
      <c r="F12" s="87"/>
      <c r="G12" s="90" t="s">
        <v>297</v>
      </c>
      <c r="H12" s="60" t="e">
        <f t="shared" si="0"/>
        <v>#DIV/0!</v>
      </c>
      <c r="I12" s="15"/>
    </row>
    <row r="13" spans="1:13" ht="19.899999999999999" customHeight="1" x14ac:dyDescent="0.3">
      <c r="A13" s="86" t="s">
        <v>157</v>
      </c>
      <c r="B13" s="25" t="s">
        <v>156</v>
      </c>
      <c r="C13" s="24" t="s">
        <v>158</v>
      </c>
      <c r="D13" s="71">
        <v>46357</v>
      </c>
      <c r="E13" s="85"/>
      <c r="F13" s="87"/>
      <c r="G13" s="90" t="s">
        <v>297</v>
      </c>
      <c r="H13" s="60" t="e">
        <f t="shared" si="0"/>
        <v>#DIV/0!</v>
      </c>
      <c r="I13" s="15"/>
    </row>
    <row r="14" spans="1:13" ht="19.899999999999999" customHeight="1" x14ac:dyDescent="0.3">
      <c r="A14" s="86" t="s">
        <v>157</v>
      </c>
      <c r="B14" s="25" t="s">
        <v>156</v>
      </c>
      <c r="C14" s="24" t="s">
        <v>158</v>
      </c>
      <c r="D14" s="10" t="s">
        <v>4</v>
      </c>
      <c r="E14" s="61">
        <f>SUM(E2:E13)</f>
        <v>231</v>
      </c>
      <c r="F14" s="61">
        <f>SUM(F2:F13)</f>
        <v>493</v>
      </c>
      <c r="G14" s="90" t="s">
        <v>297</v>
      </c>
      <c r="H14" s="60">
        <f t="shared" si="0"/>
        <v>0.46855983772819471</v>
      </c>
      <c r="I14" s="16">
        <f>(H14-43.3%)/43.3%</f>
        <v>8.2124336554722191E-2</v>
      </c>
    </row>
  </sheetData>
  <phoneticPr fontId="22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4D160-7E8E-4743-8A43-7583537C1A0C}">
  <sheetPr>
    <pageSetUpPr fitToPage="1"/>
  </sheetPr>
  <dimension ref="A1:K14"/>
  <sheetViews>
    <sheetView workbookViewId="0">
      <selection activeCell="G2" sqref="G2:G7"/>
    </sheetView>
  </sheetViews>
  <sheetFormatPr baseColWidth="10" defaultColWidth="11.5703125" defaultRowHeight="30" customHeight="1" x14ac:dyDescent="0.3"/>
  <cols>
    <col min="1" max="3" width="11.5703125" style="13"/>
    <col min="4" max="4" width="15.7109375" style="13" customWidth="1"/>
    <col min="5" max="5" width="13.5703125" style="13" customWidth="1"/>
    <col min="6" max="6" width="15.140625" style="13" customWidth="1"/>
    <col min="7" max="7" width="12.42578125" style="13" customWidth="1"/>
    <col min="8" max="8" width="19.42578125" style="13" customWidth="1"/>
    <col min="9" max="9" width="14" style="13" customWidth="1"/>
    <col min="10" max="10" width="12.5703125" style="13" customWidth="1"/>
    <col min="11" max="11" width="14" style="13" customWidth="1"/>
    <col min="12" max="16384" width="11.5703125" style="13"/>
  </cols>
  <sheetData>
    <row r="1" spans="1:11" s="14" customFormat="1" ht="69" customHeight="1" x14ac:dyDescent="0.3">
      <c r="A1" s="25" t="s">
        <v>11</v>
      </c>
      <c r="B1" s="25" t="s">
        <v>12</v>
      </c>
      <c r="C1" s="25" t="s">
        <v>13</v>
      </c>
      <c r="D1" s="7" t="s">
        <v>6</v>
      </c>
      <c r="E1" s="56" t="s">
        <v>203</v>
      </c>
      <c r="F1" s="56" t="s">
        <v>236</v>
      </c>
      <c r="G1" s="56" t="s">
        <v>237</v>
      </c>
      <c r="H1" s="56" t="s">
        <v>204</v>
      </c>
      <c r="I1" s="56" t="s">
        <v>151</v>
      </c>
      <c r="J1" s="57" t="s">
        <v>10</v>
      </c>
      <c r="K1" s="7" t="s">
        <v>10</v>
      </c>
    </row>
    <row r="2" spans="1:11" ht="19.899999999999999" customHeight="1" x14ac:dyDescent="0.3">
      <c r="A2" s="86" t="s">
        <v>142</v>
      </c>
      <c r="B2" s="88" t="s">
        <v>154</v>
      </c>
      <c r="C2" s="24" t="s">
        <v>296</v>
      </c>
      <c r="D2" s="71">
        <v>46023</v>
      </c>
      <c r="E2" s="85">
        <v>3751</v>
      </c>
      <c r="F2" s="85">
        <v>31</v>
      </c>
      <c r="G2" s="85">
        <v>125</v>
      </c>
      <c r="H2" s="87">
        <f>F2*G2</f>
        <v>3875</v>
      </c>
      <c r="I2" s="59" t="s">
        <v>167</v>
      </c>
      <c r="J2" s="168">
        <f>E2/H2</f>
        <v>0.96799999999999997</v>
      </c>
      <c r="K2" s="20">
        <f>E2/F2</f>
        <v>121</v>
      </c>
    </row>
    <row r="3" spans="1:11" ht="19.899999999999999" customHeight="1" x14ac:dyDescent="0.3">
      <c r="A3" s="86" t="s">
        <v>142</v>
      </c>
      <c r="B3" s="88" t="s">
        <v>154</v>
      </c>
      <c r="C3" s="24" t="s">
        <v>296</v>
      </c>
      <c r="D3" s="71">
        <v>46054</v>
      </c>
      <c r="E3" s="58">
        <v>3388</v>
      </c>
      <c r="F3" s="58">
        <v>28</v>
      </c>
      <c r="G3" s="85">
        <v>125</v>
      </c>
      <c r="H3" s="87">
        <f t="shared" ref="H3:H13" si="0">F3*G3</f>
        <v>3500</v>
      </c>
      <c r="I3" s="59" t="s">
        <v>167</v>
      </c>
      <c r="J3" s="168">
        <f t="shared" ref="J3:J14" si="1">E3/H3</f>
        <v>0.96799999999999997</v>
      </c>
      <c r="K3" s="20">
        <f t="shared" ref="K3:K7" si="2">E3/F3</f>
        <v>121</v>
      </c>
    </row>
    <row r="4" spans="1:11" ht="19.899999999999999" customHeight="1" x14ac:dyDescent="0.3">
      <c r="A4" s="86" t="s">
        <v>142</v>
      </c>
      <c r="B4" s="88" t="s">
        <v>154</v>
      </c>
      <c r="C4" s="24" t="s">
        <v>296</v>
      </c>
      <c r="D4" s="71">
        <v>46082</v>
      </c>
      <c r="E4" s="58">
        <v>3751</v>
      </c>
      <c r="F4" s="58">
        <v>31</v>
      </c>
      <c r="G4" s="85">
        <v>125</v>
      </c>
      <c r="H4" s="87">
        <f t="shared" si="0"/>
        <v>3875</v>
      </c>
      <c r="I4" s="59" t="s">
        <v>167</v>
      </c>
      <c r="J4" s="168">
        <f t="shared" si="1"/>
        <v>0.96799999999999997</v>
      </c>
      <c r="K4" s="20">
        <f t="shared" si="2"/>
        <v>121</v>
      </c>
    </row>
    <row r="5" spans="1:11" ht="19.899999999999999" customHeight="1" x14ac:dyDescent="0.3">
      <c r="A5" s="86" t="s">
        <v>142</v>
      </c>
      <c r="B5" s="88" t="s">
        <v>154</v>
      </c>
      <c r="C5" s="24" t="s">
        <v>296</v>
      </c>
      <c r="D5" s="71">
        <v>46113</v>
      </c>
      <c r="E5" s="58">
        <v>3631</v>
      </c>
      <c r="F5" s="58">
        <v>30</v>
      </c>
      <c r="G5" s="85">
        <v>125</v>
      </c>
      <c r="H5" s="87">
        <f t="shared" si="0"/>
        <v>3750</v>
      </c>
      <c r="I5" s="59" t="s">
        <v>167</v>
      </c>
      <c r="J5" s="168">
        <f t="shared" si="1"/>
        <v>0.96826666666666672</v>
      </c>
      <c r="K5" s="167">
        <f t="shared" si="2"/>
        <v>121.03333333333333</v>
      </c>
    </row>
    <row r="6" spans="1:11" ht="19.899999999999999" customHeight="1" x14ac:dyDescent="0.3">
      <c r="A6" s="86" t="s">
        <v>142</v>
      </c>
      <c r="B6" s="88" t="s">
        <v>154</v>
      </c>
      <c r="C6" s="24" t="s">
        <v>296</v>
      </c>
      <c r="D6" s="71">
        <v>46143</v>
      </c>
      <c r="E6" s="58">
        <v>3753</v>
      </c>
      <c r="F6" s="58">
        <v>31</v>
      </c>
      <c r="G6" s="85">
        <v>125</v>
      </c>
      <c r="H6" s="87">
        <f t="shared" si="0"/>
        <v>3875</v>
      </c>
      <c r="I6" s="59" t="s">
        <v>167</v>
      </c>
      <c r="J6" s="168">
        <f t="shared" si="1"/>
        <v>0.96851612903225803</v>
      </c>
      <c r="K6" s="20">
        <f t="shared" si="2"/>
        <v>121.06451612903226</v>
      </c>
    </row>
    <row r="7" spans="1:11" ht="19.899999999999999" customHeight="1" x14ac:dyDescent="0.3">
      <c r="A7" s="86" t="s">
        <v>142</v>
      </c>
      <c r="B7" s="88" t="s">
        <v>154</v>
      </c>
      <c r="C7" s="24" t="s">
        <v>296</v>
      </c>
      <c r="D7" s="71">
        <v>46174</v>
      </c>
      <c r="E7" s="58">
        <v>3772</v>
      </c>
      <c r="F7" s="58">
        <v>30</v>
      </c>
      <c r="G7" s="85">
        <v>125</v>
      </c>
      <c r="H7" s="87">
        <f t="shared" si="0"/>
        <v>3750</v>
      </c>
      <c r="I7" s="59" t="s">
        <v>167</v>
      </c>
      <c r="J7" s="116">
        <f t="shared" si="1"/>
        <v>1.0058666666666667</v>
      </c>
      <c r="K7" s="15">
        <f t="shared" si="2"/>
        <v>125.73333333333333</v>
      </c>
    </row>
    <row r="8" spans="1:11" ht="19.899999999999999" customHeight="1" x14ac:dyDescent="0.3">
      <c r="A8" s="86" t="s">
        <v>142</v>
      </c>
      <c r="B8" s="88" t="s">
        <v>154</v>
      </c>
      <c r="C8" s="24" t="s">
        <v>296</v>
      </c>
      <c r="D8" s="71">
        <v>46204</v>
      </c>
      <c r="E8" s="58"/>
      <c r="F8" s="58"/>
      <c r="G8" s="85"/>
      <c r="H8" s="59">
        <f t="shared" si="0"/>
        <v>0</v>
      </c>
      <c r="I8" s="59" t="s">
        <v>167</v>
      </c>
      <c r="J8" s="116" t="e">
        <f t="shared" si="1"/>
        <v>#DIV/0!</v>
      </c>
      <c r="K8" s="15"/>
    </row>
    <row r="9" spans="1:11" ht="19.899999999999999" customHeight="1" x14ac:dyDescent="0.3">
      <c r="A9" s="86" t="s">
        <v>142</v>
      </c>
      <c r="B9" s="88" t="s">
        <v>154</v>
      </c>
      <c r="C9" s="24" t="s">
        <v>296</v>
      </c>
      <c r="D9" s="71">
        <v>46235</v>
      </c>
      <c r="E9" s="58"/>
      <c r="F9" s="58"/>
      <c r="G9" s="85"/>
      <c r="H9" s="59">
        <f t="shared" si="0"/>
        <v>0</v>
      </c>
      <c r="I9" s="59" t="s">
        <v>167</v>
      </c>
      <c r="J9" s="116" t="e">
        <f t="shared" si="1"/>
        <v>#DIV/0!</v>
      </c>
      <c r="K9" s="15"/>
    </row>
    <row r="10" spans="1:11" ht="19.899999999999999" customHeight="1" x14ac:dyDescent="0.3">
      <c r="A10" s="86" t="s">
        <v>142</v>
      </c>
      <c r="B10" s="88" t="s">
        <v>154</v>
      </c>
      <c r="C10" s="24" t="s">
        <v>296</v>
      </c>
      <c r="D10" s="71">
        <v>46266</v>
      </c>
      <c r="E10" s="58"/>
      <c r="F10" s="58"/>
      <c r="G10" s="85"/>
      <c r="H10" s="59">
        <f t="shared" si="0"/>
        <v>0</v>
      </c>
      <c r="I10" s="59" t="s">
        <v>167</v>
      </c>
      <c r="J10" s="116" t="e">
        <f t="shared" si="1"/>
        <v>#DIV/0!</v>
      </c>
      <c r="K10" s="15"/>
    </row>
    <row r="11" spans="1:11" ht="19.899999999999999" customHeight="1" x14ac:dyDescent="0.3">
      <c r="A11" s="86" t="s">
        <v>142</v>
      </c>
      <c r="B11" s="88" t="s">
        <v>154</v>
      </c>
      <c r="C11" s="24" t="s">
        <v>296</v>
      </c>
      <c r="D11" s="71">
        <v>46296</v>
      </c>
      <c r="E11" s="58"/>
      <c r="F11" s="58"/>
      <c r="G11" s="85"/>
      <c r="H11" s="59">
        <f t="shared" si="0"/>
        <v>0</v>
      </c>
      <c r="I11" s="59" t="s">
        <v>167</v>
      </c>
      <c r="J11" s="116" t="e">
        <f t="shared" si="1"/>
        <v>#DIV/0!</v>
      </c>
      <c r="K11" s="15"/>
    </row>
    <row r="12" spans="1:11" ht="19.899999999999999" customHeight="1" x14ac:dyDescent="0.3">
      <c r="A12" s="86" t="s">
        <v>142</v>
      </c>
      <c r="B12" s="88" t="s">
        <v>154</v>
      </c>
      <c r="C12" s="24" t="s">
        <v>296</v>
      </c>
      <c r="D12" s="71">
        <v>46327</v>
      </c>
      <c r="E12" s="58"/>
      <c r="F12" s="58"/>
      <c r="G12" s="85"/>
      <c r="H12" s="59">
        <f t="shared" si="0"/>
        <v>0</v>
      </c>
      <c r="I12" s="59" t="s">
        <v>167</v>
      </c>
      <c r="J12" s="116" t="e">
        <f t="shared" si="1"/>
        <v>#DIV/0!</v>
      </c>
      <c r="K12" s="15"/>
    </row>
    <row r="13" spans="1:11" ht="19.899999999999999" customHeight="1" x14ac:dyDescent="0.3">
      <c r="A13" s="86" t="s">
        <v>142</v>
      </c>
      <c r="B13" s="88" t="s">
        <v>154</v>
      </c>
      <c r="C13" s="24" t="s">
        <v>296</v>
      </c>
      <c r="D13" s="71">
        <v>46357</v>
      </c>
      <c r="E13" s="58"/>
      <c r="F13" s="58"/>
      <c r="G13" s="85"/>
      <c r="H13" s="59">
        <f t="shared" si="0"/>
        <v>0</v>
      </c>
      <c r="I13" s="59" t="s">
        <v>167</v>
      </c>
      <c r="J13" s="116" t="e">
        <f t="shared" si="1"/>
        <v>#DIV/0!</v>
      </c>
      <c r="K13" s="15"/>
    </row>
    <row r="14" spans="1:11" ht="19.899999999999999" customHeight="1" x14ac:dyDescent="0.3">
      <c r="A14" s="86" t="s">
        <v>142</v>
      </c>
      <c r="B14" s="88" t="s">
        <v>154</v>
      </c>
      <c r="C14" s="24" t="s">
        <v>296</v>
      </c>
      <c r="D14" s="10" t="s">
        <v>4</v>
      </c>
      <c r="E14" s="61">
        <f>SUM(E2:E13)</f>
        <v>22046</v>
      </c>
      <c r="F14" s="61">
        <f>SUM(F2:F13)</f>
        <v>181</v>
      </c>
      <c r="G14" s="61">
        <v>125</v>
      </c>
      <c r="H14" s="61">
        <f>SUM(H2:H13)</f>
        <v>22625</v>
      </c>
      <c r="I14" s="59" t="s">
        <v>167</v>
      </c>
      <c r="J14" s="116">
        <f t="shared" si="1"/>
        <v>0.9744088397790055</v>
      </c>
      <c r="K14" s="16"/>
    </row>
  </sheetData>
  <phoneticPr fontId="22" type="noConversion"/>
  <pageMargins left="0.70866141732283472" right="0.70866141732283472" top="0.74803149606299213" bottom="0.74803149606299213" header="0.31496062992125984" footer="0.31496062992125984"/>
  <pageSetup scale="76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EA816-81C9-4ED4-A8CB-262DCF8F071D}">
  <dimension ref="A1:I14"/>
  <sheetViews>
    <sheetView workbookViewId="0">
      <selection activeCell="B18" sqref="B18"/>
    </sheetView>
  </sheetViews>
  <sheetFormatPr baseColWidth="10" defaultColWidth="11.5703125" defaultRowHeight="30" customHeight="1" x14ac:dyDescent="0.3"/>
  <cols>
    <col min="1" max="3" width="11.5703125" style="13"/>
    <col min="4" max="4" width="15.7109375" style="13" customWidth="1"/>
    <col min="5" max="5" width="18.5703125" style="13" customWidth="1"/>
    <col min="6" max="7" width="14" style="13" customWidth="1"/>
    <col min="8" max="8" width="12.5703125" style="13" customWidth="1"/>
    <col min="9" max="9" width="14" style="13" customWidth="1"/>
    <col min="10" max="16384" width="11.5703125" style="13"/>
  </cols>
  <sheetData>
    <row r="1" spans="1:9" s="14" customFormat="1" ht="69" customHeight="1" x14ac:dyDescent="0.3">
      <c r="A1" s="25" t="s">
        <v>11</v>
      </c>
      <c r="B1" s="25" t="s">
        <v>12</v>
      </c>
      <c r="C1" s="25" t="s">
        <v>13</v>
      </c>
      <c r="D1" s="7" t="s">
        <v>6</v>
      </c>
      <c r="E1" s="56" t="s">
        <v>2</v>
      </c>
      <c r="F1" s="56" t="s">
        <v>3</v>
      </c>
      <c r="G1" s="56" t="s">
        <v>151</v>
      </c>
      <c r="H1" s="57" t="s">
        <v>10</v>
      </c>
      <c r="I1" s="7" t="s">
        <v>10</v>
      </c>
    </row>
    <row r="2" spans="1:9" ht="19.899999999999999" customHeight="1" x14ac:dyDescent="0.3">
      <c r="A2" s="86" t="s">
        <v>142</v>
      </c>
      <c r="B2" s="88" t="s">
        <v>155</v>
      </c>
      <c r="C2" s="24" t="s">
        <v>295</v>
      </c>
      <c r="D2" s="71">
        <v>46023</v>
      </c>
      <c r="E2" s="85">
        <f>[4]A21!$C$33</f>
        <v>504</v>
      </c>
      <c r="F2" s="87">
        <f>[4]A21!$C$32</f>
        <v>61</v>
      </c>
      <c r="G2" s="89" t="s">
        <v>168</v>
      </c>
      <c r="H2" s="103">
        <f>E2/F2</f>
        <v>8.2622950819672134</v>
      </c>
      <c r="I2" s="20"/>
    </row>
    <row r="3" spans="1:9" ht="19.899999999999999" customHeight="1" x14ac:dyDescent="0.3">
      <c r="A3" s="86" t="s">
        <v>142</v>
      </c>
      <c r="B3" s="88" t="s">
        <v>155</v>
      </c>
      <c r="C3" s="24" t="s">
        <v>295</v>
      </c>
      <c r="D3" s="71">
        <v>46054</v>
      </c>
      <c r="E3" s="85">
        <f>[5]A21!$C$33</f>
        <v>556</v>
      </c>
      <c r="F3" s="87">
        <f>[5]A21!$C$32</f>
        <v>50</v>
      </c>
      <c r="G3" s="89" t="s">
        <v>168</v>
      </c>
      <c r="H3" s="103">
        <f t="shared" ref="H3:H13" si="0">E3/F3</f>
        <v>11.12</v>
      </c>
      <c r="I3" s="15"/>
    </row>
    <row r="4" spans="1:9" ht="19.899999999999999" customHeight="1" x14ac:dyDescent="0.3">
      <c r="A4" s="86" t="s">
        <v>142</v>
      </c>
      <c r="B4" s="88" t="s">
        <v>155</v>
      </c>
      <c r="C4" s="24" t="s">
        <v>295</v>
      </c>
      <c r="D4" s="71">
        <v>46082</v>
      </c>
      <c r="E4" s="85">
        <f>[6]A21!$C$33</f>
        <v>538</v>
      </c>
      <c r="F4" s="87">
        <f>[6]A21!$C$32</f>
        <v>56</v>
      </c>
      <c r="G4" s="89" t="s">
        <v>168</v>
      </c>
      <c r="H4" s="103">
        <f t="shared" si="0"/>
        <v>9.6071428571428577</v>
      </c>
      <c r="I4" s="15"/>
    </row>
    <row r="5" spans="1:9" ht="19.899999999999999" customHeight="1" x14ac:dyDescent="0.3">
      <c r="A5" s="86" t="s">
        <v>142</v>
      </c>
      <c r="B5" s="88" t="s">
        <v>155</v>
      </c>
      <c r="C5" s="24" t="s">
        <v>295</v>
      </c>
      <c r="D5" s="71">
        <v>46113</v>
      </c>
      <c r="E5" s="85">
        <f>[7]A21!$C$33</f>
        <v>433</v>
      </c>
      <c r="F5" s="87">
        <f>[7]A21!$C$32</f>
        <v>51</v>
      </c>
      <c r="G5" s="89" t="s">
        <v>168</v>
      </c>
      <c r="H5" s="103">
        <f t="shared" si="0"/>
        <v>8.4901960784313726</v>
      </c>
      <c r="I5" s="15"/>
    </row>
    <row r="6" spans="1:9" ht="19.899999999999999" customHeight="1" x14ac:dyDescent="0.3">
      <c r="A6" s="86" t="s">
        <v>142</v>
      </c>
      <c r="B6" s="88" t="s">
        <v>155</v>
      </c>
      <c r="C6" s="24" t="s">
        <v>295</v>
      </c>
      <c r="D6" s="71">
        <v>46143</v>
      </c>
      <c r="E6" s="85">
        <f>[8]A21!$C$33</f>
        <v>531</v>
      </c>
      <c r="F6" s="87">
        <f>[8]A21!$C$32</f>
        <v>57</v>
      </c>
      <c r="G6" s="89" t="s">
        <v>168</v>
      </c>
      <c r="H6" s="103">
        <f t="shared" si="0"/>
        <v>9.3157894736842106</v>
      </c>
      <c r="I6" s="15"/>
    </row>
    <row r="7" spans="1:9" ht="19.899999999999999" customHeight="1" x14ac:dyDescent="0.3">
      <c r="A7" s="86" t="s">
        <v>142</v>
      </c>
      <c r="B7" s="88" t="s">
        <v>155</v>
      </c>
      <c r="C7" s="24" t="s">
        <v>295</v>
      </c>
      <c r="D7" s="71">
        <v>46174</v>
      </c>
      <c r="E7" s="85">
        <f>[9]A21!$C$33</f>
        <v>585</v>
      </c>
      <c r="F7" s="87">
        <f>[9]A21!$C$32</f>
        <v>66</v>
      </c>
      <c r="G7" s="89" t="s">
        <v>168</v>
      </c>
      <c r="H7" s="103">
        <f t="shared" si="0"/>
        <v>8.8636363636363633</v>
      </c>
      <c r="I7" s="15"/>
    </row>
    <row r="8" spans="1:9" ht="19.899999999999999" customHeight="1" x14ac:dyDescent="0.3">
      <c r="A8" s="86" t="s">
        <v>142</v>
      </c>
      <c r="B8" s="88" t="s">
        <v>155</v>
      </c>
      <c r="C8" s="24" t="s">
        <v>295</v>
      </c>
      <c r="D8" s="71">
        <v>46204</v>
      </c>
      <c r="E8" s="85"/>
      <c r="F8" s="87"/>
      <c r="G8" s="89" t="s">
        <v>168</v>
      </c>
      <c r="H8" s="103" t="e">
        <f t="shared" si="0"/>
        <v>#DIV/0!</v>
      </c>
      <c r="I8" s="15"/>
    </row>
    <row r="9" spans="1:9" ht="19.899999999999999" customHeight="1" x14ac:dyDescent="0.3">
      <c r="A9" s="86" t="s">
        <v>142</v>
      </c>
      <c r="B9" s="88" t="s">
        <v>155</v>
      </c>
      <c r="C9" s="24" t="s">
        <v>295</v>
      </c>
      <c r="D9" s="71">
        <v>46235</v>
      </c>
      <c r="E9" s="85"/>
      <c r="F9" s="87"/>
      <c r="G9" s="89" t="s">
        <v>168</v>
      </c>
      <c r="H9" s="103" t="e">
        <f t="shared" si="0"/>
        <v>#DIV/0!</v>
      </c>
      <c r="I9" s="15"/>
    </row>
    <row r="10" spans="1:9" ht="19.899999999999999" customHeight="1" x14ac:dyDescent="0.3">
      <c r="A10" s="86" t="s">
        <v>142</v>
      </c>
      <c r="B10" s="88" t="s">
        <v>155</v>
      </c>
      <c r="C10" s="24" t="s">
        <v>295</v>
      </c>
      <c r="D10" s="71">
        <v>46266</v>
      </c>
      <c r="E10" s="85"/>
      <c r="F10" s="87"/>
      <c r="G10" s="89" t="s">
        <v>168</v>
      </c>
      <c r="H10" s="103" t="e">
        <f t="shared" si="0"/>
        <v>#DIV/0!</v>
      </c>
      <c r="I10" s="15"/>
    </row>
    <row r="11" spans="1:9" ht="19.899999999999999" customHeight="1" x14ac:dyDescent="0.3">
      <c r="A11" s="86" t="s">
        <v>142</v>
      </c>
      <c r="B11" s="88" t="s">
        <v>155</v>
      </c>
      <c r="C11" s="24" t="s">
        <v>295</v>
      </c>
      <c r="D11" s="71">
        <v>46296</v>
      </c>
      <c r="E11" s="85"/>
      <c r="F11" s="87"/>
      <c r="G11" s="89" t="s">
        <v>168</v>
      </c>
      <c r="H11" s="103" t="e">
        <f t="shared" si="0"/>
        <v>#DIV/0!</v>
      </c>
      <c r="I11" s="15"/>
    </row>
    <row r="12" spans="1:9" ht="19.899999999999999" customHeight="1" x14ac:dyDescent="0.3">
      <c r="A12" s="86" t="s">
        <v>142</v>
      </c>
      <c r="B12" s="88" t="s">
        <v>155</v>
      </c>
      <c r="C12" s="24" t="s">
        <v>295</v>
      </c>
      <c r="D12" s="71">
        <v>46327</v>
      </c>
      <c r="E12" s="85"/>
      <c r="F12" s="87"/>
      <c r="G12" s="89" t="s">
        <v>168</v>
      </c>
      <c r="H12" s="103" t="e">
        <f t="shared" si="0"/>
        <v>#DIV/0!</v>
      </c>
      <c r="I12" s="15"/>
    </row>
    <row r="13" spans="1:9" ht="19.899999999999999" customHeight="1" x14ac:dyDescent="0.3">
      <c r="A13" s="86" t="s">
        <v>142</v>
      </c>
      <c r="B13" s="88" t="s">
        <v>155</v>
      </c>
      <c r="C13" s="24" t="s">
        <v>295</v>
      </c>
      <c r="D13" s="71">
        <v>46357</v>
      </c>
      <c r="E13" s="85"/>
      <c r="F13" s="87"/>
      <c r="G13" s="89" t="s">
        <v>168</v>
      </c>
      <c r="H13" s="103" t="e">
        <f t="shared" si="0"/>
        <v>#DIV/0!</v>
      </c>
      <c r="I13" s="15"/>
    </row>
    <row r="14" spans="1:9" ht="19.899999999999999" customHeight="1" x14ac:dyDescent="0.3">
      <c r="A14" s="86" t="s">
        <v>142</v>
      </c>
      <c r="B14" s="88" t="s">
        <v>155</v>
      </c>
      <c r="C14" s="24" t="s">
        <v>295</v>
      </c>
      <c r="D14" s="10" t="s">
        <v>4</v>
      </c>
      <c r="E14" s="61">
        <f>SUM(E2:E13)</f>
        <v>3147</v>
      </c>
      <c r="F14" s="61">
        <f>SUM(F2:F13)</f>
        <v>341</v>
      </c>
      <c r="G14" s="89" t="s">
        <v>168</v>
      </c>
      <c r="H14" s="103">
        <f>E14/F14</f>
        <v>9.2287390029325511</v>
      </c>
      <c r="I14" s="16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45C5-6B51-4390-AF22-CBCBABE96364}">
  <sheetPr>
    <pageSetUpPr fitToPage="1"/>
  </sheetPr>
  <dimension ref="A1:J14"/>
  <sheetViews>
    <sheetView workbookViewId="0">
      <selection activeCell="L11" sqref="L11"/>
    </sheetView>
  </sheetViews>
  <sheetFormatPr baseColWidth="10" defaultColWidth="11.5703125" defaultRowHeight="30" customHeight="1" x14ac:dyDescent="0.3"/>
  <cols>
    <col min="1" max="3" width="11.5703125" style="13"/>
    <col min="4" max="4" width="15.7109375" style="13" customWidth="1"/>
    <col min="5" max="5" width="18.5703125" style="13" customWidth="1"/>
    <col min="6" max="7" width="14" style="13" customWidth="1"/>
    <col min="8" max="8" width="12.5703125" style="13" customWidth="1"/>
    <col min="9" max="9" width="14" style="13" hidden="1" customWidth="1"/>
    <col min="10" max="16384" width="11.5703125" style="13"/>
  </cols>
  <sheetData>
    <row r="1" spans="1:10" s="14" customFormat="1" ht="69" customHeight="1" x14ac:dyDescent="0.3">
      <c r="A1" s="25" t="s">
        <v>11</v>
      </c>
      <c r="B1" s="25" t="s">
        <v>12</v>
      </c>
      <c r="C1" s="25" t="s">
        <v>13</v>
      </c>
      <c r="D1" s="7" t="s">
        <v>6</v>
      </c>
      <c r="E1" s="56" t="s">
        <v>2</v>
      </c>
      <c r="F1" s="56" t="s">
        <v>3</v>
      </c>
      <c r="G1" s="56" t="s">
        <v>151</v>
      </c>
      <c r="H1" s="57" t="s">
        <v>10</v>
      </c>
      <c r="I1" s="164" t="s">
        <v>10</v>
      </c>
    </row>
    <row r="2" spans="1:10" ht="19.899999999999999" customHeight="1" x14ac:dyDescent="0.3">
      <c r="A2" s="86" t="s">
        <v>142</v>
      </c>
      <c r="B2" s="25" t="s">
        <v>150</v>
      </c>
      <c r="C2" s="24" t="s">
        <v>148</v>
      </c>
      <c r="D2" s="71">
        <v>46023</v>
      </c>
      <c r="E2" s="107">
        <f>[4]A08!$C$107</f>
        <v>136</v>
      </c>
      <c r="F2" s="107">
        <f>[4]A08!$C$108+[4]A08!$C$109+[4]A08!$C$112+[4]A08!$C$107</f>
        <v>261</v>
      </c>
      <c r="G2" s="59" t="s">
        <v>166</v>
      </c>
      <c r="H2" s="60">
        <f>E2/F2</f>
        <v>0.52107279693486586</v>
      </c>
      <c r="I2" s="20"/>
    </row>
    <row r="3" spans="1:10" ht="19.899999999999999" customHeight="1" x14ac:dyDescent="0.3">
      <c r="A3" s="86" t="s">
        <v>142</v>
      </c>
      <c r="B3" s="25" t="s">
        <v>150</v>
      </c>
      <c r="C3" s="24" t="s">
        <v>148</v>
      </c>
      <c r="D3" s="71">
        <v>46054</v>
      </c>
      <c r="E3" s="107">
        <f>[5]A08!$C$107</f>
        <v>164</v>
      </c>
      <c r="F3" s="107">
        <f>[5]A08!$C$108+[5]A08!$C$109+[5]A08!$C$112+[5]A08!$C$107</f>
        <v>260</v>
      </c>
      <c r="G3" s="59" t="s">
        <v>166</v>
      </c>
      <c r="H3" s="60">
        <f t="shared" ref="H3:H14" si="0">E3/F3</f>
        <v>0.63076923076923075</v>
      </c>
      <c r="I3" s="165"/>
    </row>
    <row r="4" spans="1:10" ht="19.899999999999999" customHeight="1" x14ac:dyDescent="0.3">
      <c r="A4" s="86" t="s">
        <v>142</v>
      </c>
      <c r="B4" s="25" t="s">
        <v>150</v>
      </c>
      <c r="C4" s="24" t="s">
        <v>148</v>
      </c>
      <c r="D4" s="71">
        <v>46082</v>
      </c>
      <c r="E4" s="107">
        <f>[6]A08!$C$107</f>
        <v>170</v>
      </c>
      <c r="F4" s="107">
        <f>[6]A08!$C$108+[6]A08!$C$109+[6]A08!$C$112+[6]A08!$C$107</f>
        <v>305</v>
      </c>
      <c r="G4" s="59" t="s">
        <v>166</v>
      </c>
      <c r="H4" s="60">
        <f t="shared" si="0"/>
        <v>0.55737704918032782</v>
      </c>
      <c r="I4" s="165"/>
    </row>
    <row r="5" spans="1:10" ht="19.899999999999999" customHeight="1" x14ac:dyDescent="0.3">
      <c r="A5" s="86" t="s">
        <v>142</v>
      </c>
      <c r="B5" s="25" t="s">
        <v>150</v>
      </c>
      <c r="C5" s="24" t="s">
        <v>148</v>
      </c>
      <c r="D5" s="71">
        <v>46113</v>
      </c>
      <c r="E5" s="107">
        <f>[7]A08!$C$107</f>
        <v>134</v>
      </c>
      <c r="F5" s="107">
        <f>[7]A08!$C$108+[7]A08!$C$109+[7]A08!$C$112+[7]A08!$C$107</f>
        <v>338</v>
      </c>
      <c r="G5" s="59" t="s">
        <v>166</v>
      </c>
      <c r="H5" s="60">
        <f t="shared" si="0"/>
        <v>0.39644970414201186</v>
      </c>
      <c r="I5" s="165"/>
      <c r="J5" s="107">
        <f>[7]A08!$C$112</f>
        <v>59</v>
      </c>
    </row>
    <row r="6" spans="1:10" ht="19.899999999999999" customHeight="1" x14ac:dyDescent="0.3">
      <c r="A6" s="86" t="s">
        <v>142</v>
      </c>
      <c r="B6" s="25" t="s">
        <v>150</v>
      </c>
      <c r="C6" s="24" t="s">
        <v>148</v>
      </c>
      <c r="D6" s="71">
        <v>46143</v>
      </c>
      <c r="E6" s="107">
        <f>[8]A08!$C$107</f>
        <v>152</v>
      </c>
      <c r="F6" s="107">
        <f>[8]A08!$C$108+[8]A08!$C$109+[8]A08!$C$112+[8]A08!$C$107</f>
        <v>346</v>
      </c>
      <c r="G6" s="59" t="s">
        <v>166</v>
      </c>
      <c r="H6" s="60">
        <f t="shared" si="0"/>
        <v>0.43930635838150289</v>
      </c>
      <c r="I6" s="165"/>
      <c r="J6" s="107">
        <f>[8]A08!$C$112</f>
        <v>79</v>
      </c>
    </row>
    <row r="7" spans="1:10" ht="19.899999999999999" customHeight="1" x14ac:dyDescent="0.3">
      <c r="A7" s="86" t="s">
        <v>142</v>
      </c>
      <c r="B7" s="25" t="s">
        <v>150</v>
      </c>
      <c r="C7" s="24" t="s">
        <v>148</v>
      </c>
      <c r="D7" s="71">
        <v>46174</v>
      </c>
      <c r="E7" s="107">
        <f>[9]A08!$C$107</f>
        <v>118</v>
      </c>
      <c r="F7" s="107">
        <f>[9]A08!$C$108+[9]A08!$C$109+[9]A08!$C$112+[9]A08!$C$107</f>
        <v>342</v>
      </c>
      <c r="G7" s="59" t="s">
        <v>166</v>
      </c>
      <c r="H7" s="60">
        <f t="shared" si="0"/>
        <v>0.34502923976608185</v>
      </c>
      <c r="I7" s="165"/>
    </row>
    <row r="8" spans="1:10" ht="19.899999999999999" customHeight="1" x14ac:dyDescent="0.3">
      <c r="A8" s="86" t="s">
        <v>142</v>
      </c>
      <c r="B8" s="25" t="s">
        <v>150</v>
      </c>
      <c r="C8" s="24" t="s">
        <v>148</v>
      </c>
      <c r="D8" s="71">
        <v>46204</v>
      </c>
      <c r="E8" s="107"/>
      <c r="F8" s="107"/>
      <c r="G8" s="59" t="s">
        <v>166</v>
      </c>
      <c r="H8" s="60" t="e">
        <f t="shared" si="0"/>
        <v>#DIV/0!</v>
      </c>
      <c r="I8" s="165"/>
    </row>
    <row r="9" spans="1:10" ht="19.899999999999999" customHeight="1" x14ac:dyDescent="0.3">
      <c r="A9" s="86" t="s">
        <v>142</v>
      </c>
      <c r="B9" s="25" t="s">
        <v>150</v>
      </c>
      <c r="C9" s="24" t="s">
        <v>148</v>
      </c>
      <c r="D9" s="71">
        <v>46235</v>
      </c>
      <c r="E9" s="107"/>
      <c r="F9" s="107"/>
      <c r="G9" s="59" t="s">
        <v>166</v>
      </c>
      <c r="H9" s="60" t="e">
        <f t="shared" si="0"/>
        <v>#DIV/0!</v>
      </c>
      <c r="I9" s="165"/>
    </row>
    <row r="10" spans="1:10" ht="19.899999999999999" customHeight="1" x14ac:dyDescent="0.3">
      <c r="A10" s="86" t="s">
        <v>142</v>
      </c>
      <c r="B10" s="25" t="s">
        <v>150</v>
      </c>
      <c r="C10" s="24" t="s">
        <v>148</v>
      </c>
      <c r="D10" s="71">
        <v>46266</v>
      </c>
      <c r="E10" s="107"/>
      <c r="F10" s="107"/>
      <c r="G10" s="59" t="s">
        <v>166</v>
      </c>
      <c r="H10" s="60" t="e">
        <f t="shared" si="0"/>
        <v>#DIV/0!</v>
      </c>
      <c r="I10" s="165"/>
    </row>
    <row r="11" spans="1:10" ht="19.899999999999999" customHeight="1" x14ac:dyDescent="0.3">
      <c r="A11" s="86" t="s">
        <v>142</v>
      </c>
      <c r="B11" s="25" t="s">
        <v>150</v>
      </c>
      <c r="C11" s="24" t="s">
        <v>148</v>
      </c>
      <c r="D11" s="71">
        <v>46296</v>
      </c>
      <c r="E11" s="107"/>
      <c r="F11" s="107"/>
      <c r="G11" s="59" t="s">
        <v>166</v>
      </c>
      <c r="H11" s="60" t="e">
        <f t="shared" si="0"/>
        <v>#DIV/0!</v>
      </c>
      <c r="I11" s="165"/>
    </row>
    <row r="12" spans="1:10" ht="19.899999999999999" customHeight="1" x14ac:dyDescent="0.3">
      <c r="A12" s="86" t="s">
        <v>142</v>
      </c>
      <c r="B12" s="25" t="s">
        <v>150</v>
      </c>
      <c r="C12" s="24" t="s">
        <v>148</v>
      </c>
      <c r="D12" s="71">
        <v>46327</v>
      </c>
      <c r="E12" s="107"/>
      <c r="F12" s="107"/>
      <c r="G12" s="59" t="s">
        <v>166</v>
      </c>
      <c r="H12" s="60" t="e">
        <f t="shared" si="0"/>
        <v>#DIV/0!</v>
      </c>
      <c r="I12" s="165"/>
    </row>
    <row r="13" spans="1:10" ht="19.899999999999999" customHeight="1" x14ac:dyDescent="0.3">
      <c r="A13" s="86" t="s">
        <v>142</v>
      </c>
      <c r="B13" s="25" t="s">
        <v>150</v>
      </c>
      <c r="C13" s="24" t="s">
        <v>148</v>
      </c>
      <c r="D13" s="71">
        <v>46357</v>
      </c>
      <c r="E13" s="107"/>
      <c r="F13" s="107"/>
      <c r="G13" s="59" t="s">
        <v>166</v>
      </c>
      <c r="H13" s="60" t="e">
        <f t="shared" si="0"/>
        <v>#DIV/0!</v>
      </c>
      <c r="I13" s="165"/>
    </row>
    <row r="14" spans="1:10" ht="19.899999999999999" customHeight="1" x14ac:dyDescent="0.3">
      <c r="A14" s="86" t="s">
        <v>142</v>
      </c>
      <c r="B14" s="25" t="s">
        <v>150</v>
      </c>
      <c r="C14" s="24" t="s">
        <v>148</v>
      </c>
      <c r="D14" s="10" t="s">
        <v>4</v>
      </c>
      <c r="E14" s="61">
        <f>SUM(E2:E13)</f>
        <v>874</v>
      </c>
      <c r="F14" s="62">
        <f>SUM(F2:F13)</f>
        <v>1852</v>
      </c>
      <c r="G14" s="59" t="s">
        <v>166</v>
      </c>
      <c r="H14" s="60">
        <f t="shared" si="0"/>
        <v>0.47192224622030238</v>
      </c>
      <c r="I14" s="166"/>
    </row>
  </sheetData>
  <pageMargins left="0.25" right="0.25" top="0.75" bottom="0.75" header="0.3" footer="0.3"/>
  <pageSetup scale="5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F979F-F862-45BA-8DE5-647C10053A5A}">
  <sheetPr>
    <pageSetUpPr fitToPage="1"/>
  </sheetPr>
  <dimension ref="A1:I14"/>
  <sheetViews>
    <sheetView workbookViewId="0">
      <selection activeCell="B13" sqref="B13"/>
    </sheetView>
  </sheetViews>
  <sheetFormatPr baseColWidth="10" defaultColWidth="11.5703125" defaultRowHeight="30" customHeight="1" x14ac:dyDescent="0.3"/>
  <cols>
    <col min="1" max="3" width="11.5703125" style="13"/>
    <col min="4" max="4" width="15.7109375" style="13" customWidth="1"/>
    <col min="5" max="5" width="18.5703125" style="13" customWidth="1"/>
    <col min="6" max="6" width="19.28515625" style="13" customWidth="1"/>
    <col min="7" max="7" width="14" style="13" customWidth="1"/>
    <col min="8" max="8" width="12.5703125" style="13" customWidth="1"/>
    <col min="9" max="9" width="14" style="13" customWidth="1"/>
    <col min="10" max="16384" width="11.5703125" style="13"/>
  </cols>
  <sheetData>
    <row r="1" spans="1:9" s="14" customFormat="1" ht="69" customHeight="1" x14ac:dyDescent="0.3">
      <c r="A1" s="25" t="s">
        <v>11</v>
      </c>
      <c r="B1" s="25" t="s">
        <v>12</v>
      </c>
      <c r="C1" s="25" t="s">
        <v>13</v>
      </c>
      <c r="D1" s="7" t="s">
        <v>6</v>
      </c>
      <c r="E1" s="56" t="s">
        <v>2</v>
      </c>
      <c r="F1" s="56" t="s">
        <v>3</v>
      </c>
      <c r="G1" s="56" t="s">
        <v>151</v>
      </c>
      <c r="H1" s="57" t="s">
        <v>10</v>
      </c>
      <c r="I1" s="7" t="s">
        <v>10</v>
      </c>
    </row>
    <row r="2" spans="1:9" ht="19.899999999999999" customHeight="1" x14ac:dyDescent="0.3">
      <c r="A2" s="86" t="s">
        <v>142</v>
      </c>
      <c r="B2" s="25" t="s">
        <v>152</v>
      </c>
      <c r="C2" s="24" t="s">
        <v>147</v>
      </c>
      <c r="D2" s="71">
        <v>46023</v>
      </c>
      <c r="E2" s="85">
        <v>342</v>
      </c>
      <c r="F2" s="87">
        <f>[4]A08!$B$62</f>
        <v>350</v>
      </c>
      <c r="G2" s="59" t="s">
        <v>202</v>
      </c>
      <c r="H2" s="60">
        <f>E2/F2</f>
        <v>0.97714285714285709</v>
      </c>
      <c r="I2" s="160">
        <v>376</v>
      </c>
    </row>
    <row r="3" spans="1:9" ht="19.899999999999999" customHeight="1" x14ac:dyDescent="0.3">
      <c r="A3" s="86" t="s">
        <v>142</v>
      </c>
      <c r="B3" s="25" t="s">
        <v>152</v>
      </c>
      <c r="C3" s="24" t="s">
        <v>147</v>
      </c>
      <c r="D3" s="71">
        <v>46054</v>
      </c>
      <c r="E3" s="85">
        <v>332</v>
      </c>
      <c r="F3" s="87">
        <f>[5]A08!$B$62</f>
        <v>342</v>
      </c>
      <c r="G3" s="59" t="s">
        <v>202</v>
      </c>
      <c r="H3" s="60">
        <f t="shared" ref="H3:H14" si="0">E3/F3</f>
        <v>0.9707602339181286</v>
      </c>
      <c r="I3" s="161">
        <v>370</v>
      </c>
    </row>
    <row r="4" spans="1:9" ht="19.899999999999999" customHeight="1" x14ac:dyDescent="0.3">
      <c r="A4" s="86" t="s">
        <v>142</v>
      </c>
      <c r="B4" s="25" t="s">
        <v>152</v>
      </c>
      <c r="C4" s="24" t="s">
        <v>147</v>
      </c>
      <c r="D4" s="71">
        <v>46082</v>
      </c>
      <c r="E4" s="85">
        <v>338</v>
      </c>
      <c r="F4" s="87">
        <f>[6]A08!$B$62</f>
        <v>344</v>
      </c>
      <c r="G4" s="59" t="s">
        <v>202</v>
      </c>
      <c r="H4" s="60">
        <f t="shared" si="0"/>
        <v>0.98255813953488369</v>
      </c>
      <c r="I4" s="161">
        <v>396</v>
      </c>
    </row>
    <row r="5" spans="1:9" ht="19.899999999999999" customHeight="1" x14ac:dyDescent="0.3">
      <c r="A5" s="86" t="s">
        <v>142</v>
      </c>
      <c r="B5" s="25" t="s">
        <v>152</v>
      </c>
      <c r="C5" s="24" t="s">
        <v>147</v>
      </c>
      <c r="D5" s="71">
        <v>46113</v>
      </c>
      <c r="E5" s="85">
        <v>327</v>
      </c>
      <c r="F5" s="87">
        <f>[7]A08!$B$62</f>
        <v>345</v>
      </c>
      <c r="G5" s="59" t="s">
        <v>202</v>
      </c>
      <c r="H5" s="60">
        <f t="shared" si="0"/>
        <v>0.94782608695652171</v>
      </c>
      <c r="I5" s="161">
        <v>364</v>
      </c>
    </row>
    <row r="6" spans="1:9" ht="19.899999999999999" customHeight="1" x14ac:dyDescent="0.3">
      <c r="A6" s="86" t="s">
        <v>142</v>
      </c>
      <c r="B6" s="25" t="s">
        <v>152</v>
      </c>
      <c r="C6" s="24" t="s">
        <v>147</v>
      </c>
      <c r="D6" s="71">
        <v>46143</v>
      </c>
      <c r="E6" s="85">
        <v>291</v>
      </c>
      <c r="F6" s="87">
        <f>[8]A08!$B$62</f>
        <v>301</v>
      </c>
      <c r="G6" s="59" t="s">
        <v>202</v>
      </c>
      <c r="H6" s="60">
        <f t="shared" si="0"/>
        <v>0.96677740863787376</v>
      </c>
      <c r="I6" s="162"/>
    </row>
    <row r="7" spans="1:9" ht="19.899999999999999" customHeight="1" x14ac:dyDescent="0.3">
      <c r="A7" s="86" t="s">
        <v>142</v>
      </c>
      <c r="B7" s="25" t="s">
        <v>152</v>
      </c>
      <c r="C7" s="24" t="s">
        <v>147</v>
      </c>
      <c r="D7" s="71">
        <v>46174</v>
      </c>
      <c r="E7" s="85">
        <v>281</v>
      </c>
      <c r="F7" s="87">
        <f>[9]A08!$B$62</f>
        <v>291</v>
      </c>
      <c r="G7" s="59" t="s">
        <v>202</v>
      </c>
      <c r="H7" s="60">
        <f t="shared" si="0"/>
        <v>0.96563573883161513</v>
      </c>
      <c r="I7" s="162"/>
    </row>
    <row r="8" spans="1:9" ht="19.899999999999999" customHeight="1" x14ac:dyDescent="0.3">
      <c r="A8" s="86" t="s">
        <v>142</v>
      </c>
      <c r="B8" s="25" t="s">
        <v>152</v>
      </c>
      <c r="C8" s="24" t="s">
        <v>147</v>
      </c>
      <c r="D8" s="71">
        <v>46204</v>
      </c>
      <c r="E8" s="85"/>
      <c r="F8" s="87"/>
      <c r="G8" s="59" t="s">
        <v>202</v>
      </c>
      <c r="H8" s="60" t="e">
        <f t="shared" si="0"/>
        <v>#DIV/0!</v>
      </c>
      <c r="I8" s="162"/>
    </row>
    <row r="9" spans="1:9" ht="19.899999999999999" customHeight="1" x14ac:dyDescent="0.3">
      <c r="A9" s="86" t="s">
        <v>142</v>
      </c>
      <c r="B9" s="25" t="s">
        <v>152</v>
      </c>
      <c r="C9" s="24" t="s">
        <v>147</v>
      </c>
      <c r="D9" s="71">
        <v>46235</v>
      </c>
      <c r="E9" s="85"/>
      <c r="F9" s="87"/>
      <c r="G9" s="59" t="s">
        <v>202</v>
      </c>
      <c r="H9" s="60" t="e">
        <f t="shared" si="0"/>
        <v>#DIV/0!</v>
      </c>
      <c r="I9" s="162"/>
    </row>
    <row r="10" spans="1:9" ht="19.899999999999999" customHeight="1" x14ac:dyDescent="0.3">
      <c r="A10" s="86" t="s">
        <v>142</v>
      </c>
      <c r="B10" s="25" t="s">
        <v>152</v>
      </c>
      <c r="C10" s="24" t="s">
        <v>147</v>
      </c>
      <c r="D10" s="71">
        <v>46266</v>
      </c>
      <c r="E10" s="85"/>
      <c r="F10" s="87"/>
      <c r="G10" s="59" t="s">
        <v>202</v>
      </c>
      <c r="H10" s="60" t="e">
        <f t="shared" si="0"/>
        <v>#DIV/0!</v>
      </c>
      <c r="I10" s="162"/>
    </row>
    <row r="11" spans="1:9" ht="19.899999999999999" customHeight="1" x14ac:dyDescent="0.3">
      <c r="A11" s="86" t="s">
        <v>142</v>
      </c>
      <c r="B11" s="25" t="s">
        <v>152</v>
      </c>
      <c r="C11" s="24" t="s">
        <v>147</v>
      </c>
      <c r="D11" s="71">
        <v>46296</v>
      </c>
      <c r="E11" s="85"/>
      <c r="F11" s="87"/>
      <c r="G11" s="59" t="s">
        <v>202</v>
      </c>
      <c r="H11" s="60" t="e">
        <f t="shared" si="0"/>
        <v>#DIV/0!</v>
      </c>
      <c r="I11" s="162"/>
    </row>
    <row r="12" spans="1:9" ht="19.899999999999999" customHeight="1" x14ac:dyDescent="0.3">
      <c r="A12" s="86" t="s">
        <v>142</v>
      </c>
      <c r="B12" s="25" t="s">
        <v>152</v>
      </c>
      <c r="C12" s="24" t="s">
        <v>147</v>
      </c>
      <c r="D12" s="71">
        <v>46327</v>
      </c>
      <c r="E12" s="85"/>
      <c r="F12" s="87"/>
      <c r="G12" s="59" t="s">
        <v>202</v>
      </c>
      <c r="H12" s="60" t="e">
        <f t="shared" si="0"/>
        <v>#DIV/0!</v>
      </c>
      <c r="I12" s="162"/>
    </row>
    <row r="13" spans="1:9" ht="19.899999999999999" customHeight="1" x14ac:dyDescent="0.3">
      <c r="A13" s="86" t="s">
        <v>142</v>
      </c>
      <c r="B13" s="25" t="s">
        <v>152</v>
      </c>
      <c r="C13" s="24" t="s">
        <v>147</v>
      </c>
      <c r="D13" s="71">
        <v>46357</v>
      </c>
      <c r="E13" s="85"/>
      <c r="F13" s="87"/>
      <c r="G13" s="59" t="s">
        <v>202</v>
      </c>
      <c r="H13" s="60" t="e">
        <f t="shared" si="0"/>
        <v>#DIV/0!</v>
      </c>
      <c r="I13" s="162"/>
    </row>
    <row r="14" spans="1:9" ht="19.899999999999999" customHeight="1" x14ac:dyDescent="0.3">
      <c r="A14" s="86" t="s">
        <v>142</v>
      </c>
      <c r="B14" s="25" t="s">
        <v>152</v>
      </c>
      <c r="C14" s="24" t="s">
        <v>147</v>
      </c>
      <c r="D14" s="10" t="s">
        <v>4</v>
      </c>
      <c r="E14" s="61">
        <f>SUM(E2:E13)</f>
        <v>1911</v>
      </c>
      <c r="F14" s="62">
        <f>SUM(F2:F13)</f>
        <v>1973</v>
      </c>
      <c r="G14" s="59" t="s">
        <v>202</v>
      </c>
      <c r="H14" s="60">
        <f t="shared" si="0"/>
        <v>0.96857577293461738</v>
      </c>
      <c r="I14" s="163">
        <f>I2+I3+I4+I5+I6+I7+I8+I9+I10+I11+I12+I13</f>
        <v>1506</v>
      </c>
    </row>
  </sheetData>
  <pageMargins left="0.70866141732283472" right="0.70866141732283472" top="0.74803149606299213" bottom="0.74803149606299213" header="0.31496062992125984" footer="0.31496062992125984"/>
  <pageSetup scale="8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1E540-D5E6-4B46-A599-C738F6F2E2E2}">
  <dimension ref="A1:I14"/>
  <sheetViews>
    <sheetView workbookViewId="0">
      <selection activeCell="D18" sqref="D18"/>
    </sheetView>
  </sheetViews>
  <sheetFormatPr baseColWidth="10" defaultColWidth="11.5703125" defaultRowHeight="30" customHeight="1" x14ac:dyDescent="0.3"/>
  <cols>
    <col min="1" max="3" width="11.5703125" style="13"/>
    <col min="4" max="4" width="15.7109375" style="13" customWidth="1"/>
    <col min="5" max="5" width="18.5703125" style="13" customWidth="1"/>
    <col min="6" max="7" width="14" style="13" customWidth="1"/>
    <col min="8" max="8" width="12.5703125" style="13" customWidth="1"/>
    <col min="9" max="9" width="14" style="13" customWidth="1"/>
    <col min="10" max="16384" width="11.5703125" style="13"/>
  </cols>
  <sheetData>
    <row r="1" spans="1:9" s="14" customFormat="1" ht="69" customHeight="1" x14ac:dyDescent="0.3">
      <c r="A1" s="25" t="s">
        <v>11</v>
      </c>
      <c r="B1" s="25" t="s">
        <v>12</v>
      </c>
      <c r="C1" s="25" t="s">
        <v>13</v>
      </c>
      <c r="D1" s="7" t="s">
        <v>6</v>
      </c>
      <c r="E1" s="56" t="s">
        <v>2</v>
      </c>
      <c r="F1" s="56" t="s">
        <v>3</v>
      </c>
      <c r="G1" s="56" t="s">
        <v>151</v>
      </c>
      <c r="H1" s="57" t="s">
        <v>10</v>
      </c>
      <c r="I1" s="7" t="s">
        <v>10</v>
      </c>
    </row>
    <row r="2" spans="1:9" ht="19.899999999999999" customHeight="1" x14ac:dyDescent="0.3">
      <c r="A2" s="86" t="s">
        <v>142</v>
      </c>
      <c r="B2" s="25" t="s">
        <v>153</v>
      </c>
      <c r="C2" s="24" t="s">
        <v>146</v>
      </c>
      <c r="D2" s="71">
        <v>46023</v>
      </c>
      <c r="E2" s="85">
        <f>F2-[4]A08!$B$12</f>
        <v>1137</v>
      </c>
      <c r="F2" s="87">
        <f>[4]A08!$AS$12</f>
        <v>4616</v>
      </c>
      <c r="G2" s="59" t="s">
        <v>165</v>
      </c>
      <c r="H2" s="60">
        <f>E2/F2</f>
        <v>0.24631715771230503</v>
      </c>
      <c r="I2" s="20"/>
    </row>
    <row r="3" spans="1:9" ht="19.899999999999999" customHeight="1" x14ac:dyDescent="0.3">
      <c r="A3" s="86" t="s">
        <v>142</v>
      </c>
      <c r="B3" s="25" t="s">
        <v>153</v>
      </c>
      <c r="C3" s="24" t="s">
        <v>146</v>
      </c>
      <c r="D3" s="71">
        <v>46054</v>
      </c>
      <c r="E3" s="85">
        <f>F3-[5]A08!$B$12</f>
        <v>1143</v>
      </c>
      <c r="F3" s="87">
        <f>[5]A08!$AS$12</f>
        <v>4507</v>
      </c>
      <c r="G3" s="59" t="s">
        <v>165</v>
      </c>
      <c r="H3" s="60">
        <f t="shared" ref="H3:H14" si="0">E3/F3</f>
        <v>0.25360550255158643</v>
      </c>
      <c r="I3" s="15"/>
    </row>
    <row r="4" spans="1:9" ht="19.899999999999999" customHeight="1" x14ac:dyDescent="0.3">
      <c r="A4" s="86" t="s">
        <v>142</v>
      </c>
      <c r="B4" s="25" t="s">
        <v>153</v>
      </c>
      <c r="C4" s="24" t="s">
        <v>146</v>
      </c>
      <c r="D4" s="71">
        <v>46082</v>
      </c>
      <c r="E4" s="85">
        <f>F4-[6]A08!$B$12</f>
        <v>814</v>
      </c>
      <c r="F4" s="87">
        <f>[6]A08!$AS$12</f>
        <v>3935</v>
      </c>
      <c r="G4" s="59" t="s">
        <v>165</v>
      </c>
      <c r="H4" s="60">
        <f t="shared" si="0"/>
        <v>0.20686149936467599</v>
      </c>
      <c r="I4" s="15"/>
    </row>
    <row r="5" spans="1:9" ht="19.899999999999999" customHeight="1" x14ac:dyDescent="0.3">
      <c r="A5" s="86" t="s">
        <v>142</v>
      </c>
      <c r="B5" s="25" t="s">
        <v>153</v>
      </c>
      <c r="C5" s="24" t="s">
        <v>146</v>
      </c>
      <c r="D5" s="71">
        <v>46113</v>
      </c>
      <c r="E5" s="85">
        <f>F5-[7]A08!$B$12</f>
        <v>757</v>
      </c>
      <c r="F5" s="87">
        <f>[7]A08!$AS$12</f>
        <v>3707</v>
      </c>
      <c r="G5" s="59" t="s">
        <v>165</v>
      </c>
      <c r="H5" s="60">
        <f t="shared" si="0"/>
        <v>0.20420825465335851</v>
      </c>
      <c r="I5" s="15"/>
    </row>
    <row r="6" spans="1:9" ht="19.899999999999999" customHeight="1" x14ac:dyDescent="0.3">
      <c r="A6" s="86" t="s">
        <v>142</v>
      </c>
      <c r="B6" s="25" t="s">
        <v>153</v>
      </c>
      <c r="C6" s="24" t="s">
        <v>146</v>
      </c>
      <c r="D6" s="71">
        <v>46143</v>
      </c>
      <c r="E6" s="85">
        <f>F6-[8]A08!$B$12</f>
        <v>742</v>
      </c>
      <c r="F6" s="87">
        <f>[8]A08!$AS$12</f>
        <v>3977</v>
      </c>
      <c r="G6" s="59" t="s">
        <v>165</v>
      </c>
      <c r="H6" s="60">
        <f t="shared" si="0"/>
        <v>0.18657279356298717</v>
      </c>
      <c r="I6" s="15"/>
    </row>
    <row r="7" spans="1:9" ht="19.899999999999999" customHeight="1" x14ac:dyDescent="0.3">
      <c r="A7" s="86" t="s">
        <v>142</v>
      </c>
      <c r="B7" s="25" t="s">
        <v>153</v>
      </c>
      <c r="C7" s="24" t="s">
        <v>146</v>
      </c>
      <c r="D7" s="71">
        <v>46174</v>
      </c>
      <c r="E7" s="85">
        <f>F7-[9]A08!$B$12</f>
        <v>991</v>
      </c>
      <c r="F7" s="87">
        <f>[9]A08!$AS$12</f>
        <v>3903</v>
      </c>
      <c r="G7" s="59" t="s">
        <v>165</v>
      </c>
      <c r="H7" s="60">
        <f t="shared" si="0"/>
        <v>0.25390725083269278</v>
      </c>
      <c r="I7" s="15"/>
    </row>
    <row r="8" spans="1:9" ht="19.899999999999999" customHeight="1" x14ac:dyDescent="0.3">
      <c r="A8" s="86" t="s">
        <v>142</v>
      </c>
      <c r="B8" s="25" t="s">
        <v>153</v>
      </c>
      <c r="C8" s="24" t="s">
        <v>146</v>
      </c>
      <c r="D8" s="71">
        <v>46204</v>
      </c>
      <c r="E8" s="85"/>
      <c r="F8" s="87"/>
      <c r="G8" s="59" t="s">
        <v>165</v>
      </c>
      <c r="H8" s="60" t="e">
        <f t="shared" si="0"/>
        <v>#DIV/0!</v>
      </c>
      <c r="I8" s="15"/>
    </row>
    <row r="9" spans="1:9" ht="19.899999999999999" customHeight="1" x14ac:dyDescent="0.3">
      <c r="A9" s="86" t="s">
        <v>142</v>
      </c>
      <c r="B9" s="25" t="s">
        <v>153</v>
      </c>
      <c r="C9" s="24" t="s">
        <v>146</v>
      </c>
      <c r="D9" s="71">
        <v>46235</v>
      </c>
      <c r="E9" s="85"/>
      <c r="F9" s="87"/>
      <c r="G9" s="59" t="s">
        <v>165</v>
      </c>
      <c r="H9" s="60" t="e">
        <f t="shared" si="0"/>
        <v>#DIV/0!</v>
      </c>
      <c r="I9" s="15"/>
    </row>
    <row r="10" spans="1:9" ht="19.899999999999999" customHeight="1" x14ac:dyDescent="0.3">
      <c r="A10" s="86" t="s">
        <v>142</v>
      </c>
      <c r="B10" s="25" t="s">
        <v>153</v>
      </c>
      <c r="C10" s="24" t="s">
        <v>146</v>
      </c>
      <c r="D10" s="71">
        <v>46266</v>
      </c>
      <c r="E10" s="85"/>
      <c r="F10" s="87"/>
      <c r="G10" s="59" t="s">
        <v>165</v>
      </c>
      <c r="H10" s="60" t="e">
        <f t="shared" si="0"/>
        <v>#DIV/0!</v>
      </c>
      <c r="I10" s="15"/>
    </row>
    <row r="11" spans="1:9" ht="19.899999999999999" customHeight="1" x14ac:dyDescent="0.3">
      <c r="A11" s="86" t="s">
        <v>142</v>
      </c>
      <c r="B11" s="25" t="s">
        <v>153</v>
      </c>
      <c r="C11" s="24" t="s">
        <v>146</v>
      </c>
      <c r="D11" s="71">
        <v>46296</v>
      </c>
      <c r="E11" s="85"/>
      <c r="F11" s="87"/>
      <c r="G11" s="59" t="s">
        <v>165</v>
      </c>
      <c r="H11" s="60" t="e">
        <f t="shared" si="0"/>
        <v>#DIV/0!</v>
      </c>
      <c r="I11" s="15"/>
    </row>
    <row r="12" spans="1:9" ht="19.899999999999999" customHeight="1" x14ac:dyDescent="0.3">
      <c r="A12" s="86" t="s">
        <v>142</v>
      </c>
      <c r="B12" s="25" t="s">
        <v>153</v>
      </c>
      <c r="C12" s="24" t="s">
        <v>146</v>
      </c>
      <c r="D12" s="71">
        <v>46327</v>
      </c>
      <c r="E12" s="85"/>
      <c r="F12" s="87"/>
      <c r="G12" s="59" t="s">
        <v>165</v>
      </c>
      <c r="H12" s="60" t="e">
        <f t="shared" si="0"/>
        <v>#DIV/0!</v>
      </c>
      <c r="I12" s="15"/>
    </row>
    <row r="13" spans="1:9" ht="19.899999999999999" customHeight="1" x14ac:dyDescent="0.3">
      <c r="A13" s="86" t="s">
        <v>142</v>
      </c>
      <c r="B13" s="25" t="s">
        <v>153</v>
      </c>
      <c r="C13" s="24" t="s">
        <v>146</v>
      </c>
      <c r="D13" s="71">
        <v>46357</v>
      </c>
      <c r="E13" s="85"/>
      <c r="F13" s="87"/>
      <c r="G13" s="59" t="s">
        <v>165</v>
      </c>
      <c r="H13" s="60" t="e">
        <f t="shared" si="0"/>
        <v>#DIV/0!</v>
      </c>
      <c r="I13" s="15"/>
    </row>
    <row r="14" spans="1:9" ht="19.899999999999999" customHeight="1" x14ac:dyDescent="0.3">
      <c r="A14" s="86" t="s">
        <v>142</v>
      </c>
      <c r="B14" s="25" t="s">
        <v>153</v>
      </c>
      <c r="C14" s="24" t="s">
        <v>146</v>
      </c>
      <c r="D14" s="10" t="s">
        <v>4</v>
      </c>
      <c r="E14" s="61">
        <f>SUM(E2:E13)</f>
        <v>5584</v>
      </c>
      <c r="F14" s="62">
        <f>SUM(F2:F13)</f>
        <v>24645</v>
      </c>
      <c r="G14" s="59" t="s">
        <v>165</v>
      </c>
      <c r="H14" s="60">
        <f t="shared" si="0"/>
        <v>0.22657739906674781</v>
      </c>
      <c r="I14" s="16"/>
    </row>
  </sheetData>
  <phoneticPr fontId="22" type="noConversion"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A32B8-6F82-4AB1-84D7-7ADB6D111847}">
  <dimension ref="A1:AS59"/>
  <sheetViews>
    <sheetView showGridLines="0" topLeftCell="V14" zoomScale="80" zoomScaleNormal="80" workbookViewId="0">
      <selection activeCell="AS57" sqref="AS57"/>
    </sheetView>
  </sheetViews>
  <sheetFormatPr baseColWidth="10" defaultColWidth="11.42578125" defaultRowHeight="13.5" x14ac:dyDescent="0.25"/>
  <cols>
    <col min="1" max="1" width="51.42578125" style="2" customWidth="1"/>
    <col min="2" max="4" width="15.7109375" style="2" customWidth="1"/>
    <col min="5" max="13" width="11.42578125" style="2" customWidth="1"/>
    <col min="14" max="38" width="11.42578125" style="2"/>
    <col min="39" max="39" width="12.42578125" style="2" customWidth="1"/>
    <col min="40" max="42" width="11.42578125" style="2"/>
    <col min="43" max="43" width="13.28515625" style="2" bestFit="1" customWidth="1"/>
    <col min="44" max="16384" width="11.42578125" style="2"/>
  </cols>
  <sheetData>
    <row r="1" spans="1:45" ht="33.6" customHeight="1" x14ac:dyDescent="0.25">
      <c r="A1" s="17" t="s">
        <v>169</v>
      </c>
      <c r="B1" s="1" t="s">
        <v>49</v>
      </c>
      <c r="C1" s="5" t="s">
        <v>50</v>
      </c>
      <c r="D1" s="5" t="s">
        <v>48</v>
      </c>
      <c r="E1" s="1" t="s">
        <v>51</v>
      </c>
      <c r="F1" s="5" t="s">
        <v>52</v>
      </c>
      <c r="G1" s="5" t="s">
        <v>53</v>
      </c>
      <c r="H1" s="1" t="s">
        <v>56</v>
      </c>
      <c r="I1" s="5" t="s">
        <v>54</v>
      </c>
      <c r="J1" s="5" t="s">
        <v>55</v>
      </c>
      <c r="K1" s="1" t="s">
        <v>57</v>
      </c>
      <c r="L1" s="5" t="s">
        <v>58</v>
      </c>
      <c r="M1" s="5" t="s">
        <v>59</v>
      </c>
      <c r="N1" s="1" t="s">
        <v>60</v>
      </c>
      <c r="O1" s="5" t="s">
        <v>61</v>
      </c>
      <c r="P1" s="5" t="s">
        <v>62</v>
      </c>
      <c r="Q1" s="1" t="s">
        <v>63</v>
      </c>
      <c r="R1" s="5" t="s">
        <v>64</v>
      </c>
      <c r="S1" s="5" t="s">
        <v>65</v>
      </c>
      <c r="T1" s="1" t="s">
        <v>66</v>
      </c>
      <c r="U1" s="5" t="s">
        <v>67</v>
      </c>
      <c r="V1" s="5" t="s">
        <v>68</v>
      </c>
      <c r="W1" s="1" t="s">
        <v>69</v>
      </c>
      <c r="X1" s="5" t="s">
        <v>70</v>
      </c>
      <c r="Y1" s="5" t="s">
        <v>71</v>
      </c>
      <c r="Z1" s="1" t="s">
        <v>72</v>
      </c>
      <c r="AA1" s="5" t="s">
        <v>73</v>
      </c>
      <c r="AB1" s="5" t="s">
        <v>74</v>
      </c>
      <c r="AC1" s="1" t="s">
        <v>75</v>
      </c>
      <c r="AD1" s="5" t="s">
        <v>76</v>
      </c>
      <c r="AE1" s="5" t="s">
        <v>77</v>
      </c>
      <c r="AF1" s="1" t="s">
        <v>78</v>
      </c>
      <c r="AG1" s="5" t="s">
        <v>79</v>
      </c>
      <c r="AH1" s="5" t="s">
        <v>80</v>
      </c>
      <c r="AI1" s="1" t="s">
        <v>81</v>
      </c>
      <c r="AJ1" s="5" t="s">
        <v>82</v>
      </c>
      <c r="AK1" s="5" t="s">
        <v>83</v>
      </c>
      <c r="AL1" s="91" t="s">
        <v>84</v>
      </c>
      <c r="AM1" s="92" t="s">
        <v>85</v>
      </c>
      <c r="AN1" s="5" t="s">
        <v>86</v>
      </c>
      <c r="AO1" s="3" t="s">
        <v>4</v>
      </c>
      <c r="AP1" s="3" t="s">
        <v>1</v>
      </c>
      <c r="AQ1" s="97" t="s">
        <v>162</v>
      </c>
      <c r="AR1" s="2" t="s">
        <v>163</v>
      </c>
      <c r="AS1" s="101" t="s">
        <v>184</v>
      </c>
    </row>
    <row r="2" spans="1:45" x14ac:dyDescent="0.15">
      <c r="A2" s="76" t="s">
        <v>87</v>
      </c>
      <c r="B2" s="154">
        <f>[4]A07!$V$71+[4]A32!$W$35</f>
        <v>42</v>
      </c>
      <c r="C2" s="154">
        <f>'1,6 CN'!C2-'1,6 CN'!B2</f>
        <v>147</v>
      </c>
      <c r="D2" s="4">
        <f>IFERROR(B2/C2,"")</f>
        <v>0.2857142857142857</v>
      </c>
      <c r="E2" s="154">
        <f>[5]A07!$V$71+[5]A32!$W$35</f>
        <v>28</v>
      </c>
      <c r="F2" s="154">
        <f>'1,6 CN'!F2-'1,6 CN'!E2</f>
        <v>196</v>
      </c>
      <c r="G2" s="4">
        <f>IFERROR(E2/F2,"")</f>
        <v>0.14285714285714285</v>
      </c>
      <c r="H2" s="154">
        <f>[6]A07!$V$71+[6]A32!$W$35</f>
        <v>30</v>
      </c>
      <c r="I2" s="154">
        <f>'1,6 CN'!I2-'1,6 CN'!H2</f>
        <v>284</v>
      </c>
      <c r="J2" s="4">
        <f>IFERROR(H2/I2,"")</f>
        <v>0.10563380281690141</v>
      </c>
      <c r="K2" s="154">
        <f>[7]A07!$V$71+[7]A32!$W$35</f>
        <v>38</v>
      </c>
      <c r="L2" s="154">
        <f>'1,6 CN'!L2-'1,6 CN'!K2</f>
        <v>280</v>
      </c>
      <c r="M2" s="4">
        <f>IFERROR(K2/L2,"")</f>
        <v>0.1357142857142857</v>
      </c>
      <c r="N2" s="154">
        <f>[8]A07!$V$71+[8]A32!$W$35</f>
        <v>35</v>
      </c>
      <c r="O2" s="154">
        <f>'1,6 CN'!O2-'1,6 CN'!N2</f>
        <v>218</v>
      </c>
      <c r="P2" s="4">
        <f t="shared" ref="P2:P57" si="0">N2/O2</f>
        <v>0.16055045871559634</v>
      </c>
      <c r="Q2" s="83"/>
      <c r="R2" s="84"/>
      <c r="S2" s="4" t="e">
        <f t="shared" ref="S2:S57" si="1">Q2/R2</f>
        <v>#DIV/0!</v>
      </c>
      <c r="T2" s="83"/>
      <c r="U2" s="84"/>
      <c r="V2" s="4" t="e">
        <f t="shared" ref="V2:V57" si="2">T2/U2</f>
        <v>#DIV/0!</v>
      </c>
      <c r="W2" s="83"/>
      <c r="X2" s="84"/>
      <c r="Y2" s="4" t="e">
        <f t="shared" ref="Y2:Y57" si="3">W2/X2</f>
        <v>#DIV/0!</v>
      </c>
      <c r="Z2" s="83"/>
      <c r="AA2" s="84"/>
      <c r="AB2" s="4" t="e">
        <f t="shared" ref="AB2:AB57" si="4">Z2/AA2</f>
        <v>#DIV/0!</v>
      </c>
      <c r="AC2" s="83"/>
      <c r="AD2" s="84"/>
      <c r="AE2" s="4" t="e">
        <f t="shared" ref="AE2:AE57" si="5">AC2/AD2</f>
        <v>#DIV/0!</v>
      </c>
      <c r="AF2" s="83"/>
      <c r="AG2" s="84"/>
      <c r="AH2" s="4" t="e">
        <f t="shared" ref="AH2:AH57" si="6">AF2/AG2</f>
        <v>#DIV/0!</v>
      </c>
      <c r="AI2" s="6"/>
      <c r="AJ2" s="6"/>
      <c r="AK2" s="4" t="e">
        <f>+AI2/AJ2</f>
        <v>#DIV/0!</v>
      </c>
      <c r="AL2" s="95">
        <f>B2+E2+H2+K2+N2</f>
        <v>173</v>
      </c>
      <c r="AM2" s="95">
        <f>C2+F2+I2+L2+O2</f>
        <v>1125</v>
      </c>
      <c r="AN2" s="4">
        <f>IFERROR(AL2/AM2,"")</f>
        <v>0.15377777777777779</v>
      </c>
      <c r="AO2" s="98" t="str">
        <f>IF(AN2&lt;10%,"1","0")</f>
        <v>0</v>
      </c>
      <c r="AS2" s="2" t="s">
        <v>165</v>
      </c>
    </row>
    <row r="3" spans="1:45" x14ac:dyDescent="0.15">
      <c r="A3" s="77" t="s">
        <v>88</v>
      </c>
      <c r="B3" s="154">
        <f>[4]A07!$V$72+[4]A32!$W$36</f>
        <v>40</v>
      </c>
      <c r="C3" s="154">
        <f>'1,6 CN'!C3-'1,6 CN'!B3</f>
        <v>464</v>
      </c>
      <c r="D3" s="4">
        <f t="shared" ref="D3:D56" si="7">IFERROR(B3/C3,"")</f>
        <v>8.6206896551724144E-2</v>
      </c>
      <c r="E3" s="154">
        <f>[5]A07!$V$72+[5]A32!$W$36</f>
        <v>34</v>
      </c>
      <c r="F3" s="154">
        <f>'1,6 CN'!F3-'1,6 CN'!E3</f>
        <v>374</v>
      </c>
      <c r="G3" s="4">
        <f t="shared" ref="G3:G56" si="8">IFERROR(E3/F3,"")</f>
        <v>9.0909090909090912E-2</v>
      </c>
      <c r="H3" s="154">
        <f>[6]A07!$V$72+[6]A32!$W$36</f>
        <v>22</v>
      </c>
      <c r="I3" s="154">
        <f>'1,6 CN'!I3-'1,6 CN'!H3</f>
        <v>289</v>
      </c>
      <c r="J3" s="4">
        <f t="shared" ref="J3:J56" si="9">IFERROR(H3/I3,"")</f>
        <v>7.6124567474048443E-2</v>
      </c>
      <c r="K3" s="154">
        <f>[7]A07!$V$72+[7]A32!$W$36</f>
        <v>45</v>
      </c>
      <c r="L3" s="154">
        <f>'1,6 CN'!L3-'1,6 CN'!K3</f>
        <v>465</v>
      </c>
      <c r="M3" s="4">
        <f t="shared" ref="M3:M57" si="10">IFERROR(K3/L3,"")</f>
        <v>9.6774193548387094E-2</v>
      </c>
      <c r="N3" s="154">
        <f>[8]A07!$V$72+[8]A32!$W$36</f>
        <v>34</v>
      </c>
      <c r="O3" s="154">
        <f>'1,6 CN'!O3-'1,6 CN'!N3</f>
        <v>356</v>
      </c>
      <c r="P3" s="4">
        <f t="shared" si="0"/>
        <v>9.5505617977528087E-2</v>
      </c>
      <c r="Q3" s="83"/>
      <c r="R3" s="84"/>
      <c r="S3" s="4" t="e">
        <f t="shared" si="1"/>
        <v>#DIV/0!</v>
      </c>
      <c r="T3" s="83"/>
      <c r="U3" s="84"/>
      <c r="V3" s="4" t="e">
        <f t="shared" si="2"/>
        <v>#DIV/0!</v>
      </c>
      <c r="W3" s="83"/>
      <c r="X3" s="84"/>
      <c r="Y3" s="4" t="e">
        <f t="shared" si="3"/>
        <v>#DIV/0!</v>
      </c>
      <c r="Z3" s="83"/>
      <c r="AA3" s="84"/>
      <c r="AB3" s="4" t="e">
        <f t="shared" si="4"/>
        <v>#DIV/0!</v>
      </c>
      <c r="AC3" s="83"/>
      <c r="AD3" s="84"/>
      <c r="AE3" s="4" t="e">
        <f t="shared" si="5"/>
        <v>#DIV/0!</v>
      </c>
      <c r="AF3" s="83"/>
      <c r="AG3" s="84"/>
      <c r="AH3" s="4" t="e">
        <f t="shared" si="6"/>
        <v>#DIV/0!</v>
      </c>
      <c r="AI3" s="6"/>
      <c r="AJ3" s="6"/>
      <c r="AK3" s="4" t="e">
        <f t="shared" ref="AK3:AK56" si="11">+AI3/AJ3</f>
        <v>#DIV/0!</v>
      </c>
      <c r="AL3" s="95">
        <f t="shared" ref="AL3:AL56" si="12">B3+E3+H3+K3+N3</f>
        <v>175</v>
      </c>
      <c r="AM3" s="95">
        <f t="shared" ref="AM3:AM56" si="13">C3+F3+I3+L3+O3</f>
        <v>1948</v>
      </c>
      <c r="AN3" s="4">
        <f t="shared" ref="AN3:AN56" si="14">IFERROR(AL3/AM3,"")</f>
        <v>8.9835728952772073E-2</v>
      </c>
      <c r="AO3" s="98" t="str">
        <f t="shared" ref="AO3:AO56" si="15">IF(AN3&lt;10%,"1","0")</f>
        <v>1</v>
      </c>
      <c r="AS3" s="2" t="s">
        <v>165</v>
      </c>
    </row>
    <row r="4" spans="1:45" x14ac:dyDescent="0.15">
      <c r="A4" s="77" t="s">
        <v>89</v>
      </c>
      <c r="B4" s="154">
        <f>[4]A07!$V$73+[4]A32!$W$37</f>
        <v>0</v>
      </c>
      <c r="C4" s="154">
        <f>'1,6 CN'!C4-'1,6 CN'!B4</f>
        <v>0</v>
      </c>
      <c r="D4" s="4" t="str">
        <f t="shared" si="7"/>
        <v/>
      </c>
      <c r="E4" s="154">
        <f>[5]A07!$V$73+[5]A32!$W$37</f>
        <v>0</v>
      </c>
      <c r="F4" s="154">
        <f>'1,6 CN'!F4-'1,6 CN'!E4</f>
        <v>0</v>
      </c>
      <c r="G4" s="4" t="str">
        <f t="shared" si="8"/>
        <v/>
      </c>
      <c r="H4" s="154">
        <f>[6]A07!$V$73+[6]A32!$W$37</f>
        <v>0</v>
      </c>
      <c r="I4" s="154">
        <f>'1,6 CN'!I4-'1,6 CN'!H4</f>
        <v>0</v>
      </c>
      <c r="J4" s="4" t="str">
        <f t="shared" si="9"/>
        <v/>
      </c>
      <c r="K4" s="154">
        <f>[7]A07!$V$73+[7]A32!$W$37</f>
        <v>0</v>
      </c>
      <c r="L4" s="154">
        <f>'1,6 CN'!L4-'1,6 CN'!K4</f>
        <v>0</v>
      </c>
      <c r="M4" s="4" t="str">
        <f t="shared" si="10"/>
        <v/>
      </c>
      <c r="N4" s="154">
        <f>[8]A07!$V$73+[8]A32!$W$37</f>
        <v>0</v>
      </c>
      <c r="O4" s="154">
        <f>'1,6 CN'!O4-'1,6 CN'!N4</f>
        <v>0</v>
      </c>
      <c r="P4" s="4" t="e">
        <f t="shared" si="0"/>
        <v>#DIV/0!</v>
      </c>
      <c r="Q4" s="83"/>
      <c r="R4" s="84"/>
      <c r="S4" s="4" t="e">
        <f t="shared" si="1"/>
        <v>#DIV/0!</v>
      </c>
      <c r="T4" s="83"/>
      <c r="U4" s="84"/>
      <c r="V4" s="4" t="e">
        <f t="shared" si="2"/>
        <v>#DIV/0!</v>
      </c>
      <c r="W4" s="83"/>
      <c r="X4" s="84"/>
      <c r="Y4" s="4" t="e">
        <f t="shared" si="3"/>
        <v>#DIV/0!</v>
      </c>
      <c r="Z4" s="83"/>
      <c r="AA4" s="84"/>
      <c r="AB4" s="4" t="e">
        <f t="shared" si="4"/>
        <v>#DIV/0!</v>
      </c>
      <c r="AC4" s="83"/>
      <c r="AD4" s="84"/>
      <c r="AE4" s="4" t="e">
        <f t="shared" si="5"/>
        <v>#DIV/0!</v>
      </c>
      <c r="AF4" s="83"/>
      <c r="AG4" s="84"/>
      <c r="AH4" s="4" t="e">
        <f t="shared" si="6"/>
        <v>#DIV/0!</v>
      </c>
      <c r="AI4" s="6"/>
      <c r="AJ4" s="6"/>
      <c r="AK4" s="4" t="e">
        <f t="shared" si="11"/>
        <v>#DIV/0!</v>
      </c>
      <c r="AL4" s="95">
        <f t="shared" si="12"/>
        <v>0</v>
      </c>
      <c r="AM4" s="95">
        <f t="shared" si="13"/>
        <v>0</v>
      </c>
      <c r="AN4" s="4" t="str">
        <f t="shared" si="14"/>
        <v/>
      </c>
      <c r="AO4" s="98" t="str">
        <f t="shared" si="15"/>
        <v>0</v>
      </c>
      <c r="AS4" s="2" t="s">
        <v>165</v>
      </c>
    </row>
    <row r="5" spans="1:45" x14ac:dyDescent="0.15">
      <c r="A5" s="77" t="s">
        <v>90</v>
      </c>
      <c r="B5" s="154">
        <f>[4]A07!$V$74+[4]A32!$W$38</f>
        <v>0</v>
      </c>
      <c r="C5" s="154">
        <f>'1,6 CN'!C5-'1,6 CN'!B5</f>
        <v>0</v>
      </c>
      <c r="D5" s="4" t="str">
        <f t="shared" si="7"/>
        <v/>
      </c>
      <c r="E5" s="154">
        <f>[5]A07!$V$74+[5]A32!$W$38</f>
        <v>0</v>
      </c>
      <c r="F5" s="154">
        <f>'1,6 CN'!F5-'1,6 CN'!E5</f>
        <v>0</v>
      </c>
      <c r="G5" s="4" t="str">
        <f t="shared" si="8"/>
        <v/>
      </c>
      <c r="H5" s="154">
        <f>[6]A07!$V$74+[6]A32!$W$38</f>
        <v>0</v>
      </c>
      <c r="I5" s="154">
        <f>'1,6 CN'!I5-'1,6 CN'!H5</f>
        <v>0</v>
      </c>
      <c r="J5" s="4" t="str">
        <f t="shared" si="9"/>
        <v/>
      </c>
      <c r="K5" s="154">
        <f>[7]A07!$V$74+[7]A32!$W$38</f>
        <v>0</v>
      </c>
      <c r="L5" s="154">
        <f>'1,6 CN'!L5-'1,6 CN'!K5</f>
        <v>0</v>
      </c>
      <c r="M5" s="4" t="str">
        <f t="shared" si="10"/>
        <v/>
      </c>
      <c r="N5" s="154">
        <f>[8]A07!$V$74+[8]A32!$W$38</f>
        <v>0</v>
      </c>
      <c r="O5" s="154">
        <f>'1,6 CN'!O5-'1,6 CN'!N5</f>
        <v>0</v>
      </c>
      <c r="P5" s="4" t="e">
        <f t="shared" si="0"/>
        <v>#DIV/0!</v>
      </c>
      <c r="Q5" s="83"/>
      <c r="R5" s="84"/>
      <c r="S5" s="4" t="e">
        <f t="shared" si="1"/>
        <v>#DIV/0!</v>
      </c>
      <c r="T5" s="83"/>
      <c r="U5" s="84"/>
      <c r="V5" s="4" t="e">
        <f t="shared" si="2"/>
        <v>#DIV/0!</v>
      </c>
      <c r="W5" s="83"/>
      <c r="X5" s="84"/>
      <c r="Y5" s="4" t="e">
        <f t="shared" si="3"/>
        <v>#DIV/0!</v>
      </c>
      <c r="Z5" s="83"/>
      <c r="AA5" s="84"/>
      <c r="AB5" s="4" t="e">
        <f t="shared" si="4"/>
        <v>#DIV/0!</v>
      </c>
      <c r="AC5" s="83"/>
      <c r="AD5" s="84"/>
      <c r="AE5" s="4" t="e">
        <f t="shared" si="5"/>
        <v>#DIV/0!</v>
      </c>
      <c r="AF5" s="83"/>
      <c r="AG5" s="84"/>
      <c r="AH5" s="4" t="e">
        <f t="shared" si="6"/>
        <v>#DIV/0!</v>
      </c>
      <c r="AI5" s="6"/>
      <c r="AJ5" s="6"/>
      <c r="AK5" s="4" t="e">
        <f t="shared" si="11"/>
        <v>#DIV/0!</v>
      </c>
      <c r="AL5" s="95">
        <f t="shared" si="12"/>
        <v>0</v>
      </c>
      <c r="AM5" s="95">
        <f t="shared" si="13"/>
        <v>0</v>
      </c>
      <c r="AN5" s="4" t="str">
        <f t="shared" si="14"/>
        <v/>
      </c>
      <c r="AO5" s="98" t="str">
        <f t="shared" si="15"/>
        <v>0</v>
      </c>
      <c r="AS5" s="2" t="s">
        <v>165</v>
      </c>
    </row>
    <row r="6" spans="1:45" x14ac:dyDescent="0.15">
      <c r="A6" s="77" t="s">
        <v>91</v>
      </c>
      <c r="B6" s="154">
        <f>[4]A07!$V$75+[4]A32!$W$39</f>
        <v>0</v>
      </c>
      <c r="C6" s="154">
        <f>'1,6 CN'!C6-'1,6 CN'!B6</f>
        <v>0</v>
      </c>
      <c r="D6" s="4" t="str">
        <f t="shared" si="7"/>
        <v/>
      </c>
      <c r="E6" s="154">
        <f>[5]A07!$V$75+[5]A32!$W$39</f>
        <v>0</v>
      </c>
      <c r="F6" s="154">
        <f>'1,6 CN'!F6-'1,6 CN'!E6</f>
        <v>0</v>
      </c>
      <c r="G6" s="4" t="str">
        <f t="shared" si="8"/>
        <v/>
      </c>
      <c r="H6" s="154">
        <f>[6]A07!$V$75+[6]A32!$W$39</f>
        <v>0</v>
      </c>
      <c r="I6" s="154">
        <f>'1,6 CN'!I6-'1,6 CN'!H6</f>
        <v>0</v>
      </c>
      <c r="J6" s="4" t="str">
        <f t="shared" si="9"/>
        <v/>
      </c>
      <c r="K6" s="154">
        <f>[7]A07!$V$75+[7]A32!$W$39</f>
        <v>0</v>
      </c>
      <c r="L6" s="154">
        <f>'1,6 CN'!L6-'1,6 CN'!K6</f>
        <v>0</v>
      </c>
      <c r="M6" s="4" t="str">
        <f t="shared" si="10"/>
        <v/>
      </c>
      <c r="N6" s="154">
        <f>[8]A07!$V$75+[8]A32!$W$39</f>
        <v>0</v>
      </c>
      <c r="O6" s="154">
        <f>'1,6 CN'!O6-'1,6 CN'!N6</f>
        <v>0</v>
      </c>
      <c r="P6" s="4" t="e">
        <f t="shared" si="0"/>
        <v>#DIV/0!</v>
      </c>
      <c r="Q6" s="83"/>
      <c r="R6" s="84"/>
      <c r="S6" s="4" t="e">
        <f t="shared" si="1"/>
        <v>#DIV/0!</v>
      </c>
      <c r="T6" s="83"/>
      <c r="U6" s="84"/>
      <c r="V6" s="4" t="e">
        <f t="shared" si="2"/>
        <v>#DIV/0!</v>
      </c>
      <c r="W6" s="83"/>
      <c r="X6" s="84"/>
      <c r="Y6" s="4" t="e">
        <f t="shared" si="3"/>
        <v>#DIV/0!</v>
      </c>
      <c r="Z6" s="83"/>
      <c r="AA6" s="84"/>
      <c r="AB6" s="4" t="e">
        <f t="shared" si="4"/>
        <v>#DIV/0!</v>
      </c>
      <c r="AC6" s="83"/>
      <c r="AD6" s="84"/>
      <c r="AE6" s="4" t="e">
        <f t="shared" si="5"/>
        <v>#DIV/0!</v>
      </c>
      <c r="AF6" s="83"/>
      <c r="AG6" s="84"/>
      <c r="AH6" s="4" t="e">
        <f t="shared" si="6"/>
        <v>#DIV/0!</v>
      </c>
      <c r="AI6" s="6"/>
      <c r="AJ6" s="6"/>
      <c r="AK6" s="4" t="e">
        <f t="shared" si="11"/>
        <v>#DIV/0!</v>
      </c>
      <c r="AL6" s="95">
        <f t="shared" si="12"/>
        <v>0</v>
      </c>
      <c r="AM6" s="95">
        <f t="shared" si="13"/>
        <v>0</v>
      </c>
      <c r="AN6" s="4" t="str">
        <f t="shared" si="14"/>
        <v/>
      </c>
      <c r="AO6" s="98" t="str">
        <f t="shared" si="15"/>
        <v>0</v>
      </c>
      <c r="AS6" s="2" t="s">
        <v>165</v>
      </c>
    </row>
    <row r="7" spans="1:45" x14ac:dyDescent="0.15">
      <c r="A7" s="77" t="s">
        <v>92</v>
      </c>
      <c r="B7" s="154">
        <f>[4]A07!$V$76+[4]A32!$W$40</f>
        <v>5</v>
      </c>
      <c r="C7" s="154">
        <f>'1,6 CN'!C7-'1,6 CN'!B7</f>
        <v>24</v>
      </c>
      <c r="D7" s="4">
        <f t="shared" si="7"/>
        <v>0.20833333333333334</v>
      </c>
      <c r="E7" s="154">
        <f>[5]A07!$V$76+[5]A32!$W$40</f>
        <v>2</v>
      </c>
      <c r="F7" s="154">
        <f>'1,6 CN'!F7-'1,6 CN'!E7</f>
        <v>12</v>
      </c>
      <c r="G7" s="4">
        <f t="shared" si="8"/>
        <v>0.16666666666666666</v>
      </c>
      <c r="H7" s="154">
        <f>[6]A07!$V$76+[6]A32!$W$40</f>
        <v>1</v>
      </c>
      <c r="I7" s="154">
        <f>'1,6 CN'!I7-'1,6 CN'!H7</f>
        <v>28</v>
      </c>
      <c r="J7" s="4">
        <f t="shared" si="9"/>
        <v>3.5714285714285712E-2</v>
      </c>
      <c r="K7" s="154">
        <f>[7]A07!$V$76+[7]A32!$W$40</f>
        <v>1</v>
      </c>
      <c r="L7" s="154">
        <f>'1,6 CN'!L7-'1,6 CN'!K7</f>
        <v>27</v>
      </c>
      <c r="M7" s="4">
        <f t="shared" si="10"/>
        <v>3.7037037037037035E-2</v>
      </c>
      <c r="N7" s="154">
        <f>[8]A07!$V$76+[8]A32!$W$40</f>
        <v>1</v>
      </c>
      <c r="O7" s="154">
        <f>'1,6 CN'!O7-'1,6 CN'!N7</f>
        <v>27</v>
      </c>
      <c r="P7" s="4">
        <f t="shared" si="0"/>
        <v>3.7037037037037035E-2</v>
      </c>
      <c r="Q7" s="83"/>
      <c r="R7" s="84"/>
      <c r="S7" s="4" t="e">
        <f t="shared" si="1"/>
        <v>#DIV/0!</v>
      </c>
      <c r="T7" s="83"/>
      <c r="U7" s="84"/>
      <c r="V7" s="4" t="e">
        <f t="shared" si="2"/>
        <v>#DIV/0!</v>
      </c>
      <c r="W7" s="83"/>
      <c r="X7" s="84"/>
      <c r="Y7" s="4" t="e">
        <f t="shared" si="3"/>
        <v>#DIV/0!</v>
      </c>
      <c r="Z7" s="83"/>
      <c r="AA7" s="84"/>
      <c r="AB7" s="4" t="e">
        <f t="shared" si="4"/>
        <v>#DIV/0!</v>
      </c>
      <c r="AC7" s="83"/>
      <c r="AD7" s="84"/>
      <c r="AE7" s="4" t="e">
        <f t="shared" si="5"/>
        <v>#DIV/0!</v>
      </c>
      <c r="AF7" s="83"/>
      <c r="AG7" s="84"/>
      <c r="AH7" s="4" t="e">
        <f t="shared" si="6"/>
        <v>#DIV/0!</v>
      </c>
      <c r="AI7" s="6"/>
      <c r="AJ7" s="6"/>
      <c r="AK7" s="4" t="e">
        <f t="shared" si="11"/>
        <v>#DIV/0!</v>
      </c>
      <c r="AL7" s="95">
        <f t="shared" si="12"/>
        <v>10</v>
      </c>
      <c r="AM7" s="95">
        <f t="shared" si="13"/>
        <v>118</v>
      </c>
      <c r="AN7" s="4">
        <f t="shared" si="14"/>
        <v>8.4745762711864403E-2</v>
      </c>
      <c r="AO7" s="98" t="str">
        <f t="shared" si="15"/>
        <v>1</v>
      </c>
      <c r="AS7" s="2" t="s">
        <v>165</v>
      </c>
    </row>
    <row r="8" spans="1:45" x14ac:dyDescent="0.15">
      <c r="A8" s="77" t="s">
        <v>93</v>
      </c>
      <c r="B8" s="154">
        <f>[4]A07!$V$77+[4]A32!$W$41</f>
        <v>11</v>
      </c>
      <c r="C8" s="154">
        <f>'1,6 CN'!C8-'1,6 CN'!B8</f>
        <v>182</v>
      </c>
      <c r="D8" s="4">
        <f t="shared" si="7"/>
        <v>6.043956043956044E-2</v>
      </c>
      <c r="E8" s="154">
        <f>[5]A07!$V$77+[5]A32!$W$41</f>
        <v>1</v>
      </c>
      <c r="F8" s="154">
        <f>'1,6 CN'!F8-'1,6 CN'!E8</f>
        <v>148</v>
      </c>
      <c r="G8" s="4">
        <f t="shared" si="8"/>
        <v>6.7567567567567571E-3</v>
      </c>
      <c r="H8" s="154">
        <f>[6]A07!$V$77+[6]A32!$W$41</f>
        <v>11</v>
      </c>
      <c r="I8" s="154">
        <f>'1,6 CN'!I8-'1,6 CN'!H8</f>
        <v>173</v>
      </c>
      <c r="J8" s="4">
        <f t="shared" si="9"/>
        <v>6.358381502890173E-2</v>
      </c>
      <c r="K8" s="154">
        <f>[7]A07!$V$77+[7]A32!$W$41</f>
        <v>9</v>
      </c>
      <c r="L8" s="154">
        <f>'1,6 CN'!L8-'1,6 CN'!K8</f>
        <v>171</v>
      </c>
      <c r="M8" s="4">
        <f t="shared" si="10"/>
        <v>5.2631578947368418E-2</v>
      </c>
      <c r="N8" s="154">
        <f>[8]A07!$V$77+[8]A32!$W$41</f>
        <v>8</v>
      </c>
      <c r="O8" s="154">
        <f>'1,6 CN'!O8-'1,6 CN'!N8</f>
        <v>181</v>
      </c>
      <c r="P8" s="4">
        <f t="shared" si="0"/>
        <v>4.4198895027624308E-2</v>
      </c>
      <c r="Q8" s="83"/>
      <c r="R8" s="84"/>
      <c r="S8" s="4" t="e">
        <f t="shared" si="1"/>
        <v>#DIV/0!</v>
      </c>
      <c r="T8" s="83"/>
      <c r="U8" s="84"/>
      <c r="V8" s="4" t="e">
        <f t="shared" si="2"/>
        <v>#DIV/0!</v>
      </c>
      <c r="W8" s="83"/>
      <c r="X8" s="84"/>
      <c r="Y8" s="4" t="e">
        <f t="shared" si="3"/>
        <v>#DIV/0!</v>
      </c>
      <c r="Z8" s="83"/>
      <c r="AA8" s="84"/>
      <c r="AB8" s="4" t="e">
        <f t="shared" si="4"/>
        <v>#DIV/0!</v>
      </c>
      <c r="AC8" s="83"/>
      <c r="AD8" s="84"/>
      <c r="AE8" s="4" t="e">
        <f t="shared" si="5"/>
        <v>#DIV/0!</v>
      </c>
      <c r="AF8" s="83"/>
      <c r="AG8" s="84"/>
      <c r="AH8" s="4" t="e">
        <f t="shared" si="6"/>
        <v>#DIV/0!</v>
      </c>
      <c r="AI8" s="6"/>
      <c r="AJ8" s="6"/>
      <c r="AK8" s="4" t="e">
        <f t="shared" si="11"/>
        <v>#DIV/0!</v>
      </c>
      <c r="AL8" s="95">
        <f t="shared" si="12"/>
        <v>40</v>
      </c>
      <c r="AM8" s="95">
        <f t="shared" si="13"/>
        <v>855</v>
      </c>
      <c r="AN8" s="4">
        <f t="shared" si="14"/>
        <v>4.6783625730994149E-2</v>
      </c>
      <c r="AO8" s="98" t="str">
        <f t="shared" si="15"/>
        <v>1</v>
      </c>
      <c r="AS8" s="2" t="s">
        <v>165</v>
      </c>
    </row>
    <row r="9" spans="1:45" x14ac:dyDescent="0.15">
      <c r="A9" s="77" t="s">
        <v>94</v>
      </c>
      <c r="B9" s="154">
        <f>[4]A07!$V$78+[4]A32!$W$42</f>
        <v>2</v>
      </c>
      <c r="C9" s="154">
        <f>'1,6 CN'!C9-'1,6 CN'!B9</f>
        <v>71</v>
      </c>
      <c r="D9" s="4">
        <f t="shared" si="7"/>
        <v>2.8169014084507043E-2</v>
      </c>
      <c r="E9" s="154">
        <f>[5]A07!$V$78+[5]A32!$W$42</f>
        <v>2</v>
      </c>
      <c r="F9" s="154">
        <f>'1,6 CN'!F9-'1,6 CN'!E9</f>
        <v>77</v>
      </c>
      <c r="G9" s="4">
        <f t="shared" si="8"/>
        <v>2.5974025974025976E-2</v>
      </c>
      <c r="H9" s="154">
        <f>[6]A07!$V$78+[6]A32!$W$42</f>
        <v>0</v>
      </c>
      <c r="I9" s="154">
        <f>'1,6 CN'!I9-'1,6 CN'!H9</f>
        <v>68</v>
      </c>
      <c r="J9" s="4">
        <f t="shared" si="9"/>
        <v>0</v>
      </c>
      <c r="K9" s="154">
        <f>[7]A07!$V$78+[7]A32!$W$42</f>
        <v>3</v>
      </c>
      <c r="L9" s="154">
        <f>'1,6 CN'!L9-'1,6 CN'!K9</f>
        <v>66</v>
      </c>
      <c r="M9" s="4">
        <f t="shared" si="10"/>
        <v>4.5454545454545456E-2</v>
      </c>
      <c r="N9" s="154">
        <f>[8]A07!$V$78+[8]A32!$W$42</f>
        <v>2</v>
      </c>
      <c r="O9" s="154">
        <f>'1,6 CN'!O9-'1,6 CN'!N9</f>
        <v>61</v>
      </c>
      <c r="P9" s="4">
        <f t="shared" si="0"/>
        <v>3.2786885245901641E-2</v>
      </c>
      <c r="Q9" s="83"/>
      <c r="R9" s="84"/>
      <c r="S9" s="4" t="e">
        <f t="shared" si="1"/>
        <v>#DIV/0!</v>
      </c>
      <c r="T9" s="83"/>
      <c r="U9" s="84"/>
      <c r="V9" s="4" t="e">
        <f t="shared" si="2"/>
        <v>#DIV/0!</v>
      </c>
      <c r="W9" s="83"/>
      <c r="X9" s="84"/>
      <c r="Y9" s="4" t="e">
        <f t="shared" si="3"/>
        <v>#DIV/0!</v>
      </c>
      <c r="Z9" s="83"/>
      <c r="AA9" s="84"/>
      <c r="AB9" s="4" t="e">
        <f t="shared" si="4"/>
        <v>#DIV/0!</v>
      </c>
      <c r="AC9" s="83"/>
      <c r="AD9" s="84"/>
      <c r="AE9" s="4" t="e">
        <f t="shared" si="5"/>
        <v>#DIV/0!</v>
      </c>
      <c r="AF9" s="83"/>
      <c r="AG9" s="84"/>
      <c r="AH9" s="4" t="e">
        <f t="shared" si="6"/>
        <v>#DIV/0!</v>
      </c>
      <c r="AI9" s="6"/>
      <c r="AJ9" s="6"/>
      <c r="AK9" s="4" t="e">
        <f t="shared" si="11"/>
        <v>#DIV/0!</v>
      </c>
      <c r="AL9" s="95">
        <f t="shared" si="12"/>
        <v>9</v>
      </c>
      <c r="AM9" s="95">
        <f t="shared" si="13"/>
        <v>343</v>
      </c>
      <c r="AN9" s="4">
        <f t="shared" si="14"/>
        <v>2.6239067055393587E-2</v>
      </c>
      <c r="AO9" s="98" t="str">
        <f t="shared" si="15"/>
        <v>1</v>
      </c>
      <c r="AS9" s="2" t="s">
        <v>165</v>
      </c>
    </row>
    <row r="10" spans="1:45" x14ac:dyDescent="0.15">
      <c r="A10" s="77" t="s">
        <v>95</v>
      </c>
      <c r="B10" s="154">
        <f>[4]A07!$V$79+[4]A32!$W$43</f>
        <v>0</v>
      </c>
      <c r="C10" s="154">
        <f>'1,6 CN'!C10-'1,6 CN'!B10</f>
        <v>0</v>
      </c>
      <c r="D10" s="4" t="str">
        <f t="shared" si="7"/>
        <v/>
      </c>
      <c r="E10" s="154">
        <f>[5]A07!$V$79+[5]A32!$W$43</f>
        <v>0</v>
      </c>
      <c r="F10" s="154">
        <f>'1,6 CN'!F10-'1,6 CN'!E10</f>
        <v>0</v>
      </c>
      <c r="G10" s="4" t="str">
        <f t="shared" si="8"/>
        <v/>
      </c>
      <c r="H10" s="154">
        <f>[6]A07!$V$79+[6]A32!$W$43</f>
        <v>0</v>
      </c>
      <c r="I10" s="154">
        <f>'1,6 CN'!I10-'1,6 CN'!H10</f>
        <v>0</v>
      </c>
      <c r="J10" s="4" t="str">
        <f t="shared" si="9"/>
        <v/>
      </c>
      <c r="K10" s="154">
        <f>[7]A07!$V$79+[7]A32!$W$43</f>
        <v>0</v>
      </c>
      <c r="L10" s="154">
        <f>'1,6 CN'!L10-'1,6 CN'!K10</f>
        <v>0</v>
      </c>
      <c r="M10" s="4" t="str">
        <f t="shared" si="10"/>
        <v/>
      </c>
      <c r="N10" s="154">
        <f>[8]A07!$V$79+[8]A32!$W$43</f>
        <v>0</v>
      </c>
      <c r="O10" s="154">
        <f>'1,6 CN'!O10-'1,6 CN'!N10</f>
        <v>0</v>
      </c>
      <c r="P10" s="4" t="e">
        <f t="shared" si="0"/>
        <v>#DIV/0!</v>
      </c>
      <c r="Q10" s="83"/>
      <c r="R10" s="84"/>
      <c r="S10" s="4" t="e">
        <f t="shared" si="1"/>
        <v>#DIV/0!</v>
      </c>
      <c r="T10" s="83"/>
      <c r="U10" s="84"/>
      <c r="V10" s="4" t="e">
        <f t="shared" si="2"/>
        <v>#DIV/0!</v>
      </c>
      <c r="W10" s="83"/>
      <c r="X10" s="84"/>
      <c r="Y10" s="4" t="e">
        <f t="shared" si="3"/>
        <v>#DIV/0!</v>
      </c>
      <c r="Z10" s="83"/>
      <c r="AA10" s="84"/>
      <c r="AB10" s="4" t="e">
        <f t="shared" si="4"/>
        <v>#DIV/0!</v>
      </c>
      <c r="AC10" s="83"/>
      <c r="AD10" s="84"/>
      <c r="AE10" s="4" t="e">
        <f t="shared" si="5"/>
        <v>#DIV/0!</v>
      </c>
      <c r="AF10" s="83"/>
      <c r="AG10" s="84"/>
      <c r="AH10" s="4" t="e">
        <f t="shared" si="6"/>
        <v>#DIV/0!</v>
      </c>
      <c r="AI10" s="6"/>
      <c r="AJ10" s="6"/>
      <c r="AK10" s="4" t="e">
        <f t="shared" si="11"/>
        <v>#DIV/0!</v>
      </c>
      <c r="AL10" s="95">
        <f t="shared" si="12"/>
        <v>0</v>
      </c>
      <c r="AM10" s="95">
        <f t="shared" si="13"/>
        <v>0</v>
      </c>
      <c r="AN10" s="4" t="str">
        <f t="shared" si="14"/>
        <v/>
      </c>
      <c r="AO10" s="98" t="str">
        <f t="shared" si="15"/>
        <v>0</v>
      </c>
      <c r="AS10" s="2" t="s">
        <v>165</v>
      </c>
    </row>
    <row r="11" spans="1:45" x14ac:dyDescent="0.15">
      <c r="A11" s="77" t="s">
        <v>96</v>
      </c>
      <c r="B11" s="154">
        <f>[4]A07!$V$80+[4]A32!$W$44</f>
        <v>0</v>
      </c>
      <c r="C11" s="154">
        <f>'1,6 CN'!C11-'1,6 CN'!B11</f>
        <v>0</v>
      </c>
      <c r="D11" s="4" t="str">
        <f t="shared" si="7"/>
        <v/>
      </c>
      <c r="E11" s="154">
        <f>[5]A07!$V$80+[5]A32!$W$44</f>
        <v>0</v>
      </c>
      <c r="F11" s="154">
        <f>'1,6 CN'!F11-'1,6 CN'!E11</f>
        <v>0</v>
      </c>
      <c r="G11" s="4" t="str">
        <f t="shared" si="8"/>
        <v/>
      </c>
      <c r="H11" s="154">
        <f>[6]A07!$V$80+[6]A32!$W$44</f>
        <v>0</v>
      </c>
      <c r="I11" s="154">
        <f>'1,6 CN'!I11-'1,6 CN'!H11</f>
        <v>0</v>
      </c>
      <c r="J11" s="4" t="str">
        <f t="shared" si="9"/>
        <v/>
      </c>
      <c r="K11" s="154">
        <f>[7]A07!$V$80+[7]A32!$W$44</f>
        <v>0</v>
      </c>
      <c r="L11" s="154">
        <f>'1,6 CN'!L11-'1,6 CN'!K11</f>
        <v>0</v>
      </c>
      <c r="M11" s="4" t="str">
        <f t="shared" si="10"/>
        <v/>
      </c>
      <c r="N11" s="154">
        <f>[8]A07!$V$80+[8]A32!$W$44</f>
        <v>0</v>
      </c>
      <c r="O11" s="154">
        <f>'1,6 CN'!O11-'1,6 CN'!N11</f>
        <v>0</v>
      </c>
      <c r="P11" s="4" t="e">
        <f t="shared" si="0"/>
        <v>#DIV/0!</v>
      </c>
      <c r="Q11" s="83"/>
      <c r="R11" s="84"/>
      <c r="S11" s="4" t="e">
        <f t="shared" si="1"/>
        <v>#DIV/0!</v>
      </c>
      <c r="T11" s="83"/>
      <c r="U11" s="84"/>
      <c r="V11" s="4" t="e">
        <f t="shared" si="2"/>
        <v>#DIV/0!</v>
      </c>
      <c r="W11" s="83"/>
      <c r="X11" s="84"/>
      <c r="Y11" s="4" t="e">
        <f t="shared" si="3"/>
        <v>#DIV/0!</v>
      </c>
      <c r="Z11" s="83"/>
      <c r="AA11" s="84"/>
      <c r="AB11" s="4" t="e">
        <f t="shared" si="4"/>
        <v>#DIV/0!</v>
      </c>
      <c r="AC11" s="83"/>
      <c r="AD11" s="84"/>
      <c r="AE11" s="4" t="e">
        <f t="shared" si="5"/>
        <v>#DIV/0!</v>
      </c>
      <c r="AF11" s="83"/>
      <c r="AG11" s="84"/>
      <c r="AH11" s="4" t="e">
        <f t="shared" si="6"/>
        <v>#DIV/0!</v>
      </c>
      <c r="AI11" s="6"/>
      <c r="AJ11" s="6"/>
      <c r="AK11" s="4" t="e">
        <f t="shared" si="11"/>
        <v>#DIV/0!</v>
      </c>
      <c r="AL11" s="95">
        <f t="shared" si="12"/>
        <v>0</v>
      </c>
      <c r="AM11" s="95">
        <f t="shared" si="13"/>
        <v>0</v>
      </c>
      <c r="AN11" s="4" t="str">
        <f t="shared" si="14"/>
        <v/>
      </c>
      <c r="AO11" s="98" t="str">
        <f t="shared" si="15"/>
        <v>0</v>
      </c>
      <c r="AS11" s="2" t="s">
        <v>165</v>
      </c>
    </row>
    <row r="12" spans="1:45" x14ac:dyDescent="0.15">
      <c r="A12" s="77" t="s">
        <v>97</v>
      </c>
      <c r="B12" s="154">
        <f>[4]A07!$V$81+[4]A32!$W$45</f>
        <v>1</v>
      </c>
      <c r="C12" s="154">
        <f>'1,6 CN'!C12-'1,6 CN'!B12</f>
        <v>5</v>
      </c>
      <c r="D12" s="4">
        <f t="shared" si="7"/>
        <v>0.2</v>
      </c>
      <c r="E12" s="154">
        <f>[5]A07!$V$81+[5]A32!$W$45</f>
        <v>0</v>
      </c>
      <c r="F12" s="154">
        <f>'1,6 CN'!F12-'1,6 CN'!E12</f>
        <v>0</v>
      </c>
      <c r="G12" s="4" t="str">
        <f t="shared" si="8"/>
        <v/>
      </c>
      <c r="H12" s="154">
        <f>[6]A07!$V$81+[6]A32!$W$45</f>
        <v>4</v>
      </c>
      <c r="I12" s="154">
        <f>'1,6 CN'!I12-'1,6 CN'!H12</f>
        <v>22</v>
      </c>
      <c r="J12" s="4">
        <f t="shared" si="9"/>
        <v>0.18181818181818182</v>
      </c>
      <c r="K12" s="154">
        <f>[7]A07!$V$81+[7]A32!$W$45</f>
        <v>1</v>
      </c>
      <c r="L12" s="154">
        <f>'1,6 CN'!L12-'1,6 CN'!K12</f>
        <v>16</v>
      </c>
      <c r="M12" s="4">
        <f t="shared" si="10"/>
        <v>6.25E-2</v>
      </c>
      <c r="N12" s="154">
        <f>[8]A07!$V$81+[8]A32!$W$45</f>
        <v>1</v>
      </c>
      <c r="O12" s="154">
        <f>'1,6 CN'!O12-'1,6 CN'!N12</f>
        <v>9</v>
      </c>
      <c r="P12" s="4">
        <f t="shared" si="0"/>
        <v>0.1111111111111111</v>
      </c>
      <c r="Q12" s="83"/>
      <c r="R12" s="84"/>
      <c r="S12" s="4" t="e">
        <f t="shared" si="1"/>
        <v>#DIV/0!</v>
      </c>
      <c r="T12" s="83"/>
      <c r="U12" s="84"/>
      <c r="V12" s="4" t="e">
        <f t="shared" si="2"/>
        <v>#DIV/0!</v>
      </c>
      <c r="W12" s="83"/>
      <c r="X12" s="84"/>
      <c r="Y12" s="4" t="e">
        <f t="shared" si="3"/>
        <v>#DIV/0!</v>
      </c>
      <c r="Z12" s="83"/>
      <c r="AA12" s="84"/>
      <c r="AB12" s="4" t="e">
        <f t="shared" si="4"/>
        <v>#DIV/0!</v>
      </c>
      <c r="AC12" s="83"/>
      <c r="AD12" s="84"/>
      <c r="AE12" s="4" t="e">
        <f t="shared" si="5"/>
        <v>#DIV/0!</v>
      </c>
      <c r="AF12" s="83"/>
      <c r="AG12" s="84"/>
      <c r="AH12" s="4" t="e">
        <f t="shared" si="6"/>
        <v>#DIV/0!</v>
      </c>
      <c r="AI12" s="6"/>
      <c r="AJ12" s="6"/>
      <c r="AK12" s="4" t="e">
        <f t="shared" si="11"/>
        <v>#DIV/0!</v>
      </c>
      <c r="AL12" s="95">
        <f t="shared" si="12"/>
        <v>7</v>
      </c>
      <c r="AM12" s="95">
        <f t="shared" si="13"/>
        <v>52</v>
      </c>
      <c r="AN12" s="4">
        <f t="shared" si="14"/>
        <v>0.13461538461538461</v>
      </c>
      <c r="AO12" s="98" t="str">
        <f t="shared" si="15"/>
        <v>0</v>
      </c>
      <c r="AS12" s="2" t="s">
        <v>165</v>
      </c>
    </row>
    <row r="13" spans="1:45" x14ac:dyDescent="0.15">
      <c r="A13" s="77" t="s">
        <v>98</v>
      </c>
      <c r="B13" s="154">
        <f>[4]A07!$V$82+[4]A32!$W$46</f>
        <v>0</v>
      </c>
      <c r="C13" s="154">
        <f>'1,6 CN'!C13-'1,6 CN'!B13</f>
        <v>0</v>
      </c>
      <c r="D13" s="4" t="str">
        <f t="shared" si="7"/>
        <v/>
      </c>
      <c r="E13" s="154">
        <f>[5]A07!$V$82+[5]A32!$W$46</f>
        <v>0</v>
      </c>
      <c r="F13" s="154">
        <f>'1,6 CN'!F13-'1,6 CN'!E13</f>
        <v>0</v>
      </c>
      <c r="G13" s="4" t="str">
        <f t="shared" si="8"/>
        <v/>
      </c>
      <c r="H13" s="154">
        <f>[6]A07!$V$82+[6]A32!$W$46</f>
        <v>0</v>
      </c>
      <c r="I13" s="154">
        <f>'1,6 CN'!I13-'1,6 CN'!H13</f>
        <v>0</v>
      </c>
      <c r="J13" s="4" t="str">
        <f t="shared" si="9"/>
        <v/>
      </c>
      <c r="K13" s="154">
        <f>[7]A07!$V$82+[7]A32!$W$46</f>
        <v>0</v>
      </c>
      <c r="L13" s="154">
        <f>'1,6 CN'!L13-'1,6 CN'!K13</f>
        <v>0</v>
      </c>
      <c r="M13" s="4" t="str">
        <f t="shared" si="10"/>
        <v/>
      </c>
      <c r="N13" s="154">
        <f>[8]A07!$V$82+[8]A32!$W$46</f>
        <v>0</v>
      </c>
      <c r="O13" s="154">
        <f>'1,6 CN'!O13-'1,6 CN'!N13</f>
        <v>0</v>
      </c>
      <c r="P13" s="4" t="e">
        <f t="shared" si="0"/>
        <v>#DIV/0!</v>
      </c>
      <c r="Q13" s="83"/>
      <c r="R13" s="84"/>
      <c r="S13" s="4" t="e">
        <f t="shared" si="1"/>
        <v>#DIV/0!</v>
      </c>
      <c r="T13" s="83"/>
      <c r="U13" s="84"/>
      <c r="V13" s="4" t="e">
        <f t="shared" si="2"/>
        <v>#DIV/0!</v>
      </c>
      <c r="W13" s="83"/>
      <c r="X13" s="84"/>
      <c r="Y13" s="4" t="e">
        <f t="shared" si="3"/>
        <v>#DIV/0!</v>
      </c>
      <c r="Z13" s="83"/>
      <c r="AA13" s="84"/>
      <c r="AB13" s="4" t="e">
        <f t="shared" si="4"/>
        <v>#DIV/0!</v>
      </c>
      <c r="AC13" s="83"/>
      <c r="AD13" s="84"/>
      <c r="AE13" s="4" t="e">
        <f t="shared" si="5"/>
        <v>#DIV/0!</v>
      </c>
      <c r="AF13" s="83"/>
      <c r="AG13" s="84"/>
      <c r="AH13" s="4" t="e">
        <f t="shared" si="6"/>
        <v>#DIV/0!</v>
      </c>
      <c r="AI13" s="6"/>
      <c r="AJ13" s="6"/>
      <c r="AK13" s="4" t="e">
        <f t="shared" si="11"/>
        <v>#DIV/0!</v>
      </c>
      <c r="AL13" s="95">
        <f t="shared" si="12"/>
        <v>0</v>
      </c>
      <c r="AM13" s="95">
        <f t="shared" si="13"/>
        <v>0</v>
      </c>
      <c r="AN13" s="4" t="str">
        <f t="shared" si="14"/>
        <v/>
      </c>
      <c r="AO13" s="98" t="str">
        <f t="shared" si="15"/>
        <v>0</v>
      </c>
      <c r="AS13" s="2" t="s">
        <v>165</v>
      </c>
    </row>
    <row r="14" spans="1:45" x14ac:dyDescent="0.15">
      <c r="A14" s="77" t="s">
        <v>99</v>
      </c>
      <c r="B14" s="154">
        <f>[4]A07!$V$83+[4]A32!$W$47</f>
        <v>0</v>
      </c>
      <c r="C14" s="154">
        <f>'1,6 CN'!C14-'1,6 CN'!B14</f>
        <v>0</v>
      </c>
      <c r="D14" s="4" t="str">
        <f t="shared" si="7"/>
        <v/>
      </c>
      <c r="E14" s="154">
        <f>[5]A07!$V$83+[5]A32!$W$47</f>
        <v>0</v>
      </c>
      <c r="F14" s="154">
        <f>'1,6 CN'!F14-'1,6 CN'!E14</f>
        <v>0</v>
      </c>
      <c r="G14" s="4" t="str">
        <f t="shared" si="8"/>
        <v/>
      </c>
      <c r="H14" s="154">
        <f>[6]A07!$V$83+[6]A32!$W$47</f>
        <v>0</v>
      </c>
      <c r="I14" s="154">
        <f>'1,6 CN'!I14-'1,6 CN'!H14</f>
        <v>0</v>
      </c>
      <c r="J14" s="4" t="str">
        <f t="shared" si="9"/>
        <v/>
      </c>
      <c r="K14" s="154">
        <f>[7]A07!$V$83+[7]A32!$W$47</f>
        <v>0</v>
      </c>
      <c r="L14" s="154">
        <f>'1,6 CN'!L14-'1,6 CN'!K14</f>
        <v>0</v>
      </c>
      <c r="M14" s="4" t="str">
        <f t="shared" si="10"/>
        <v/>
      </c>
      <c r="N14" s="154">
        <f>[8]A07!$V$83+[8]A32!$W$47</f>
        <v>0</v>
      </c>
      <c r="O14" s="154">
        <f>'1,6 CN'!O14-'1,6 CN'!N14</f>
        <v>0</v>
      </c>
      <c r="P14" s="4" t="e">
        <f t="shared" si="0"/>
        <v>#DIV/0!</v>
      </c>
      <c r="Q14" s="83"/>
      <c r="R14" s="84"/>
      <c r="S14" s="4" t="e">
        <f t="shared" si="1"/>
        <v>#DIV/0!</v>
      </c>
      <c r="T14" s="83"/>
      <c r="U14" s="84"/>
      <c r="V14" s="4" t="e">
        <f t="shared" si="2"/>
        <v>#DIV/0!</v>
      </c>
      <c r="W14" s="83"/>
      <c r="X14" s="84"/>
      <c r="Y14" s="4" t="e">
        <f t="shared" si="3"/>
        <v>#DIV/0!</v>
      </c>
      <c r="Z14" s="83"/>
      <c r="AA14" s="84"/>
      <c r="AB14" s="4" t="e">
        <f t="shared" si="4"/>
        <v>#DIV/0!</v>
      </c>
      <c r="AC14" s="83"/>
      <c r="AD14" s="84"/>
      <c r="AE14" s="4" t="e">
        <f t="shared" si="5"/>
        <v>#DIV/0!</v>
      </c>
      <c r="AF14" s="83"/>
      <c r="AG14" s="84"/>
      <c r="AH14" s="4" t="e">
        <f t="shared" si="6"/>
        <v>#DIV/0!</v>
      </c>
      <c r="AI14" s="6"/>
      <c r="AJ14" s="6"/>
      <c r="AK14" s="4" t="e">
        <f t="shared" si="11"/>
        <v>#DIV/0!</v>
      </c>
      <c r="AL14" s="95">
        <f t="shared" si="12"/>
        <v>0</v>
      </c>
      <c r="AM14" s="95">
        <f t="shared" si="13"/>
        <v>0</v>
      </c>
      <c r="AN14" s="4" t="str">
        <f t="shared" si="14"/>
        <v/>
      </c>
      <c r="AO14" s="98" t="str">
        <f t="shared" si="15"/>
        <v>0</v>
      </c>
      <c r="AS14" s="2" t="s">
        <v>165</v>
      </c>
    </row>
    <row r="15" spans="1:45" x14ac:dyDescent="0.15">
      <c r="A15" s="78" t="s">
        <v>100</v>
      </c>
      <c r="B15" s="154">
        <f>[4]A07!$V$84+[4]A32!$W$48</f>
        <v>0</v>
      </c>
      <c r="C15" s="154">
        <f>'1,6 CN'!C15-'1,6 CN'!B15</f>
        <v>0</v>
      </c>
      <c r="D15" s="4" t="str">
        <f t="shared" si="7"/>
        <v/>
      </c>
      <c r="E15" s="154">
        <f>[5]A07!$V$84+[5]A32!$W$48</f>
        <v>0</v>
      </c>
      <c r="F15" s="154">
        <f>'1,6 CN'!F15-'1,6 CN'!E15</f>
        <v>0</v>
      </c>
      <c r="G15" s="4" t="str">
        <f t="shared" si="8"/>
        <v/>
      </c>
      <c r="H15" s="154">
        <f>[6]A07!$V$84+[6]A32!$W$48</f>
        <v>0</v>
      </c>
      <c r="I15" s="154">
        <f>'1,6 CN'!I15-'1,6 CN'!H15</f>
        <v>0</v>
      </c>
      <c r="J15" s="4" t="str">
        <f t="shared" si="9"/>
        <v/>
      </c>
      <c r="K15" s="154">
        <f>[7]A07!$V$84+[7]A32!$W$48</f>
        <v>0</v>
      </c>
      <c r="L15" s="154">
        <f>'1,6 CN'!L15-'1,6 CN'!K15</f>
        <v>0</v>
      </c>
      <c r="M15" s="4" t="str">
        <f t="shared" si="10"/>
        <v/>
      </c>
      <c r="N15" s="154">
        <f>[8]A07!$V$84+[8]A32!$W$48</f>
        <v>0</v>
      </c>
      <c r="O15" s="154">
        <f>'1,6 CN'!O15-'1,6 CN'!N15</f>
        <v>0</v>
      </c>
      <c r="P15" s="4" t="e">
        <f t="shared" si="0"/>
        <v>#DIV/0!</v>
      </c>
      <c r="Q15" s="83"/>
      <c r="R15" s="84"/>
      <c r="S15" s="4" t="e">
        <f t="shared" si="1"/>
        <v>#DIV/0!</v>
      </c>
      <c r="T15" s="83"/>
      <c r="U15" s="84"/>
      <c r="V15" s="4" t="e">
        <f t="shared" si="2"/>
        <v>#DIV/0!</v>
      </c>
      <c r="W15" s="83"/>
      <c r="X15" s="84"/>
      <c r="Y15" s="4" t="e">
        <f t="shared" si="3"/>
        <v>#DIV/0!</v>
      </c>
      <c r="Z15" s="83"/>
      <c r="AA15" s="84"/>
      <c r="AB15" s="4" t="e">
        <f t="shared" si="4"/>
        <v>#DIV/0!</v>
      </c>
      <c r="AC15" s="83"/>
      <c r="AD15" s="84"/>
      <c r="AE15" s="4" t="e">
        <f t="shared" si="5"/>
        <v>#DIV/0!</v>
      </c>
      <c r="AF15" s="83"/>
      <c r="AG15" s="84"/>
      <c r="AH15" s="4" t="e">
        <f t="shared" si="6"/>
        <v>#DIV/0!</v>
      </c>
      <c r="AI15" s="6"/>
      <c r="AJ15" s="6"/>
      <c r="AK15" s="4" t="e">
        <f t="shared" si="11"/>
        <v>#DIV/0!</v>
      </c>
      <c r="AL15" s="95">
        <f t="shared" si="12"/>
        <v>0</v>
      </c>
      <c r="AM15" s="95">
        <f t="shared" si="13"/>
        <v>0</v>
      </c>
      <c r="AN15" s="4" t="str">
        <f t="shared" si="14"/>
        <v/>
      </c>
      <c r="AO15" s="98" t="str">
        <f t="shared" si="15"/>
        <v>0</v>
      </c>
      <c r="AS15" s="2" t="s">
        <v>165</v>
      </c>
    </row>
    <row r="16" spans="1:45" x14ac:dyDescent="0.15">
      <c r="A16" s="77" t="s">
        <v>101</v>
      </c>
      <c r="B16" s="154">
        <f>[4]A07!$V$85+[4]A32!$W$49</f>
        <v>0</v>
      </c>
      <c r="C16" s="154">
        <f>'1,6 CN'!C16-'1,6 CN'!B16</f>
        <v>0</v>
      </c>
      <c r="D16" s="4" t="str">
        <f t="shared" si="7"/>
        <v/>
      </c>
      <c r="E16" s="154">
        <f>[5]A07!$V$85+[5]A32!$W$49</f>
        <v>0</v>
      </c>
      <c r="F16" s="154">
        <f>'1,6 CN'!F16-'1,6 CN'!E16</f>
        <v>0</v>
      </c>
      <c r="G16" s="4" t="str">
        <f t="shared" si="8"/>
        <v/>
      </c>
      <c r="H16" s="154">
        <f>[6]A07!$V$85+[6]A32!$W$49</f>
        <v>0</v>
      </c>
      <c r="I16" s="154">
        <f>'1,6 CN'!I16-'1,6 CN'!H16</f>
        <v>0</v>
      </c>
      <c r="J16" s="4" t="str">
        <f t="shared" si="9"/>
        <v/>
      </c>
      <c r="K16" s="154">
        <f>[7]A07!$V$85+[7]A32!$W$49</f>
        <v>0</v>
      </c>
      <c r="L16" s="154">
        <f>'1,6 CN'!L16-'1,6 CN'!K16</f>
        <v>0</v>
      </c>
      <c r="M16" s="4" t="str">
        <f t="shared" si="10"/>
        <v/>
      </c>
      <c r="N16" s="154">
        <f>[8]A07!$V$85+[8]A32!$W$49</f>
        <v>0</v>
      </c>
      <c r="O16" s="154">
        <f>'1,6 CN'!O16-'1,6 CN'!N16</f>
        <v>0</v>
      </c>
      <c r="P16" s="4" t="e">
        <f t="shared" si="0"/>
        <v>#DIV/0!</v>
      </c>
      <c r="Q16" s="83"/>
      <c r="R16" s="84"/>
      <c r="S16" s="4" t="e">
        <f t="shared" si="1"/>
        <v>#DIV/0!</v>
      </c>
      <c r="T16" s="83"/>
      <c r="U16" s="84"/>
      <c r="V16" s="4" t="e">
        <f t="shared" si="2"/>
        <v>#DIV/0!</v>
      </c>
      <c r="W16" s="83"/>
      <c r="X16" s="84"/>
      <c r="Y16" s="4" t="e">
        <f t="shared" si="3"/>
        <v>#DIV/0!</v>
      </c>
      <c r="Z16" s="83"/>
      <c r="AA16" s="84"/>
      <c r="AB16" s="4" t="e">
        <f t="shared" si="4"/>
        <v>#DIV/0!</v>
      </c>
      <c r="AC16" s="83"/>
      <c r="AD16" s="84"/>
      <c r="AE16" s="4" t="e">
        <f t="shared" si="5"/>
        <v>#DIV/0!</v>
      </c>
      <c r="AF16" s="83"/>
      <c r="AG16" s="84"/>
      <c r="AH16" s="4" t="e">
        <f t="shared" si="6"/>
        <v>#DIV/0!</v>
      </c>
      <c r="AI16" s="6"/>
      <c r="AJ16" s="6"/>
      <c r="AK16" s="4" t="e">
        <f t="shared" si="11"/>
        <v>#DIV/0!</v>
      </c>
      <c r="AL16" s="95">
        <f t="shared" si="12"/>
        <v>0</v>
      </c>
      <c r="AM16" s="95">
        <f t="shared" si="13"/>
        <v>0</v>
      </c>
      <c r="AN16" s="4" t="str">
        <f t="shared" si="14"/>
        <v/>
      </c>
      <c r="AO16" s="98" t="str">
        <f t="shared" si="15"/>
        <v>0</v>
      </c>
      <c r="AS16" s="2" t="s">
        <v>165</v>
      </c>
    </row>
    <row r="17" spans="1:45" x14ac:dyDescent="0.15">
      <c r="A17" s="77" t="s">
        <v>102</v>
      </c>
      <c r="B17" s="154">
        <f>[4]A07!$V$86+[4]A32!$W$50</f>
        <v>0</v>
      </c>
      <c r="C17" s="154">
        <f>'1,6 CN'!C17-'1,6 CN'!B17</f>
        <v>4</v>
      </c>
      <c r="D17" s="4">
        <f t="shared" si="7"/>
        <v>0</v>
      </c>
      <c r="E17" s="154">
        <f>[5]A07!$V$86+[5]A32!$W$50</f>
        <v>0</v>
      </c>
      <c r="F17" s="154">
        <f>'1,6 CN'!F17-'1,6 CN'!E17</f>
        <v>0</v>
      </c>
      <c r="G17" s="4" t="str">
        <f t="shared" si="8"/>
        <v/>
      </c>
      <c r="H17" s="154">
        <f>[6]A07!$V$86+[6]A32!$W$50</f>
        <v>0</v>
      </c>
      <c r="I17" s="154">
        <f>'1,6 CN'!I17-'1,6 CN'!H17</f>
        <v>13</v>
      </c>
      <c r="J17" s="4">
        <f t="shared" si="9"/>
        <v>0</v>
      </c>
      <c r="K17" s="154">
        <f>[7]A07!$V$86+[7]A32!$W$50</f>
        <v>0</v>
      </c>
      <c r="L17" s="154">
        <f>'1,6 CN'!L17-'1,6 CN'!K17</f>
        <v>21</v>
      </c>
      <c r="M17" s="4">
        <f t="shared" si="10"/>
        <v>0</v>
      </c>
      <c r="N17" s="154">
        <f>[8]A07!$V$86+[8]A32!$W$50</f>
        <v>0</v>
      </c>
      <c r="O17" s="154">
        <f>'1,6 CN'!O17-'1,6 CN'!N17</f>
        <v>0</v>
      </c>
      <c r="P17" s="4" t="e">
        <f t="shared" si="0"/>
        <v>#DIV/0!</v>
      </c>
      <c r="Q17" s="83"/>
      <c r="R17" s="84"/>
      <c r="S17" s="4" t="e">
        <f t="shared" si="1"/>
        <v>#DIV/0!</v>
      </c>
      <c r="T17" s="83"/>
      <c r="U17" s="84"/>
      <c r="V17" s="4" t="e">
        <f t="shared" si="2"/>
        <v>#DIV/0!</v>
      </c>
      <c r="W17" s="83"/>
      <c r="X17" s="84"/>
      <c r="Y17" s="4" t="e">
        <f t="shared" si="3"/>
        <v>#DIV/0!</v>
      </c>
      <c r="Z17" s="83"/>
      <c r="AA17" s="84"/>
      <c r="AB17" s="4" t="e">
        <f t="shared" si="4"/>
        <v>#DIV/0!</v>
      </c>
      <c r="AC17" s="83"/>
      <c r="AD17" s="84"/>
      <c r="AE17" s="4" t="e">
        <f t="shared" si="5"/>
        <v>#DIV/0!</v>
      </c>
      <c r="AF17" s="83"/>
      <c r="AG17" s="84"/>
      <c r="AH17" s="4" t="e">
        <f t="shared" si="6"/>
        <v>#DIV/0!</v>
      </c>
      <c r="AI17" s="6"/>
      <c r="AJ17" s="6"/>
      <c r="AK17" s="4" t="e">
        <f t="shared" si="11"/>
        <v>#DIV/0!</v>
      </c>
      <c r="AL17" s="95">
        <f t="shared" si="12"/>
        <v>0</v>
      </c>
      <c r="AM17" s="95">
        <f t="shared" si="13"/>
        <v>38</v>
      </c>
      <c r="AN17" s="4">
        <f t="shared" si="14"/>
        <v>0</v>
      </c>
      <c r="AO17" s="98" t="str">
        <f t="shared" si="15"/>
        <v>1</v>
      </c>
      <c r="AS17" s="2" t="s">
        <v>165</v>
      </c>
    </row>
    <row r="18" spans="1:45" x14ac:dyDescent="0.15">
      <c r="A18" s="77" t="s">
        <v>103</v>
      </c>
      <c r="B18" s="154">
        <f>[4]A07!$V$87+[4]A32!$W$51</f>
        <v>0</v>
      </c>
      <c r="C18" s="154">
        <f>'1,6 CN'!C18-'1,6 CN'!B18</f>
        <v>0</v>
      </c>
      <c r="D18" s="4" t="str">
        <f t="shared" si="7"/>
        <v/>
      </c>
      <c r="E18" s="154">
        <f>[5]A07!$V$87+[5]A32!$W$51</f>
        <v>0</v>
      </c>
      <c r="F18" s="154">
        <f>'1,6 CN'!F18-'1,6 CN'!E18</f>
        <v>0</v>
      </c>
      <c r="G18" s="4" t="str">
        <f t="shared" si="8"/>
        <v/>
      </c>
      <c r="H18" s="154">
        <f>[6]A07!$V$87+[6]A32!$W$51</f>
        <v>0</v>
      </c>
      <c r="I18" s="154">
        <f>'1,6 CN'!I18-'1,6 CN'!H18</f>
        <v>0</v>
      </c>
      <c r="J18" s="4" t="str">
        <f t="shared" si="9"/>
        <v/>
      </c>
      <c r="K18" s="154">
        <f>[7]A07!$V$87+[7]A32!$W$51</f>
        <v>0</v>
      </c>
      <c r="L18" s="154">
        <f>'1,6 CN'!L18-'1,6 CN'!K18</f>
        <v>0</v>
      </c>
      <c r="M18" s="4" t="str">
        <f t="shared" si="10"/>
        <v/>
      </c>
      <c r="N18" s="154">
        <f>[8]A07!$V$87+[8]A32!$W$51</f>
        <v>0</v>
      </c>
      <c r="O18" s="154">
        <f>'1,6 CN'!O18-'1,6 CN'!N18</f>
        <v>0</v>
      </c>
      <c r="P18" s="4" t="e">
        <f t="shared" si="0"/>
        <v>#DIV/0!</v>
      </c>
      <c r="Q18" s="83"/>
      <c r="R18" s="84"/>
      <c r="S18" s="4" t="e">
        <f t="shared" si="1"/>
        <v>#DIV/0!</v>
      </c>
      <c r="T18" s="83"/>
      <c r="U18" s="84"/>
      <c r="V18" s="4" t="e">
        <f t="shared" si="2"/>
        <v>#DIV/0!</v>
      </c>
      <c r="W18" s="83"/>
      <c r="X18" s="84"/>
      <c r="Y18" s="4" t="e">
        <f t="shared" si="3"/>
        <v>#DIV/0!</v>
      </c>
      <c r="Z18" s="83"/>
      <c r="AA18" s="84"/>
      <c r="AB18" s="4" t="e">
        <f t="shared" si="4"/>
        <v>#DIV/0!</v>
      </c>
      <c r="AC18" s="83"/>
      <c r="AD18" s="84"/>
      <c r="AE18" s="4" t="e">
        <f t="shared" si="5"/>
        <v>#DIV/0!</v>
      </c>
      <c r="AF18" s="83"/>
      <c r="AG18" s="84"/>
      <c r="AH18" s="4" t="e">
        <f t="shared" si="6"/>
        <v>#DIV/0!</v>
      </c>
      <c r="AI18" s="6"/>
      <c r="AJ18" s="6"/>
      <c r="AK18" s="4" t="e">
        <f t="shared" si="11"/>
        <v>#DIV/0!</v>
      </c>
      <c r="AL18" s="95">
        <f t="shared" si="12"/>
        <v>0</v>
      </c>
      <c r="AM18" s="95">
        <f t="shared" si="13"/>
        <v>0</v>
      </c>
      <c r="AN18" s="4" t="str">
        <f t="shared" si="14"/>
        <v/>
      </c>
      <c r="AO18" s="98" t="str">
        <f t="shared" si="15"/>
        <v>0</v>
      </c>
      <c r="AS18" s="2" t="s">
        <v>165</v>
      </c>
    </row>
    <row r="19" spans="1:45" x14ac:dyDescent="0.15">
      <c r="A19" s="77" t="s">
        <v>104</v>
      </c>
      <c r="B19" s="154">
        <f>[4]A07!$V$88+[4]A32!$W$52</f>
        <v>0</v>
      </c>
      <c r="C19" s="154">
        <f>'1,6 CN'!C19-'1,6 CN'!B19</f>
        <v>0</v>
      </c>
      <c r="D19" s="4" t="str">
        <f t="shared" si="7"/>
        <v/>
      </c>
      <c r="E19" s="154">
        <f>[5]A07!$V$88+[5]A32!$W$52</f>
        <v>0</v>
      </c>
      <c r="F19" s="154">
        <f>'1,6 CN'!F19-'1,6 CN'!E19</f>
        <v>0</v>
      </c>
      <c r="G19" s="4" t="str">
        <f t="shared" si="8"/>
        <v/>
      </c>
      <c r="H19" s="154">
        <f>[6]A07!$V$88+[6]A32!$W$52</f>
        <v>0</v>
      </c>
      <c r="I19" s="154">
        <f>'1,6 CN'!I19-'1,6 CN'!H19</f>
        <v>0</v>
      </c>
      <c r="J19" s="4" t="str">
        <f t="shared" si="9"/>
        <v/>
      </c>
      <c r="K19" s="154">
        <f>[7]A07!$V$88+[7]A32!$W$52</f>
        <v>0</v>
      </c>
      <c r="L19" s="154">
        <f>'1,6 CN'!L19-'1,6 CN'!K19</f>
        <v>0</v>
      </c>
      <c r="M19" s="4" t="str">
        <f t="shared" si="10"/>
        <v/>
      </c>
      <c r="N19" s="154">
        <f>[8]A07!$V$88+[8]A32!$W$52</f>
        <v>0</v>
      </c>
      <c r="O19" s="154">
        <f>'1,6 CN'!O19-'1,6 CN'!N19</f>
        <v>0</v>
      </c>
      <c r="P19" s="4" t="e">
        <f t="shared" si="0"/>
        <v>#DIV/0!</v>
      </c>
      <c r="Q19" s="83"/>
      <c r="R19" s="84"/>
      <c r="S19" s="4" t="e">
        <f t="shared" si="1"/>
        <v>#DIV/0!</v>
      </c>
      <c r="T19" s="83"/>
      <c r="U19" s="84"/>
      <c r="V19" s="4" t="e">
        <f t="shared" si="2"/>
        <v>#DIV/0!</v>
      </c>
      <c r="W19" s="83"/>
      <c r="X19" s="84"/>
      <c r="Y19" s="4" t="e">
        <f t="shared" si="3"/>
        <v>#DIV/0!</v>
      </c>
      <c r="Z19" s="83"/>
      <c r="AA19" s="84"/>
      <c r="AB19" s="4" t="e">
        <f t="shared" si="4"/>
        <v>#DIV/0!</v>
      </c>
      <c r="AC19" s="83"/>
      <c r="AD19" s="84"/>
      <c r="AE19" s="4" t="e">
        <f t="shared" si="5"/>
        <v>#DIV/0!</v>
      </c>
      <c r="AF19" s="83"/>
      <c r="AG19" s="84"/>
      <c r="AH19" s="4" t="e">
        <f t="shared" si="6"/>
        <v>#DIV/0!</v>
      </c>
      <c r="AI19" s="6"/>
      <c r="AJ19" s="6"/>
      <c r="AK19" s="4" t="e">
        <f t="shared" si="11"/>
        <v>#DIV/0!</v>
      </c>
      <c r="AL19" s="95">
        <f t="shared" si="12"/>
        <v>0</v>
      </c>
      <c r="AM19" s="95">
        <f t="shared" si="13"/>
        <v>0</v>
      </c>
      <c r="AN19" s="4" t="str">
        <f t="shared" si="14"/>
        <v/>
      </c>
      <c r="AO19" s="98" t="str">
        <f t="shared" si="15"/>
        <v>0</v>
      </c>
      <c r="AS19" s="2" t="s">
        <v>165</v>
      </c>
    </row>
    <row r="20" spans="1:45" x14ac:dyDescent="0.15">
      <c r="A20" s="77" t="s">
        <v>105</v>
      </c>
      <c r="B20" s="154">
        <f>[4]A07!$V$89+[4]A32!$W$53</f>
        <v>0</v>
      </c>
      <c r="C20" s="154">
        <f>'1,6 CN'!C20-'1,6 CN'!B20</f>
        <v>0</v>
      </c>
      <c r="D20" s="4" t="str">
        <f t="shared" si="7"/>
        <v/>
      </c>
      <c r="E20" s="154">
        <f>[5]A07!$V$89+[5]A32!$W$53</f>
        <v>0</v>
      </c>
      <c r="F20" s="154">
        <f>'1,6 CN'!F20-'1,6 CN'!E20</f>
        <v>0</v>
      </c>
      <c r="G20" s="4" t="str">
        <f t="shared" si="8"/>
        <v/>
      </c>
      <c r="H20" s="154">
        <f>[6]A07!$V$89+[6]A32!$W$53</f>
        <v>0</v>
      </c>
      <c r="I20" s="154">
        <f>'1,6 CN'!I20-'1,6 CN'!H20</f>
        <v>0</v>
      </c>
      <c r="J20" s="4" t="str">
        <f t="shared" si="9"/>
        <v/>
      </c>
      <c r="K20" s="154">
        <f>[7]A07!$V$89+[7]A32!$W$53</f>
        <v>0</v>
      </c>
      <c r="L20" s="154">
        <f>'1,6 CN'!L20-'1,6 CN'!K20</f>
        <v>0</v>
      </c>
      <c r="M20" s="4" t="str">
        <f t="shared" si="10"/>
        <v/>
      </c>
      <c r="N20" s="154">
        <f>[8]A07!$V$89+[8]A32!$W$53</f>
        <v>0</v>
      </c>
      <c r="O20" s="154">
        <f>'1,6 CN'!O20-'1,6 CN'!N20</f>
        <v>0</v>
      </c>
      <c r="P20" s="4" t="e">
        <f t="shared" si="0"/>
        <v>#DIV/0!</v>
      </c>
      <c r="Q20" s="83"/>
      <c r="R20" s="84"/>
      <c r="S20" s="4" t="e">
        <f t="shared" si="1"/>
        <v>#DIV/0!</v>
      </c>
      <c r="T20" s="83"/>
      <c r="U20" s="84"/>
      <c r="V20" s="4" t="e">
        <f t="shared" si="2"/>
        <v>#DIV/0!</v>
      </c>
      <c r="W20" s="83"/>
      <c r="X20" s="84"/>
      <c r="Y20" s="4" t="e">
        <f t="shared" si="3"/>
        <v>#DIV/0!</v>
      </c>
      <c r="Z20" s="83"/>
      <c r="AA20" s="84"/>
      <c r="AB20" s="4" t="e">
        <f t="shared" si="4"/>
        <v>#DIV/0!</v>
      </c>
      <c r="AC20" s="83"/>
      <c r="AD20" s="84"/>
      <c r="AE20" s="4" t="e">
        <f t="shared" si="5"/>
        <v>#DIV/0!</v>
      </c>
      <c r="AF20" s="83"/>
      <c r="AG20" s="84"/>
      <c r="AH20" s="4" t="e">
        <f t="shared" si="6"/>
        <v>#DIV/0!</v>
      </c>
      <c r="AI20" s="6"/>
      <c r="AJ20" s="6"/>
      <c r="AK20" s="4" t="e">
        <f t="shared" si="11"/>
        <v>#DIV/0!</v>
      </c>
      <c r="AL20" s="95">
        <f t="shared" si="12"/>
        <v>0</v>
      </c>
      <c r="AM20" s="95">
        <f t="shared" si="13"/>
        <v>0</v>
      </c>
      <c r="AN20" s="4" t="str">
        <f t="shared" si="14"/>
        <v/>
      </c>
      <c r="AO20" s="98" t="str">
        <f t="shared" si="15"/>
        <v>0</v>
      </c>
      <c r="AS20" s="2" t="s">
        <v>165</v>
      </c>
    </row>
    <row r="21" spans="1:45" x14ac:dyDescent="0.2">
      <c r="A21" s="79" t="s">
        <v>106</v>
      </c>
      <c r="B21" s="154">
        <f>[4]A07!$V$90+[4]A32!$W$54</f>
        <v>0</v>
      </c>
      <c r="C21" s="154">
        <f>'1,6 CN'!C21-'1,6 CN'!B21</f>
        <v>0</v>
      </c>
      <c r="D21" s="4" t="str">
        <f t="shared" si="7"/>
        <v/>
      </c>
      <c r="E21" s="154">
        <f>[5]A07!$V$90+[5]A32!$W$54</f>
        <v>0</v>
      </c>
      <c r="F21" s="154">
        <f>'1,6 CN'!F21-'1,6 CN'!E21</f>
        <v>0</v>
      </c>
      <c r="G21" s="4" t="str">
        <f t="shared" si="8"/>
        <v/>
      </c>
      <c r="H21" s="154">
        <f>[6]A07!$V$90+[6]A32!$W$54</f>
        <v>0</v>
      </c>
      <c r="I21" s="154">
        <f>'1,6 CN'!I21-'1,6 CN'!H21</f>
        <v>0</v>
      </c>
      <c r="J21" s="4" t="str">
        <f t="shared" si="9"/>
        <v/>
      </c>
      <c r="K21" s="154">
        <f>[7]A07!$V$90+[7]A32!$W$54</f>
        <v>0</v>
      </c>
      <c r="L21" s="154">
        <f>'1,6 CN'!L21-'1,6 CN'!K21</f>
        <v>0</v>
      </c>
      <c r="M21" s="4" t="str">
        <f t="shared" si="10"/>
        <v/>
      </c>
      <c r="N21" s="154">
        <f>[8]A07!$V$90+[8]A32!$W$54</f>
        <v>0</v>
      </c>
      <c r="O21" s="154">
        <f>'1,6 CN'!O21-'1,6 CN'!N21</f>
        <v>0</v>
      </c>
      <c r="P21" s="4" t="e">
        <f t="shared" si="0"/>
        <v>#DIV/0!</v>
      </c>
      <c r="Q21" s="83"/>
      <c r="R21" s="84"/>
      <c r="S21" s="4" t="e">
        <f t="shared" si="1"/>
        <v>#DIV/0!</v>
      </c>
      <c r="T21" s="83"/>
      <c r="U21" s="84"/>
      <c r="V21" s="4" t="e">
        <f t="shared" si="2"/>
        <v>#DIV/0!</v>
      </c>
      <c r="W21" s="83"/>
      <c r="X21" s="84"/>
      <c r="Y21" s="4" t="e">
        <f t="shared" si="3"/>
        <v>#DIV/0!</v>
      </c>
      <c r="Z21" s="83"/>
      <c r="AA21" s="84"/>
      <c r="AB21" s="4" t="e">
        <f t="shared" si="4"/>
        <v>#DIV/0!</v>
      </c>
      <c r="AC21" s="83"/>
      <c r="AD21" s="84"/>
      <c r="AE21" s="4" t="e">
        <f t="shared" si="5"/>
        <v>#DIV/0!</v>
      </c>
      <c r="AF21" s="83"/>
      <c r="AG21" s="84"/>
      <c r="AH21" s="4" t="e">
        <f t="shared" si="6"/>
        <v>#DIV/0!</v>
      </c>
      <c r="AI21" s="6"/>
      <c r="AJ21" s="6"/>
      <c r="AK21" s="4" t="e">
        <f t="shared" si="11"/>
        <v>#DIV/0!</v>
      </c>
      <c r="AL21" s="95">
        <f t="shared" si="12"/>
        <v>0</v>
      </c>
      <c r="AM21" s="95">
        <f t="shared" si="13"/>
        <v>0</v>
      </c>
      <c r="AN21" s="4" t="str">
        <f t="shared" si="14"/>
        <v/>
      </c>
      <c r="AO21" s="98" t="str">
        <f t="shared" si="15"/>
        <v>0</v>
      </c>
      <c r="AS21" s="2" t="s">
        <v>165</v>
      </c>
    </row>
    <row r="22" spans="1:45" x14ac:dyDescent="0.15">
      <c r="A22" s="77" t="s">
        <v>107</v>
      </c>
      <c r="B22" s="154">
        <f>[4]A07!$V$91+[4]A32!$W$55</f>
        <v>3</v>
      </c>
      <c r="C22" s="154">
        <f>'1,6 CN'!C22-'1,6 CN'!B22</f>
        <v>43</v>
      </c>
      <c r="D22" s="4">
        <f t="shared" si="7"/>
        <v>6.9767441860465115E-2</v>
      </c>
      <c r="E22" s="154">
        <f>[5]A07!$V$91+[5]A32!$W$55</f>
        <v>6</v>
      </c>
      <c r="F22" s="154">
        <f>'1,6 CN'!F22-'1,6 CN'!E22</f>
        <v>35</v>
      </c>
      <c r="G22" s="4">
        <f t="shared" si="8"/>
        <v>0.17142857142857143</v>
      </c>
      <c r="H22" s="154">
        <f>[6]A07!$V$91+[6]A32!$W$55</f>
        <v>15</v>
      </c>
      <c r="I22" s="154">
        <f>'1,6 CN'!I22-'1,6 CN'!H22</f>
        <v>65</v>
      </c>
      <c r="J22" s="4">
        <f t="shared" si="9"/>
        <v>0.23076923076923078</v>
      </c>
      <c r="K22" s="154">
        <f>[7]A07!$V$91+[7]A32!$W$55</f>
        <v>11</v>
      </c>
      <c r="L22" s="154">
        <f>'1,6 CN'!L22-'1,6 CN'!K22</f>
        <v>63</v>
      </c>
      <c r="M22" s="4">
        <f t="shared" si="10"/>
        <v>0.17460317460317459</v>
      </c>
      <c r="N22" s="154">
        <f>[8]A07!$V$91+[8]A32!$W$55</f>
        <v>19</v>
      </c>
      <c r="O22" s="154">
        <f>'1,6 CN'!O22-'1,6 CN'!N22</f>
        <v>67</v>
      </c>
      <c r="P22" s="4">
        <f t="shared" si="0"/>
        <v>0.28358208955223879</v>
      </c>
      <c r="Q22" s="83"/>
      <c r="R22" s="84"/>
      <c r="S22" s="4" t="e">
        <f t="shared" si="1"/>
        <v>#DIV/0!</v>
      </c>
      <c r="T22" s="83"/>
      <c r="U22" s="84"/>
      <c r="V22" s="4" t="e">
        <f t="shared" si="2"/>
        <v>#DIV/0!</v>
      </c>
      <c r="W22" s="83"/>
      <c r="X22" s="84"/>
      <c r="Y22" s="4" t="e">
        <f t="shared" si="3"/>
        <v>#DIV/0!</v>
      </c>
      <c r="Z22" s="83"/>
      <c r="AA22" s="84"/>
      <c r="AB22" s="4" t="e">
        <f t="shared" si="4"/>
        <v>#DIV/0!</v>
      </c>
      <c r="AC22" s="83"/>
      <c r="AD22" s="84"/>
      <c r="AE22" s="4" t="e">
        <f t="shared" si="5"/>
        <v>#DIV/0!</v>
      </c>
      <c r="AF22" s="83"/>
      <c r="AG22" s="84"/>
      <c r="AH22" s="4" t="e">
        <f t="shared" si="6"/>
        <v>#DIV/0!</v>
      </c>
      <c r="AI22" s="6"/>
      <c r="AJ22" s="6"/>
      <c r="AK22" s="4" t="e">
        <f t="shared" si="11"/>
        <v>#DIV/0!</v>
      </c>
      <c r="AL22" s="95">
        <f t="shared" si="12"/>
        <v>54</v>
      </c>
      <c r="AM22" s="95">
        <f t="shared" si="13"/>
        <v>273</v>
      </c>
      <c r="AN22" s="4">
        <f t="shared" si="14"/>
        <v>0.19780219780219779</v>
      </c>
      <c r="AO22" s="98" t="str">
        <f t="shared" si="15"/>
        <v>0</v>
      </c>
      <c r="AS22" s="2" t="s">
        <v>165</v>
      </c>
    </row>
    <row r="23" spans="1:45" x14ac:dyDescent="0.15">
      <c r="A23" s="77" t="s">
        <v>108</v>
      </c>
      <c r="B23" s="154">
        <f>[4]A07!$V$92+[4]A32!$W$56</f>
        <v>0</v>
      </c>
      <c r="C23" s="154">
        <f>'1,6 CN'!C23-'1,6 CN'!B23</f>
        <v>0</v>
      </c>
      <c r="D23" s="4" t="str">
        <f t="shared" si="7"/>
        <v/>
      </c>
      <c r="E23" s="154">
        <f>[5]A07!$V$92+[5]A32!$W$56</f>
        <v>0</v>
      </c>
      <c r="F23" s="154">
        <f>'1,6 CN'!F23-'1,6 CN'!E23</f>
        <v>0</v>
      </c>
      <c r="G23" s="4" t="str">
        <f t="shared" si="8"/>
        <v/>
      </c>
      <c r="H23" s="154">
        <f>[6]A07!$V$92+[6]A32!$W$56</f>
        <v>0</v>
      </c>
      <c r="I23" s="154">
        <f>'1,6 CN'!I23-'1,6 CN'!H23</f>
        <v>0</v>
      </c>
      <c r="J23" s="4" t="str">
        <f t="shared" si="9"/>
        <v/>
      </c>
      <c r="K23" s="154">
        <f>[7]A07!$V$92+[7]A32!$W$56</f>
        <v>0</v>
      </c>
      <c r="L23" s="154">
        <f>'1,6 CN'!L23-'1,6 CN'!K23</f>
        <v>0</v>
      </c>
      <c r="M23" s="4" t="str">
        <f t="shared" si="10"/>
        <v/>
      </c>
      <c r="N23" s="154">
        <f>[8]A07!$V$92+[8]A32!$W$56</f>
        <v>0</v>
      </c>
      <c r="O23" s="154">
        <f>'1,6 CN'!O23-'1,6 CN'!N23</f>
        <v>0</v>
      </c>
      <c r="P23" s="4" t="e">
        <f t="shared" si="0"/>
        <v>#DIV/0!</v>
      </c>
      <c r="Q23" s="83"/>
      <c r="R23" s="84"/>
      <c r="S23" s="4" t="e">
        <f t="shared" si="1"/>
        <v>#DIV/0!</v>
      </c>
      <c r="T23" s="83"/>
      <c r="U23" s="84"/>
      <c r="V23" s="4" t="e">
        <f t="shared" si="2"/>
        <v>#DIV/0!</v>
      </c>
      <c r="W23" s="83"/>
      <c r="X23" s="84"/>
      <c r="Y23" s="4" t="e">
        <f t="shared" si="3"/>
        <v>#DIV/0!</v>
      </c>
      <c r="Z23" s="83"/>
      <c r="AA23" s="84"/>
      <c r="AB23" s="4" t="e">
        <f t="shared" si="4"/>
        <v>#DIV/0!</v>
      </c>
      <c r="AC23" s="83"/>
      <c r="AD23" s="84"/>
      <c r="AE23" s="4" t="e">
        <f t="shared" si="5"/>
        <v>#DIV/0!</v>
      </c>
      <c r="AF23" s="83"/>
      <c r="AG23" s="84"/>
      <c r="AH23" s="4" t="e">
        <f t="shared" si="6"/>
        <v>#DIV/0!</v>
      </c>
      <c r="AI23" s="6"/>
      <c r="AJ23" s="6"/>
      <c r="AK23" s="4" t="e">
        <f t="shared" si="11"/>
        <v>#DIV/0!</v>
      </c>
      <c r="AL23" s="95">
        <f t="shared" si="12"/>
        <v>0</v>
      </c>
      <c r="AM23" s="95">
        <f t="shared" si="13"/>
        <v>0</v>
      </c>
      <c r="AN23" s="4" t="str">
        <f t="shared" si="14"/>
        <v/>
      </c>
      <c r="AO23" s="98" t="str">
        <f t="shared" si="15"/>
        <v>0</v>
      </c>
      <c r="AS23" s="2" t="s">
        <v>165</v>
      </c>
    </row>
    <row r="24" spans="1:45" x14ac:dyDescent="0.15">
      <c r="A24" s="77" t="s">
        <v>109</v>
      </c>
      <c r="B24" s="154">
        <f>[4]A07!$V$93+[4]A32!$W$57</f>
        <v>12</v>
      </c>
      <c r="C24" s="154">
        <f>'1,6 CN'!C24-'1,6 CN'!B24</f>
        <v>83</v>
      </c>
      <c r="D24" s="4">
        <f t="shared" si="7"/>
        <v>0.14457831325301204</v>
      </c>
      <c r="E24" s="154">
        <f>[5]A07!$V$93+[5]A32!$W$57</f>
        <v>6</v>
      </c>
      <c r="F24" s="154">
        <f>'1,6 CN'!F24-'1,6 CN'!E24</f>
        <v>85</v>
      </c>
      <c r="G24" s="4">
        <f t="shared" si="8"/>
        <v>7.0588235294117646E-2</v>
      </c>
      <c r="H24" s="154">
        <f>[6]A07!$V$93+[6]A32!$W$57</f>
        <v>12</v>
      </c>
      <c r="I24" s="154">
        <f>'1,6 CN'!I24-'1,6 CN'!H24</f>
        <v>119</v>
      </c>
      <c r="J24" s="4">
        <f t="shared" si="9"/>
        <v>0.10084033613445378</v>
      </c>
      <c r="K24" s="154">
        <f>[7]A07!$V$93+[7]A32!$W$57</f>
        <v>11</v>
      </c>
      <c r="L24" s="154">
        <f>'1,6 CN'!L24-'1,6 CN'!K24</f>
        <v>109</v>
      </c>
      <c r="M24" s="4">
        <f t="shared" si="10"/>
        <v>0.10091743119266056</v>
      </c>
      <c r="N24" s="154">
        <f>[8]A07!$V$93+[8]A32!$W$57</f>
        <v>8</v>
      </c>
      <c r="O24" s="154">
        <f>'1,6 CN'!O24-'1,6 CN'!N24</f>
        <v>112</v>
      </c>
      <c r="P24" s="4">
        <f t="shared" si="0"/>
        <v>7.1428571428571425E-2</v>
      </c>
      <c r="Q24" s="83"/>
      <c r="R24" s="84"/>
      <c r="S24" s="4" t="e">
        <f t="shared" si="1"/>
        <v>#DIV/0!</v>
      </c>
      <c r="T24" s="83"/>
      <c r="U24" s="84"/>
      <c r="V24" s="4" t="e">
        <f t="shared" si="2"/>
        <v>#DIV/0!</v>
      </c>
      <c r="W24" s="83"/>
      <c r="X24" s="84"/>
      <c r="Y24" s="4" t="e">
        <f t="shared" si="3"/>
        <v>#DIV/0!</v>
      </c>
      <c r="Z24" s="83"/>
      <c r="AA24" s="84"/>
      <c r="AB24" s="4" t="e">
        <f t="shared" si="4"/>
        <v>#DIV/0!</v>
      </c>
      <c r="AC24" s="83"/>
      <c r="AD24" s="84"/>
      <c r="AE24" s="4" t="e">
        <f t="shared" si="5"/>
        <v>#DIV/0!</v>
      </c>
      <c r="AF24" s="83"/>
      <c r="AG24" s="84"/>
      <c r="AH24" s="4" t="e">
        <f t="shared" si="6"/>
        <v>#DIV/0!</v>
      </c>
      <c r="AI24" s="6"/>
      <c r="AJ24" s="6"/>
      <c r="AK24" s="4" t="e">
        <f t="shared" si="11"/>
        <v>#DIV/0!</v>
      </c>
      <c r="AL24" s="95">
        <f t="shared" si="12"/>
        <v>49</v>
      </c>
      <c r="AM24" s="95">
        <f t="shared" si="13"/>
        <v>508</v>
      </c>
      <c r="AN24" s="4">
        <f t="shared" si="14"/>
        <v>9.6456692913385822E-2</v>
      </c>
      <c r="AO24" s="98" t="str">
        <f t="shared" si="15"/>
        <v>1</v>
      </c>
      <c r="AS24" s="2" t="s">
        <v>165</v>
      </c>
    </row>
    <row r="25" spans="1:45" x14ac:dyDescent="0.15">
      <c r="A25" s="77" t="s">
        <v>110</v>
      </c>
      <c r="B25" s="154">
        <f>[4]A07!$V$94+[4]A32!$W$58</f>
        <v>0</v>
      </c>
      <c r="C25" s="154">
        <f>'1,6 CN'!C25-'1,6 CN'!B25</f>
        <v>0</v>
      </c>
      <c r="D25" s="4" t="str">
        <f t="shared" si="7"/>
        <v/>
      </c>
      <c r="E25" s="154">
        <f>[5]A07!$V$94+[5]A32!$W$58</f>
        <v>0</v>
      </c>
      <c r="F25" s="154">
        <f>'1,6 CN'!F25-'1,6 CN'!E25</f>
        <v>0</v>
      </c>
      <c r="G25" s="4" t="str">
        <f t="shared" si="8"/>
        <v/>
      </c>
      <c r="H25" s="154">
        <f>[6]A07!$V$94+[6]A32!$W$58</f>
        <v>0</v>
      </c>
      <c r="I25" s="154">
        <f>'1,6 CN'!I25-'1,6 CN'!H25</f>
        <v>0</v>
      </c>
      <c r="J25" s="4" t="str">
        <f t="shared" si="9"/>
        <v/>
      </c>
      <c r="K25" s="154">
        <f>[7]A07!$V$94+[7]A32!$W$58</f>
        <v>0</v>
      </c>
      <c r="L25" s="154">
        <f>'1,6 CN'!L25-'1,6 CN'!K25</f>
        <v>0</v>
      </c>
      <c r="M25" s="4" t="str">
        <f t="shared" si="10"/>
        <v/>
      </c>
      <c r="N25" s="154">
        <f>[8]A07!$V$94+[8]A32!$W$58</f>
        <v>0</v>
      </c>
      <c r="O25" s="154">
        <f>'1,6 CN'!O25-'1,6 CN'!N25</f>
        <v>0</v>
      </c>
      <c r="P25" s="4" t="e">
        <f t="shared" si="0"/>
        <v>#DIV/0!</v>
      </c>
      <c r="Q25" s="83"/>
      <c r="R25" s="84"/>
      <c r="S25" s="4" t="e">
        <f t="shared" si="1"/>
        <v>#DIV/0!</v>
      </c>
      <c r="T25" s="83"/>
      <c r="U25" s="84"/>
      <c r="V25" s="4" t="e">
        <f t="shared" si="2"/>
        <v>#DIV/0!</v>
      </c>
      <c r="W25" s="83"/>
      <c r="X25" s="84"/>
      <c r="Y25" s="4" t="e">
        <f t="shared" si="3"/>
        <v>#DIV/0!</v>
      </c>
      <c r="Z25" s="83"/>
      <c r="AA25" s="84"/>
      <c r="AB25" s="4" t="e">
        <f t="shared" si="4"/>
        <v>#DIV/0!</v>
      </c>
      <c r="AC25" s="83"/>
      <c r="AD25" s="84"/>
      <c r="AE25" s="4" t="e">
        <f t="shared" si="5"/>
        <v>#DIV/0!</v>
      </c>
      <c r="AF25" s="83"/>
      <c r="AG25" s="84"/>
      <c r="AH25" s="4" t="e">
        <f t="shared" si="6"/>
        <v>#DIV/0!</v>
      </c>
      <c r="AI25" s="6"/>
      <c r="AJ25" s="6"/>
      <c r="AK25" s="4" t="e">
        <f t="shared" si="11"/>
        <v>#DIV/0!</v>
      </c>
      <c r="AL25" s="95">
        <f t="shared" si="12"/>
        <v>0</v>
      </c>
      <c r="AM25" s="95">
        <f t="shared" si="13"/>
        <v>0</v>
      </c>
      <c r="AN25" s="4" t="str">
        <f t="shared" si="14"/>
        <v/>
      </c>
      <c r="AO25" s="98" t="str">
        <f t="shared" si="15"/>
        <v>0</v>
      </c>
      <c r="AS25" s="2" t="s">
        <v>165</v>
      </c>
    </row>
    <row r="26" spans="1:45" x14ac:dyDescent="0.15">
      <c r="A26" s="77" t="s">
        <v>111</v>
      </c>
      <c r="B26" s="154">
        <f>[4]A07!$V$95+[4]A32!$W$59</f>
        <v>0</v>
      </c>
      <c r="C26" s="154">
        <f>'1,6 CN'!C26-'1,6 CN'!B26</f>
        <v>0</v>
      </c>
      <c r="D26" s="4" t="str">
        <f t="shared" si="7"/>
        <v/>
      </c>
      <c r="E26" s="154">
        <f>[5]A07!$V$95+[5]A32!$W$59</f>
        <v>0</v>
      </c>
      <c r="F26" s="154">
        <f>'1,6 CN'!F26-'1,6 CN'!E26</f>
        <v>0</v>
      </c>
      <c r="G26" s="4" t="str">
        <f t="shared" si="8"/>
        <v/>
      </c>
      <c r="H26" s="154">
        <f>[6]A07!$V$95+[6]A32!$W$59</f>
        <v>0</v>
      </c>
      <c r="I26" s="154">
        <f>'1,6 CN'!I26-'1,6 CN'!H26</f>
        <v>0</v>
      </c>
      <c r="J26" s="4" t="str">
        <f t="shared" si="9"/>
        <v/>
      </c>
      <c r="K26" s="154">
        <f>[7]A07!$V$95+[7]A32!$W$59</f>
        <v>0</v>
      </c>
      <c r="L26" s="154">
        <f>'1,6 CN'!L26-'1,6 CN'!K26</f>
        <v>0</v>
      </c>
      <c r="M26" s="4" t="str">
        <f t="shared" si="10"/>
        <v/>
      </c>
      <c r="N26" s="154">
        <f>[8]A07!$V$95+[8]A32!$W$59</f>
        <v>0</v>
      </c>
      <c r="O26" s="154">
        <f>'1,6 CN'!O26-'1,6 CN'!N26</f>
        <v>0</v>
      </c>
      <c r="P26" s="4" t="e">
        <f t="shared" si="0"/>
        <v>#DIV/0!</v>
      </c>
      <c r="Q26" s="83"/>
      <c r="R26" s="84"/>
      <c r="S26" s="4" t="e">
        <f t="shared" si="1"/>
        <v>#DIV/0!</v>
      </c>
      <c r="T26" s="83"/>
      <c r="U26" s="84"/>
      <c r="V26" s="4" t="e">
        <f t="shared" si="2"/>
        <v>#DIV/0!</v>
      </c>
      <c r="W26" s="83"/>
      <c r="X26" s="84"/>
      <c r="Y26" s="4" t="e">
        <f t="shared" si="3"/>
        <v>#DIV/0!</v>
      </c>
      <c r="Z26" s="83"/>
      <c r="AA26" s="84"/>
      <c r="AB26" s="4" t="e">
        <f t="shared" si="4"/>
        <v>#DIV/0!</v>
      </c>
      <c r="AC26" s="83"/>
      <c r="AD26" s="84"/>
      <c r="AE26" s="4" t="e">
        <f t="shared" si="5"/>
        <v>#DIV/0!</v>
      </c>
      <c r="AF26" s="83"/>
      <c r="AG26" s="84"/>
      <c r="AH26" s="4" t="e">
        <f t="shared" si="6"/>
        <v>#DIV/0!</v>
      </c>
      <c r="AI26" s="6"/>
      <c r="AJ26" s="6"/>
      <c r="AK26" s="4" t="e">
        <f t="shared" si="11"/>
        <v>#DIV/0!</v>
      </c>
      <c r="AL26" s="95">
        <f t="shared" si="12"/>
        <v>0</v>
      </c>
      <c r="AM26" s="95">
        <f t="shared" si="13"/>
        <v>0</v>
      </c>
      <c r="AN26" s="4" t="str">
        <f t="shared" si="14"/>
        <v/>
      </c>
      <c r="AO26" s="98" t="str">
        <f t="shared" si="15"/>
        <v>0</v>
      </c>
      <c r="AS26" s="2" t="s">
        <v>165</v>
      </c>
    </row>
    <row r="27" spans="1:45" x14ac:dyDescent="0.2">
      <c r="A27" s="79" t="s">
        <v>112</v>
      </c>
      <c r="B27" s="154">
        <f>[4]A07!$V$96+[4]A32!$W$60</f>
        <v>0</v>
      </c>
      <c r="C27" s="154">
        <f>'1,6 CN'!C27-'1,6 CN'!B27</f>
        <v>0</v>
      </c>
      <c r="D27" s="4" t="str">
        <f t="shared" si="7"/>
        <v/>
      </c>
      <c r="E27" s="154">
        <f>[5]A07!$V$96+[5]A32!$W$60</f>
        <v>0</v>
      </c>
      <c r="F27" s="154">
        <f>'1,6 CN'!F27-'1,6 CN'!E27</f>
        <v>0</v>
      </c>
      <c r="G27" s="4" t="str">
        <f t="shared" si="8"/>
        <v/>
      </c>
      <c r="H27" s="154">
        <f>[6]A07!$V$96+[6]A32!$W$60</f>
        <v>0</v>
      </c>
      <c r="I27" s="154">
        <f>'1,6 CN'!I27-'1,6 CN'!H27</f>
        <v>0</v>
      </c>
      <c r="J27" s="4" t="str">
        <f t="shared" si="9"/>
        <v/>
      </c>
      <c r="K27" s="154">
        <f>[7]A07!$V$96+[7]A32!$W$60</f>
        <v>0</v>
      </c>
      <c r="L27" s="154">
        <f>'1,6 CN'!L27-'1,6 CN'!K27</f>
        <v>0</v>
      </c>
      <c r="M27" s="4" t="str">
        <f t="shared" si="10"/>
        <v/>
      </c>
      <c r="N27" s="154">
        <f>[8]A07!$V$96+[8]A32!$W$60</f>
        <v>0</v>
      </c>
      <c r="O27" s="154">
        <f>'1,6 CN'!O27-'1,6 CN'!N27</f>
        <v>0</v>
      </c>
      <c r="P27" s="4" t="e">
        <f t="shared" si="0"/>
        <v>#DIV/0!</v>
      </c>
      <c r="Q27" s="83"/>
      <c r="R27" s="84"/>
      <c r="S27" s="4" t="e">
        <f t="shared" si="1"/>
        <v>#DIV/0!</v>
      </c>
      <c r="T27" s="83"/>
      <c r="U27" s="84"/>
      <c r="V27" s="4" t="e">
        <f t="shared" si="2"/>
        <v>#DIV/0!</v>
      </c>
      <c r="W27" s="83"/>
      <c r="X27" s="84"/>
      <c r="Y27" s="4" t="e">
        <f t="shared" si="3"/>
        <v>#DIV/0!</v>
      </c>
      <c r="Z27" s="83"/>
      <c r="AA27" s="84"/>
      <c r="AB27" s="4" t="e">
        <f t="shared" si="4"/>
        <v>#DIV/0!</v>
      </c>
      <c r="AC27" s="83"/>
      <c r="AD27" s="84"/>
      <c r="AE27" s="4" t="e">
        <f t="shared" si="5"/>
        <v>#DIV/0!</v>
      </c>
      <c r="AF27" s="83"/>
      <c r="AG27" s="84"/>
      <c r="AH27" s="4" t="e">
        <f t="shared" si="6"/>
        <v>#DIV/0!</v>
      </c>
      <c r="AI27" s="6"/>
      <c r="AJ27" s="6"/>
      <c r="AK27" s="4" t="e">
        <f t="shared" si="11"/>
        <v>#DIV/0!</v>
      </c>
      <c r="AL27" s="95">
        <f t="shared" si="12"/>
        <v>0</v>
      </c>
      <c r="AM27" s="95">
        <f t="shared" si="13"/>
        <v>0</v>
      </c>
      <c r="AN27" s="4" t="str">
        <f t="shared" si="14"/>
        <v/>
      </c>
      <c r="AO27" s="98" t="str">
        <f t="shared" si="15"/>
        <v>0</v>
      </c>
      <c r="AS27" s="2" t="s">
        <v>165</v>
      </c>
    </row>
    <row r="28" spans="1:45" x14ac:dyDescent="0.15">
      <c r="A28" s="77" t="s">
        <v>113</v>
      </c>
      <c r="B28" s="154">
        <f>[4]A07!$V$97+[4]A32!$W$61</f>
        <v>6</v>
      </c>
      <c r="C28" s="154">
        <f>'1,6 CN'!C28-'1,6 CN'!B28</f>
        <v>86</v>
      </c>
      <c r="D28" s="4">
        <f t="shared" si="7"/>
        <v>6.9767441860465115E-2</v>
      </c>
      <c r="E28" s="154">
        <f>[5]A07!$V$97+[5]A32!$W$61</f>
        <v>1</v>
      </c>
      <c r="F28" s="154">
        <f>'1,6 CN'!F28-'1,6 CN'!E28</f>
        <v>47</v>
      </c>
      <c r="G28" s="4">
        <f t="shared" si="8"/>
        <v>2.1276595744680851E-2</v>
      </c>
      <c r="H28" s="154">
        <f>[6]A07!$V$97+[6]A32!$W$61</f>
        <v>5</v>
      </c>
      <c r="I28" s="154">
        <f>'1,6 CN'!I28-'1,6 CN'!H28</f>
        <v>89</v>
      </c>
      <c r="J28" s="4">
        <f t="shared" si="9"/>
        <v>5.6179775280898875E-2</v>
      </c>
      <c r="K28" s="154">
        <f>[7]A07!$V$97+[7]A32!$W$61</f>
        <v>6</v>
      </c>
      <c r="L28" s="154">
        <f>'1,6 CN'!L28-'1,6 CN'!K28</f>
        <v>81</v>
      </c>
      <c r="M28" s="4">
        <f t="shared" si="10"/>
        <v>7.407407407407407E-2</v>
      </c>
      <c r="N28" s="154">
        <f>[8]A07!$V$97+[8]A32!$W$61</f>
        <v>5</v>
      </c>
      <c r="O28" s="154">
        <f>'1,6 CN'!O28-'1,6 CN'!N28</f>
        <v>85</v>
      </c>
      <c r="P28" s="4">
        <f t="shared" si="0"/>
        <v>5.8823529411764705E-2</v>
      </c>
      <c r="Q28" s="83"/>
      <c r="R28" s="84"/>
      <c r="S28" s="4" t="e">
        <f t="shared" si="1"/>
        <v>#DIV/0!</v>
      </c>
      <c r="T28" s="83"/>
      <c r="U28" s="84"/>
      <c r="V28" s="4" t="e">
        <f t="shared" si="2"/>
        <v>#DIV/0!</v>
      </c>
      <c r="W28" s="83"/>
      <c r="X28" s="84"/>
      <c r="Y28" s="4" t="e">
        <f t="shared" si="3"/>
        <v>#DIV/0!</v>
      </c>
      <c r="Z28" s="83"/>
      <c r="AA28" s="84"/>
      <c r="AB28" s="4" t="e">
        <f t="shared" si="4"/>
        <v>#DIV/0!</v>
      </c>
      <c r="AC28" s="83"/>
      <c r="AD28" s="84"/>
      <c r="AE28" s="4" t="e">
        <f t="shared" si="5"/>
        <v>#DIV/0!</v>
      </c>
      <c r="AF28" s="83"/>
      <c r="AG28" s="84"/>
      <c r="AH28" s="4" t="e">
        <f t="shared" si="6"/>
        <v>#DIV/0!</v>
      </c>
      <c r="AI28" s="6"/>
      <c r="AJ28" s="6"/>
      <c r="AK28" s="4" t="e">
        <f t="shared" si="11"/>
        <v>#DIV/0!</v>
      </c>
      <c r="AL28" s="95">
        <f t="shared" si="12"/>
        <v>23</v>
      </c>
      <c r="AM28" s="95">
        <f t="shared" si="13"/>
        <v>388</v>
      </c>
      <c r="AN28" s="4">
        <f t="shared" si="14"/>
        <v>5.9278350515463915E-2</v>
      </c>
      <c r="AO28" s="98" t="str">
        <f t="shared" si="15"/>
        <v>1</v>
      </c>
      <c r="AS28" s="2" t="s">
        <v>165</v>
      </c>
    </row>
    <row r="29" spans="1:45" x14ac:dyDescent="0.15">
      <c r="A29" s="77" t="s">
        <v>114</v>
      </c>
      <c r="B29" s="154">
        <f>[4]A07!$V$98+[4]A32!$W$62</f>
        <v>19</v>
      </c>
      <c r="C29" s="154">
        <f>'1,6 CN'!C29-'1,6 CN'!B29</f>
        <v>193</v>
      </c>
      <c r="D29" s="4">
        <f t="shared" si="7"/>
        <v>9.8445595854922283E-2</v>
      </c>
      <c r="E29" s="154">
        <f>[5]A07!$V$98+[5]A32!$W$62</f>
        <v>20</v>
      </c>
      <c r="F29" s="154">
        <f>'1,6 CN'!F29-'1,6 CN'!E29</f>
        <v>158</v>
      </c>
      <c r="G29" s="4">
        <f t="shared" si="8"/>
        <v>0.12658227848101267</v>
      </c>
      <c r="H29" s="154">
        <f>[6]A07!$V$98+[6]A32!$W$62</f>
        <v>10</v>
      </c>
      <c r="I29" s="154">
        <f>'1,6 CN'!I29-'1,6 CN'!H29</f>
        <v>105</v>
      </c>
      <c r="J29" s="4">
        <f t="shared" si="9"/>
        <v>9.5238095238095233E-2</v>
      </c>
      <c r="K29" s="154">
        <f>[7]A07!$V$98+[7]A32!$W$62</f>
        <v>12</v>
      </c>
      <c r="L29" s="154">
        <f>'1,6 CN'!L29-'1,6 CN'!K29</f>
        <v>186</v>
      </c>
      <c r="M29" s="4">
        <f t="shared" si="10"/>
        <v>6.4516129032258063E-2</v>
      </c>
      <c r="N29" s="154">
        <f>[8]A07!$V$98+[8]A32!$W$62</f>
        <v>14</v>
      </c>
      <c r="O29" s="154">
        <f>'1,6 CN'!O29-'1,6 CN'!N29</f>
        <v>154</v>
      </c>
      <c r="P29" s="4">
        <f t="shared" si="0"/>
        <v>9.0909090909090912E-2</v>
      </c>
      <c r="Q29" s="83"/>
      <c r="R29" s="84"/>
      <c r="S29" s="4" t="e">
        <f t="shared" si="1"/>
        <v>#DIV/0!</v>
      </c>
      <c r="T29" s="83"/>
      <c r="U29" s="84"/>
      <c r="V29" s="4" t="e">
        <f t="shared" si="2"/>
        <v>#DIV/0!</v>
      </c>
      <c r="W29" s="83"/>
      <c r="X29" s="84"/>
      <c r="Y29" s="4" t="e">
        <f t="shared" si="3"/>
        <v>#DIV/0!</v>
      </c>
      <c r="Z29" s="83"/>
      <c r="AA29" s="84"/>
      <c r="AB29" s="4" t="e">
        <f t="shared" si="4"/>
        <v>#DIV/0!</v>
      </c>
      <c r="AC29" s="83"/>
      <c r="AD29" s="84"/>
      <c r="AE29" s="4" t="e">
        <f t="shared" si="5"/>
        <v>#DIV/0!</v>
      </c>
      <c r="AF29" s="83"/>
      <c r="AG29" s="84"/>
      <c r="AH29" s="4" t="e">
        <f t="shared" si="6"/>
        <v>#DIV/0!</v>
      </c>
      <c r="AI29" s="6"/>
      <c r="AJ29" s="6"/>
      <c r="AK29" s="4" t="e">
        <f t="shared" si="11"/>
        <v>#DIV/0!</v>
      </c>
      <c r="AL29" s="95">
        <f t="shared" si="12"/>
        <v>75</v>
      </c>
      <c r="AM29" s="95">
        <f t="shared" si="13"/>
        <v>796</v>
      </c>
      <c r="AN29" s="4">
        <f t="shared" si="14"/>
        <v>9.4221105527638196E-2</v>
      </c>
      <c r="AO29" s="98" t="str">
        <f t="shared" si="15"/>
        <v>1</v>
      </c>
      <c r="AS29" s="2" t="s">
        <v>165</v>
      </c>
    </row>
    <row r="30" spans="1:45" x14ac:dyDescent="0.15">
      <c r="A30" s="77" t="s">
        <v>115</v>
      </c>
      <c r="B30" s="154">
        <f>[4]A07!$V$99+[4]A32!$W$63</f>
        <v>0</v>
      </c>
      <c r="C30" s="154">
        <f>'1,6 CN'!C30-'1,6 CN'!B30</f>
        <v>0</v>
      </c>
      <c r="D30" s="4" t="str">
        <f t="shared" si="7"/>
        <v/>
      </c>
      <c r="E30" s="154">
        <f>[5]A07!$V$99+[5]A32!$W$63</f>
        <v>0</v>
      </c>
      <c r="F30" s="154">
        <f>'1,6 CN'!F30-'1,6 CN'!E30</f>
        <v>0</v>
      </c>
      <c r="G30" s="4" t="str">
        <f t="shared" si="8"/>
        <v/>
      </c>
      <c r="H30" s="154">
        <f>[6]A07!$V$99+[6]A32!$W$63</f>
        <v>0</v>
      </c>
      <c r="I30" s="154">
        <f>'1,6 CN'!I30-'1,6 CN'!H30</f>
        <v>0</v>
      </c>
      <c r="J30" s="4" t="str">
        <f t="shared" si="9"/>
        <v/>
      </c>
      <c r="K30" s="154">
        <f>[7]A07!$V$99+[7]A32!$W$63</f>
        <v>0</v>
      </c>
      <c r="L30" s="154">
        <f>'1,6 CN'!L30-'1,6 CN'!K30</f>
        <v>0</v>
      </c>
      <c r="M30" s="4" t="str">
        <f t="shared" si="10"/>
        <v/>
      </c>
      <c r="N30" s="154">
        <f>[8]A07!$V$99+[8]A32!$W$63</f>
        <v>0</v>
      </c>
      <c r="O30" s="154">
        <f>'1,6 CN'!O30-'1,6 CN'!N30</f>
        <v>0</v>
      </c>
      <c r="P30" s="4" t="e">
        <f t="shared" si="0"/>
        <v>#DIV/0!</v>
      </c>
      <c r="Q30" s="83"/>
      <c r="R30" s="84"/>
      <c r="S30" s="4" t="e">
        <f t="shared" si="1"/>
        <v>#DIV/0!</v>
      </c>
      <c r="T30" s="83"/>
      <c r="U30" s="84"/>
      <c r="V30" s="4" t="e">
        <f t="shared" si="2"/>
        <v>#DIV/0!</v>
      </c>
      <c r="W30" s="83"/>
      <c r="X30" s="84"/>
      <c r="Y30" s="4" t="e">
        <f t="shared" si="3"/>
        <v>#DIV/0!</v>
      </c>
      <c r="Z30" s="83"/>
      <c r="AA30" s="84"/>
      <c r="AB30" s="4" t="e">
        <f t="shared" si="4"/>
        <v>#DIV/0!</v>
      </c>
      <c r="AC30" s="83"/>
      <c r="AD30" s="84"/>
      <c r="AE30" s="4" t="e">
        <f t="shared" si="5"/>
        <v>#DIV/0!</v>
      </c>
      <c r="AF30" s="83"/>
      <c r="AG30" s="84"/>
      <c r="AH30" s="4" t="e">
        <f t="shared" si="6"/>
        <v>#DIV/0!</v>
      </c>
      <c r="AI30" s="6"/>
      <c r="AJ30" s="6"/>
      <c r="AK30" s="4" t="e">
        <f t="shared" si="11"/>
        <v>#DIV/0!</v>
      </c>
      <c r="AL30" s="95">
        <f t="shared" si="12"/>
        <v>0</v>
      </c>
      <c r="AM30" s="95">
        <f t="shared" si="13"/>
        <v>0</v>
      </c>
      <c r="AN30" s="4" t="str">
        <f t="shared" si="14"/>
        <v/>
      </c>
      <c r="AO30" s="98" t="str">
        <f t="shared" si="15"/>
        <v>0</v>
      </c>
      <c r="AS30" s="2" t="s">
        <v>165</v>
      </c>
    </row>
    <row r="31" spans="1:45" x14ac:dyDescent="0.15">
      <c r="A31" s="77" t="s">
        <v>116</v>
      </c>
      <c r="B31" s="154">
        <f>[4]A07!$V$100+[4]A32!$W$64</f>
        <v>58</v>
      </c>
      <c r="C31" s="154">
        <f>'1,6 CN'!C31-'1,6 CN'!B31</f>
        <v>317</v>
      </c>
      <c r="D31" s="4">
        <f t="shared" si="7"/>
        <v>0.18296529968454259</v>
      </c>
      <c r="E31" s="154">
        <f>[5]A07!$V$100+[5]A32!$W$64</f>
        <v>42</v>
      </c>
      <c r="F31" s="154">
        <f>'1,6 CN'!F31-'1,6 CN'!E31</f>
        <v>190</v>
      </c>
      <c r="G31" s="4">
        <f t="shared" si="8"/>
        <v>0.22105263157894736</v>
      </c>
      <c r="H31" s="154">
        <f>[6]A07!$V$100+[6]A32!$W$64</f>
        <v>46</v>
      </c>
      <c r="I31" s="154">
        <f>'1,6 CN'!I31-'1,6 CN'!H31</f>
        <v>277</v>
      </c>
      <c r="J31" s="4">
        <f t="shared" si="9"/>
        <v>0.16606498194945848</v>
      </c>
      <c r="K31" s="154">
        <f>[7]A07!$V$100+[7]A32!$W$64</f>
        <v>33</v>
      </c>
      <c r="L31" s="154">
        <f>'1,6 CN'!L31-'1,6 CN'!K31</f>
        <v>312</v>
      </c>
      <c r="M31" s="4">
        <f t="shared" si="10"/>
        <v>0.10576923076923077</v>
      </c>
      <c r="N31" s="154">
        <f>[8]A07!$V$100+[8]A32!$W$64</f>
        <v>28</v>
      </c>
      <c r="O31" s="154">
        <f>'1,6 CN'!O31-'1,6 CN'!N31</f>
        <v>262</v>
      </c>
      <c r="P31" s="4">
        <f t="shared" si="0"/>
        <v>0.10687022900763359</v>
      </c>
      <c r="Q31" s="83"/>
      <c r="R31" s="84"/>
      <c r="S31" s="4" t="e">
        <f t="shared" si="1"/>
        <v>#DIV/0!</v>
      </c>
      <c r="T31" s="83"/>
      <c r="U31" s="84"/>
      <c r="V31" s="4" t="e">
        <f t="shared" si="2"/>
        <v>#DIV/0!</v>
      </c>
      <c r="W31" s="83"/>
      <c r="X31" s="84"/>
      <c r="Y31" s="4" t="e">
        <f t="shared" si="3"/>
        <v>#DIV/0!</v>
      </c>
      <c r="Z31" s="83"/>
      <c r="AA31" s="84"/>
      <c r="AB31" s="4" t="e">
        <f t="shared" si="4"/>
        <v>#DIV/0!</v>
      </c>
      <c r="AC31" s="83"/>
      <c r="AD31" s="84"/>
      <c r="AE31" s="4" t="e">
        <f t="shared" si="5"/>
        <v>#DIV/0!</v>
      </c>
      <c r="AF31" s="83"/>
      <c r="AG31" s="84"/>
      <c r="AH31" s="4" t="e">
        <f t="shared" si="6"/>
        <v>#DIV/0!</v>
      </c>
      <c r="AI31" s="6"/>
      <c r="AJ31" s="6"/>
      <c r="AK31" s="4" t="e">
        <f t="shared" si="11"/>
        <v>#DIV/0!</v>
      </c>
      <c r="AL31" s="95">
        <f t="shared" si="12"/>
        <v>207</v>
      </c>
      <c r="AM31" s="95">
        <f t="shared" si="13"/>
        <v>1358</v>
      </c>
      <c r="AN31" s="4">
        <f t="shared" si="14"/>
        <v>0.15243004418262152</v>
      </c>
      <c r="AO31" s="98" t="str">
        <f t="shared" si="15"/>
        <v>0</v>
      </c>
      <c r="AS31" s="2" t="s">
        <v>165</v>
      </c>
    </row>
    <row r="32" spans="1:45" x14ac:dyDescent="0.15">
      <c r="A32" s="77" t="s">
        <v>117</v>
      </c>
      <c r="B32" s="154">
        <f>[4]A07!$V$101+[4]A32!$W$65</f>
        <v>55</v>
      </c>
      <c r="C32" s="154">
        <f>'1,6 CN'!C32-'1,6 CN'!B32</f>
        <v>281</v>
      </c>
      <c r="D32" s="4">
        <f t="shared" si="7"/>
        <v>0.19572953736654805</v>
      </c>
      <c r="E32" s="154">
        <f>[5]A07!$V$101+[5]A32!$W$65</f>
        <v>47</v>
      </c>
      <c r="F32" s="154">
        <f>'1,6 CN'!F32-'1,6 CN'!E32</f>
        <v>192</v>
      </c>
      <c r="G32" s="4">
        <f t="shared" si="8"/>
        <v>0.24479166666666666</v>
      </c>
      <c r="H32" s="154">
        <f>[6]A07!$V$101+[6]A32!$W$65</f>
        <v>82</v>
      </c>
      <c r="I32" s="154">
        <f>'1,6 CN'!I32-'1,6 CN'!H32</f>
        <v>510</v>
      </c>
      <c r="J32" s="4">
        <f t="shared" si="9"/>
        <v>0.16078431372549021</v>
      </c>
      <c r="K32" s="154">
        <f>[7]A07!$V$101+[7]A32!$W$65</f>
        <v>73</v>
      </c>
      <c r="L32" s="154">
        <f>'1,6 CN'!L32-'1,6 CN'!K32</f>
        <v>491</v>
      </c>
      <c r="M32" s="4">
        <f t="shared" si="10"/>
        <v>0.14867617107942974</v>
      </c>
      <c r="N32" s="154">
        <f>[8]A07!$V$101+[8]A32!$W$65</f>
        <v>51</v>
      </c>
      <c r="O32" s="154">
        <f>'1,6 CN'!O32-'1,6 CN'!N32</f>
        <v>360</v>
      </c>
      <c r="P32" s="4">
        <f t="shared" si="0"/>
        <v>0.14166666666666666</v>
      </c>
      <c r="Q32" s="83"/>
      <c r="R32" s="84"/>
      <c r="S32" s="4" t="e">
        <f t="shared" si="1"/>
        <v>#DIV/0!</v>
      </c>
      <c r="T32" s="83"/>
      <c r="U32" s="84"/>
      <c r="V32" s="4" t="e">
        <f t="shared" si="2"/>
        <v>#DIV/0!</v>
      </c>
      <c r="W32" s="83"/>
      <c r="X32" s="84"/>
      <c r="Y32" s="4" t="e">
        <f t="shared" si="3"/>
        <v>#DIV/0!</v>
      </c>
      <c r="Z32" s="83"/>
      <c r="AA32" s="84"/>
      <c r="AB32" s="4" t="e">
        <f t="shared" si="4"/>
        <v>#DIV/0!</v>
      </c>
      <c r="AC32" s="83"/>
      <c r="AD32" s="84"/>
      <c r="AE32" s="4" t="e">
        <f t="shared" si="5"/>
        <v>#DIV/0!</v>
      </c>
      <c r="AF32" s="83"/>
      <c r="AG32" s="84"/>
      <c r="AH32" s="4" t="e">
        <f t="shared" si="6"/>
        <v>#DIV/0!</v>
      </c>
      <c r="AI32" s="6"/>
      <c r="AJ32" s="6"/>
      <c r="AK32" s="4" t="e">
        <f t="shared" si="11"/>
        <v>#DIV/0!</v>
      </c>
      <c r="AL32" s="95">
        <f t="shared" si="12"/>
        <v>308</v>
      </c>
      <c r="AM32" s="95">
        <f t="shared" si="13"/>
        <v>1834</v>
      </c>
      <c r="AN32" s="4">
        <f t="shared" si="14"/>
        <v>0.16793893129770993</v>
      </c>
      <c r="AO32" s="98" t="str">
        <f t="shared" si="15"/>
        <v>0</v>
      </c>
      <c r="AS32" s="2" t="s">
        <v>165</v>
      </c>
    </row>
    <row r="33" spans="1:45" x14ac:dyDescent="0.15">
      <c r="A33" s="80" t="s">
        <v>118</v>
      </c>
      <c r="B33" s="154">
        <f>[4]A07!$V$102+[4]A32!$W$66</f>
        <v>35</v>
      </c>
      <c r="C33" s="154">
        <f>'1,6 CN'!C33-'1,6 CN'!B33</f>
        <v>103</v>
      </c>
      <c r="D33" s="4">
        <f t="shared" si="7"/>
        <v>0.33980582524271846</v>
      </c>
      <c r="E33" s="154">
        <f>[5]A07!$V$102+[5]A32!$W$66</f>
        <v>23</v>
      </c>
      <c r="F33" s="154">
        <f>'1,6 CN'!F33-'1,6 CN'!E33</f>
        <v>104</v>
      </c>
      <c r="G33" s="4">
        <f t="shared" si="8"/>
        <v>0.22115384615384615</v>
      </c>
      <c r="H33" s="154">
        <f>[6]A07!$V$102+[6]A32!$W$66</f>
        <v>20</v>
      </c>
      <c r="I33" s="154">
        <f>'1,6 CN'!I33-'1,6 CN'!H33</f>
        <v>88</v>
      </c>
      <c r="J33" s="4">
        <f t="shared" si="9"/>
        <v>0.22727272727272727</v>
      </c>
      <c r="K33" s="154">
        <f>[7]A07!$V$102+[7]A32!$W$66</f>
        <v>34</v>
      </c>
      <c r="L33" s="154">
        <f>'1,6 CN'!L33-'1,6 CN'!K33</f>
        <v>148</v>
      </c>
      <c r="M33" s="4">
        <f t="shared" si="10"/>
        <v>0.22972972972972974</v>
      </c>
      <c r="N33" s="154">
        <f>[8]A07!$V$102+[8]A32!$W$66</f>
        <v>14</v>
      </c>
      <c r="O33" s="154">
        <f>'1,6 CN'!O33-'1,6 CN'!N33</f>
        <v>96</v>
      </c>
      <c r="P33" s="4">
        <f t="shared" si="0"/>
        <v>0.14583333333333334</v>
      </c>
      <c r="Q33" s="83"/>
      <c r="R33" s="84"/>
      <c r="S33" s="4" t="e">
        <f t="shared" si="1"/>
        <v>#DIV/0!</v>
      </c>
      <c r="T33" s="83"/>
      <c r="U33" s="84"/>
      <c r="V33" s="4" t="e">
        <f t="shared" si="2"/>
        <v>#DIV/0!</v>
      </c>
      <c r="W33" s="83"/>
      <c r="X33" s="84"/>
      <c r="Y33" s="4" t="e">
        <f t="shared" si="3"/>
        <v>#DIV/0!</v>
      </c>
      <c r="Z33" s="83"/>
      <c r="AA33" s="84"/>
      <c r="AB33" s="4" t="e">
        <f t="shared" si="4"/>
        <v>#DIV/0!</v>
      </c>
      <c r="AC33" s="83"/>
      <c r="AD33" s="84"/>
      <c r="AE33" s="4" t="e">
        <f t="shared" si="5"/>
        <v>#DIV/0!</v>
      </c>
      <c r="AF33" s="83"/>
      <c r="AG33" s="84"/>
      <c r="AH33" s="4" t="e">
        <f t="shared" si="6"/>
        <v>#DIV/0!</v>
      </c>
      <c r="AI33" s="6"/>
      <c r="AJ33" s="6"/>
      <c r="AK33" s="4" t="e">
        <f t="shared" si="11"/>
        <v>#DIV/0!</v>
      </c>
      <c r="AL33" s="95">
        <f t="shared" si="12"/>
        <v>126</v>
      </c>
      <c r="AM33" s="95">
        <f t="shared" si="13"/>
        <v>539</v>
      </c>
      <c r="AN33" s="4">
        <f t="shared" si="14"/>
        <v>0.23376623376623376</v>
      </c>
      <c r="AO33" s="98" t="str">
        <f t="shared" si="15"/>
        <v>0</v>
      </c>
      <c r="AS33" s="2" t="s">
        <v>165</v>
      </c>
    </row>
    <row r="34" spans="1:45" ht="14.45" customHeight="1" x14ac:dyDescent="0.15">
      <c r="A34" s="77" t="s">
        <v>119</v>
      </c>
      <c r="B34" s="154">
        <f>[4]A07!$V$103+[4]A32!$W$67</f>
        <v>17</v>
      </c>
      <c r="C34" s="154">
        <f>'1,6 CN'!C34-'1,6 CN'!B34</f>
        <v>154</v>
      </c>
      <c r="D34" s="4">
        <f t="shared" si="7"/>
        <v>0.11038961038961038</v>
      </c>
      <c r="E34" s="154">
        <f>[5]A07!$V$103+[5]A32!$W$67</f>
        <v>16</v>
      </c>
      <c r="F34" s="154">
        <f>'1,6 CN'!F34-'1,6 CN'!E34</f>
        <v>158</v>
      </c>
      <c r="G34" s="4">
        <f t="shared" si="8"/>
        <v>0.10126582278481013</v>
      </c>
      <c r="H34" s="154">
        <f>[6]A07!$V$103+[6]A32!$W$67</f>
        <v>33</v>
      </c>
      <c r="I34" s="154">
        <f>'1,6 CN'!I34-'1,6 CN'!H34</f>
        <v>227</v>
      </c>
      <c r="J34" s="4">
        <f t="shared" si="9"/>
        <v>0.14537444933920704</v>
      </c>
      <c r="K34" s="154">
        <f>[7]A07!$V$103+[7]A32!$W$67</f>
        <v>26</v>
      </c>
      <c r="L34" s="154">
        <f>'1,6 CN'!L34-'1,6 CN'!K34</f>
        <v>210</v>
      </c>
      <c r="M34" s="4">
        <f t="shared" si="10"/>
        <v>0.12380952380952381</v>
      </c>
      <c r="N34" s="154">
        <f>[8]A07!$V$103+[8]A32!$W$67</f>
        <v>30</v>
      </c>
      <c r="O34" s="154">
        <f>'1,6 CN'!O34-'1,6 CN'!N34</f>
        <v>220</v>
      </c>
      <c r="P34" s="4">
        <f t="shared" si="0"/>
        <v>0.13636363636363635</v>
      </c>
      <c r="Q34" s="83"/>
      <c r="R34" s="84"/>
      <c r="S34" s="4" t="e">
        <f t="shared" si="1"/>
        <v>#DIV/0!</v>
      </c>
      <c r="T34" s="83"/>
      <c r="U34" s="84"/>
      <c r="V34" s="4" t="e">
        <f t="shared" si="2"/>
        <v>#DIV/0!</v>
      </c>
      <c r="W34" s="83"/>
      <c r="X34" s="84"/>
      <c r="Y34" s="4" t="e">
        <f t="shared" si="3"/>
        <v>#DIV/0!</v>
      </c>
      <c r="Z34" s="83"/>
      <c r="AA34" s="84"/>
      <c r="AB34" s="4" t="e">
        <f t="shared" si="4"/>
        <v>#DIV/0!</v>
      </c>
      <c r="AC34" s="83"/>
      <c r="AD34" s="84"/>
      <c r="AE34" s="4" t="e">
        <f t="shared" si="5"/>
        <v>#DIV/0!</v>
      </c>
      <c r="AF34" s="83"/>
      <c r="AG34" s="84"/>
      <c r="AH34" s="4" t="e">
        <f t="shared" si="6"/>
        <v>#DIV/0!</v>
      </c>
      <c r="AI34" s="6"/>
      <c r="AJ34" s="6"/>
      <c r="AK34" s="4" t="e">
        <f t="shared" si="11"/>
        <v>#DIV/0!</v>
      </c>
      <c r="AL34" s="95">
        <f t="shared" si="12"/>
        <v>122</v>
      </c>
      <c r="AM34" s="95">
        <f t="shared" si="13"/>
        <v>969</v>
      </c>
      <c r="AN34" s="4">
        <f t="shared" si="14"/>
        <v>0.12590299277605779</v>
      </c>
      <c r="AO34" s="98" t="str">
        <f t="shared" si="15"/>
        <v>0</v>
      </c>
      <c r="AS34" s="2" t="s">
        <v>165</v>
      </c>
    </row>
    <row r="35" spans="1:45" x14ac:dyDescent="0.15">
      <c r="A35" s="81" t="s">
        <v>120</v>
      </c>
      <c r="B35" s="154">
        <f>[4]A07!$V$104+[4]A32!$W$68</f>
        <v>0</v>
      </c>
      <c r="C35" s="154">
        <f>'1,6 CN'!C35-'1,6 CN'!B35</f>
        <v>0</v>
      </c>
      <c r="D35" s="4" t="str">
        <f t="shared" si="7"/>
        <v/>
      </c>
      <c r="E35" s="154">
        <f>[5]A07!$V$104+[5]A32!$W$68</f>
        <v>1</v>
      </c>
      <c r="F35" s="154">
        <f>'1,6 CN'!F35-'1,6 CN'!E35</f>
        <v>16</v>
      </c>
      <c r="G35" s="4">
        <f t="shared" si="8"/>
        <v>6.25E-2</v>
      </c>
      <c r="H35" s="154">
        <f>[6]A07!$V$104+[6]A32!$W$68</f>
        <v>1</v>
      </c>
      <c r="I35" s="154">
        <f>'1,6 CN'!I35-'1,6 CN'!H35</f>
        <v>23</v>
      </c>
      <c r="J35" s="4">
        <f t="shared" si="9"/>
        <v>4.3478260869565216E-2</v>
      </c>
      <c r="K35" s="154">
        <f>[7]A07!$V$104+[7]A32!$W$68</f>
        <v>0</v>
      </c>
      <c r="L35" s="154">
        <f>'1,6 CN'!L35-'1,6 CN'!K35</f>
        <v>14</v>
      </c>
      <c r="M35" s="4">
        <f t="shared" si="10"/>
        <v>0</v>
      </c>
      <c r="N35" s="154">
        <f>[8]A07!$V$104+[8]A32!$W$68</f>
        <v>4</v>
      </c>
      <c r="O35" s="154">
        <f>'1,6 CN'!O35-'1,6 CN'!N35</f>
        <v>13</v>
      </c>
      <c r="P35" s="4">
        <f t="shared" si="0"/>
        <v>0.30769230769230771</v>
      </c>
      <c r="Q35" s="83"/>
      <c r="R35" s="84"/>
      <c r="S35" s="4" t="e">
        <f t="shared" si="1"/>
        <v>#DIV/0!</v>
      </c>
      <c r="T35" s="83"/>
      <c r="U35" s="84"/>
      <c r="V35" s="4" t="e">
        <f t="shared" si="2"/>
        <v>#DIV/0!</v>
      </c>
      <c r="W35" s="83"/>
      <c r="X35" s="84"/>
      <c r="Y35" s="4" t="e">
        <f t="shared" si="3"/>
        <v>#DIV/0!</v>
      </c>
      <c r="Z35" s="83"/>
      <c r="AA35" s="84"/>
      <c r="AB35" s="4" t="e">
        <f t="shared" si="4"/>
        <v>#DIV/0!</v>
      </c>
      <c r="AC35" s="83"/>
      <c r="AD35" s="84"/>
      <c r="AE35" s="4" t="e">
        <f t="shared" si="5"/>
        <v>#DIV/0!</v>
      </c>
      <c r="AF35" s="83"/>
      <c r="AG35" s="84"/>
      <c r="AH35" s="4" t="e">
        <f t="shared" si="6"/>
        <v>#DIV/0!</v>
      </c>
      <c r="AI35" s="6"/>
      <c r="AJ35" s="6"/>
      <c r="AK35" s="4" t="e">
        <f t="shared" si="11"/>
        <v>#DIV/0!</v>
      </c>
      <c r="AL35" s="95">
        <f t="shared" si="12"/>
        <v>6</v>
      </c>
      <c r="AM35" s="95">
        <f t="shared" si="13"/>
        <v>66</v>
      </c>
      <c r="AN35" s="4">
        <f t="shared" si="14"/>
        <v>9.0909090909090912E-2</v>
      </c>
      <c r="AO35" s="98" t="str">
        <f t="shared" si="15"/>
        <v>1</v>
      </c>
      <c r="AS35" s="2" t="s">
        <v>165</v>
      </c>
    </row>
    <row r="36" spans="1:45" x14ac:dyDescent="0.15">
      <c r="A36" s="82" t="s">
        <v>121</v>
      </c>
      <c r="B36" s="154">
        <f>[4]A07!$V$105+[4]A32!$W$69</f>
        <v>0</v>
      </c>
      <c r="C36" s="154">
        <f>'1,6 CN'!C36-'1,6 CN'!B36</f>
        <v>0</v>
      </c>
      <c r="D36" s="4" t="str">
        <f t="shared" si="7"/>
        <v/>
      </c>
      <c r="E36" s="154">
        <f>[5]A07!$V$105+[5]A32!$W$69</f>
        <v>0</v>
      </c>
      <c r="F36" s="154">
        <f>'1,6 CN'!F36-'1,6 CN'!E36</f>
        <v>0</v>
      </c>
      <c r="G36" s="4" t="str">
        <f t="shared" si="8"/>
        <v/>
      </c>
      <c r="H36" s="154">
        <f>[6]A07!$V$105+[6]A32!$W$69</f>
        <v>0</v>
      </c>
      <c r="I36" s="154">
        <f>'1,6 CN'!I36-'1,6 CN'!H36</f>
        <v>0</v>
      </c>
      <c r="J36" s="4" t="str">
        <f t="shared" si="9"/>
        <v/>
      </c>
      <c r="K36" s="154">
        <f>[7]A07!$V$105+[7]A32!$W$69</f>
        <v>0</v>
      </c>
      <c r="L36" s="154">
        <f>'1,6 CN'!L36-'1,6 CN'!K36</f>
        <v>0</v>
      </c>
      <c r="M36" s="4" t="str">
        <f t="shared" si="10"/>
        <v/>
      </c>
      <c r="N36" s="154">
        <f>[8]A07!$V$105+[8]A32!$W$69</f>
        <v>0</v>
      </c>
      <c r="O36" s="154">
        <f>'1,6 CN'!O36-'1,6 CN'!N36</f>
        <v>0</v>
      </c>
      <c r="P36" s="4" t="e">
        <f t="shared" si="0"/>
        <v>#DIV/0!</v>
      </c>
      <c r="Q36" s="83"/>
      <c r="R36" s="84"/>
      <c r="S36" s="4" t="e">
        <f t="shared" si="1"/>
        <v>#DIV/0!</v>
      </c>
      <c r="T36" s="83"/>
      <c r="U36" s="84"/>
      <c r="V36" s="4" t="e">
        <f t="shared" si="2"/>
        <v>#DIV/0!</v>
      </c>
      <c r="W36" s="83"/>
      <c r="X36" s="84"/>
      <c r="Y36" s="4" t="e">
        <f t="shared" si="3"/>
        <v>#DIV/0!</v>
      </c>
      <c r="Z36" s="83"/>
      <c r="AA36" s="84"/>
      <c r="AB36" s="4" t="e">
        <f t="shared" si="4"/>
        <v>#DIV/0!</v>
      </c>
      <c r="AC36" s="83"/>
      <c r="AD36" s="84"/>
      <c r="AE36" s="4" t="e">
        <f t="shared" si="5"/>
        <v>#DIV/0!</v>
      </c>
      <c r="AF36" s="83"/>
      <c r="AG36" s="84"/>
      <c r="AH36" s="4" t="e">
        <f t="shared" si="6"/>
        <v>#DIV/0!</v>
      </c>
      <c r="AI36" s="6"/>
      <c r="AJ36" s="6"/>
      <c r="AK36" s="4" t="e">
        <f t="shared" si="11"/>
        <v>#DIV/0!</v>
      </c>
      <c r="AL36" s="95">
        <f t="shared" si="12"/>
        <v>0</v>
      </c>
      <c r="AM36" s="95">
        <f t="shared" si="13"/>
        <v>0</v>
      </c>
      <c r="AN36" s="4" t="str">
        <f t="shared" si="14"/>
        <v/>
      </c>
      <c r="AO36" s="98" t="str">
        <f t="shared" si="15"/>
        <v>0</v>
      </c>
      <c r="AS36" s="2" t="s">
        <v>165</v>
      </c>
    </row>
    <row r="37" spans="1:45" x14ac:dyDescent="0.15">
      <c r="A37" s="77" t="s">
        <v>122</v>
      </c>
      <c r="B37" s="154">
        <f>[4]A07!$V$106+[4]A32!$W$70</f>
        <v>0</v>
      </c>
      <c r="C37" s="154">
        <f>'1,6 CN'!C37-'1,6 CN'!B37</f>
        <v>0</v>
      </c>
      <c r="D37" s="4" t="str">
        <f t="shared" si="7"/>
        <v/>
      </c>
      <c r="E37" s="154">
        <f>[5]A07!$V$106+[5]A32!$W$70</f>
        <v>0</v>
      </c>
      <c r="F37" s="154">
        <f>'1,6 CN'!F37-'1,6 CN'!E37</f>
        <v>0</v>
      </c>
      <c r="G37" s="4" t="str">
        <f t="shared" si="8"/>
        <v/>
      </c>
      <c r="H37" s="154">
        <f>[6]A07!$V$106+[6]A32!$W$70</f>
        <v>0</v>
      </c>
      <c r="I37" s="154">
        <f>'1,6 CN'!I37-'1,6 CN'!H37</f>
        <v>0</v>
      </c>
      <c r="J37" s="4" t="str">
        <f t="shared" si="9"/>
        <v/>
      </c>
      <c r="K37" s="154">
        <f>[7]A07!$V$106+[7]A32!$W$70</f>
        <v>0</v>
      </c>
      <c r="L37" s="154">
        <f>'1,6 CN'!L37-'1,6 CN'!K37</f>
        <v>0</v>
      </c>
      <c r="M37" s="4" t="str">
        <f t="shared" si="10"/>
        <v/>
      </c>
      <c r="N37" s="154">
        <f>[8]A07!$V$106+[8]A32!$W$70</f>
        <v>0</v>
      </c>
      <c r="O37" s="154">
        <f>'1,6 CN'!O37-'1,6 CN'!N37</f>
        <v>0</v>
      </c>
      <c r="P37" s="4" t="e">
        <f t="shared" si="0"/>
        <v>#DIV/0!</v>
      </c>
      <c r="Q37" s="83"/>
      <c r="R37" s="84"/>
      <c r="S37" s="4" t="e">
        <f t="shared" si="1"/>
        <v>#DIV/0!</v>
      </c>
      <c r="T37" s="83"/>
      <c r="U37" s="84"/>
      <c r="V37" s="4" t="e">
        <f t="shared" si="2"/>
        <v>#DIV/0!</v>
      </c>
      <c r="W37" s="83"/>
      <c r="X37" s="84"/>
      <c r="Y37" s="4" t="e">
        <f t="shared" si="3"/>
        <v>#DIV/0!</v>
      </c>
      <c r="Z37" s="83"/>
      <c r="AA37" s="84"/>
      <c r="AB37" s="4" t="e">
        <f t="shared" si="4"/>
        <v>#DIV/0!</v>
      </c>
      <c r="AC37" s="83"/>
      <c r="AD37" s="84"/>
      <c r="AE37" s="4" t="e">
        <f t="shared" si="5"/>
        <v>#DIV/0!</v>
      </c>
      <c r="AF37" s="83"/>
      <c r="AG37" s="84"/>
      <c r="AH37" s="4" t="e">
        <f t="shared" si="6"/>
        <v>#DIV/0!</v>
      </c>
      <c r="AI37" s="6"/>
      <c r="AJ37" s="6"/>
      <c r="AK37" s="4" t="e">
        <f t="shared" si="11"/>
        <v>#DIV/0!</v>
      </c>
      <c r="AL37" s="95">
        <f t="shared" si="12"/>
        <v>0</v>
      </c>
      <c r="AM37" s="95">
        <f t="shared" si="13"/>
        <v>0</v>
      </c>
      <c r="AN37" s="4" t="str">
        <f t="shared" si="14"/>
        <v/>
      </c>
      <c r="AO37" s="98" t="str">
        <f t="shared" si="15"/>
        <v>0</v>
      </c>
      <c r="AS37" s="2" t="s">
        <v>165</v>
      </c>
    </row>
    <row r="38" spans="1:45" x14ac:dyDescent="0.15">
      <c r="A38" s="77" t="s">
        <v>123</v>
      </c>
      <c r="B38" s="154">
        <f>[4]A07!$V$107+[4]A32!$W$71</f>
        <v>0</v>
      </c>
      <c r="C38" s="154">
        <f>'1,6 CN'!C38-'1,6 CN'!B38</f>
        <v>0</v>
      </c>
      <c r="D38" s="4" t="str">
        <f t="shared" si="7"/>
        <v/>
      </c>
      <c r="E38" s="154">
        <f>[5]A07!$V$107+[5]A32!$W$71</f>
        <v>0</v>
      </c>
      <c r="F38" s="154">
        <f>'1,6 CN'!F38-'1,6 CN'!E38</f>
        <v>0</v>
      </c>
      <c r="G38" s="4" t="str">
        <f t="shared" si="8"/>
        <v/>
      </c>
      <c r="H38" s="154">
        <f>[6]A07!$V$107+[6]A32!$W$71</f>
        <v>0</v>
      </c>
      <c r="I38" s="154">
        <f>'1,6 CN'!I38-'1,6 CN'!H38</f>
        <v>0</v>
      </c>
      <c r="J38" s="4" t="str">
        <f t="shared" si="9"/>
        <v/>
      </c>
      <c r="K38" s="154">
        <f>[7]A07!$V$107+[7]A32!$W$71</f>
        <v>0</v>
      </c>
      <c r="L38" s="154">
        <f>'1,6 CN'!L38-'1,6 CN'!K38</f>
        <v>0</v>
      </c>
      <c r="M38" s="4" t="str">
        <f t="shared" si="10"/>
        <v/>
      </c>
      <c r="N38" s="154">
        <f>[8]A07!$V$107+[8]A32!$W$71</f>
        <v>0</v>
      </c>
      <c r="O38" s="154">
        <f>'1,6 CN'!O38-'1,6 CN'!N38</f>
        <v>0</v>
      </c>
      <c r="P38" s="4" t="e">
        <f t="shared" si="0"/>
        <v>#DIV/0!</v>
      </c>
      <c r="Q38" s="83"/>
      <c r="R38" s="84"/>
      <c r="S38" s="4" t="e">
        <f t="shared" si="1"/>
        <v>#DIV/0!</v>
      </c>
      <c r="T38" s="83"/>
      <c r="U38" s="84"/>
      <c r="V38" s="4" t="e">
        <f t="shared" si="2"/>
        <v>#DIV/0!</v>
      </c>
      <c r="W38" s="83"/>
      <c r="X38" s="84"/>
      <c r="Y38" s="4" t="e">
        <f t="shared" si="3"/>
        <v>#DIV/0!</v>
      </c>
      <c r="Z38" s="83"/>
      <c r="AA38" s="84"/>
      <c r="AB38" s="4" t="e">
        <f t="shared" si="4"/>
        <v>#DIV/0!</v>
      </c>
      <c r="AC38" s="83"/>
      <c r="AD38" s="84"/>
      <c r="AE38" s="4" t="e">
        <f t="shared" si="5"/>
        <v>#DIV/0!</v>
      </c>
      <c r="AF38" s="83"/>
      <c r="AG38" s="84"/>
      <c r="AH38" s="4" t="e">
        <f t="shared" si="6"/>
        <v>#DIV/0!</v>
      </c>
      <c r="AI38" s="6"/>
      <c r="AJ38" s="6"/>
      <c r="AK38" s="4" t="e">
        <f t="shared" si="11"/>
        <v>#DIV/0!</v>
      </c>
      <c r="AL38" s="95">
        <f t="shared" si="12"/>
        <v>0</v>
      </c>
      <c r="AM38" s="95">
        <f t="shared" si="13"/>
        <v>0</v>
      </c>
      <c r="AN38" s="4" t="str">
        <f t="shared" si="14"/>
        <v/>
      </c>
      <c r="AO38" s="98" t="str">
        <f t="shared" si="15"/>
        <v>0</v>
      </c>
      <c r="AS38" s="2" t="s">
        <v>165</v>
      </c>
    </row>
    <row r="39" spans="1:45" x14ac:dyDescent="0.15">
      <c r="A39" s="77" t="s">
        <v>124</v>
      </c>
      <c r="B39" s="154">
        <f>[4]A07!$V$108+[4]A32!$W$72</f>
        <v>3</v>
      </c>
      <c r="C39" s="154">
        <f>'1,6 CN'!C39-'1,6 CN'!B39</f>
        <v>18</v>
      </c>
      <c r="D39" s="4">
        <f t="shared" si="7"/>
        <v>0.16666666666666666</v>
      </c>
      <c r="E39" s="154">
        <f>[5]A07!$V$108+[5]A32!$W$72</f>
        <v>0</v>
      </c>
      <c r="F39" s="154">
        <f>'1,6 CN'!F39-'1,6 CN'!E39</f>
        <v>10</v>
      </c>
      <c r="G39" s="4">
        <f t="shared" si="8"/>
        <v>0</v>
      </c>
      <c r="H39" s="154">
        <f>[6]A07!$V$108+[6]A32!$W$72</f>
        <v>0</v>
      </c>
      <c r="I39" s="154">
        <f>'1,6 CN'!I39-'1,6 CN'!H39</f>
        <v>37</v>
      </c>
      <c r="J39" s="4">
        <f t="shared" si="9"/>
        <v>0</v>
      </c>
      <c r="K39" s="154">
        <f>[7]A07!$V$108+[7]A32!$W$72</f>
        <v>0</v>
      </c>
      <c r="L39" s="154">
        <f>'1,6 CN'!L39-'1,6 CN'!K39</f>
        <v>19</v>
      </c>
      <c r="M39" s="4">
        <f t="shared" si="10"/>
        <v>0</v>
      </c>
      <c r="N39" s="154">
        <f>[8]A07!$V$108+[8]A32!$W$72</f>
        <v>0</v>
      </c>
      <c r="O39" s="154">
        <f>'1,6 CN'!O39-'1,6 CN'!N39</f>
        <v>29</v>
      </c>
      <c r="P39" s="4">
        <f t="shared" si="0"/>
        <v>0</v>
      </c>
      <c r="Q39" s="83"/>
      <c r="R39" s="84"/>
      <c r="S39" s="4" t="e">
        <f t="shared" si="1"/>
        <v>#DIV/0!</v>
      </c>
      <c r="T39" s="83"/>
      <c r="U39" s="84"/>
      <c r="V39" s="4" t="e">
        <f t="shared" si="2"/>
        <v>#DIV/0!</v>
      </c>
      <c r="W39" s="83"/>
      <c r="X39" s="84"/>
      <c r="Y39" s="4" t="e">
        <f t="shared" si="3"/>
        <v>#DIV/0!</v>
      </c>
      <c r="Z39" s="83"/>
      <c r="AA39" s="84"/>
      <c r="AB39" s="4" t="e">
        <f t="shared" si="4"/>
        <v>#DIV/0!</v>
      </c>
      <c r="AC39" s="83"/>
      <c r="AD39" s="84"/>
      <c r="AE39" s="4" t="e">
        <f t="shared" si="5"/>
        <v>#DIV/0!</v>
      </c>
      <c r="AF39" s="83"/>
      <c r="AG39" s="84"/>
      <c r="AH39" s="4" t="e">
        <f t="shared" si="6"/>
        <v>#DIV/0!</v>
      </c>
      <c r="AI39" s="6"/>
      <c r="AJ39" s="6"/>
      <c r="AK39" s="4" t="e">
        <f t="shared" si="11"/>
        <v>#DIV/0!</v>
      </c>
      <c r="AL39" s="95">
        <f t="shared" si="12"/>
        <v>3</v>
      </c>
      <c r="AM39" s="95">
        <f t="shared" si="13"/>
        <v>113</v>
      </c>
      <c r="AN39" s="4">
        <f t="shared" si="14"/>
        <v>2.6548672566371681E-2</v>
      </c>
      <c r="AO39" s="98" t="str">
        <f t="shared" si="15"/>
        <v>1</v>
      </c>
      <c r="AS39" s="2" t="s">
        <v>165</v>
      </c>
    </row>
    <row r="40" spans="1:45" x14ac:dyDescent="0.15">
      <c r="A40" s="77" t="s">
        <v>125</v>
      </c>
      <c r="B40" s="154">
        <f>[4]A07!$V$109+[4]A32!$W$73</f>
        <v>0</v>
      </c>
      <c r="C40" s="154">
        <f>'1,6 CN'!C40-'1,6 CN'!B40</f>
        <v>0</v>
      </c>
      <c r="D40" s="4" t="str">
        <f t="shared" si="7"/>
        <v/>
      </c>
      <c r="E40" s="154">
        <f>[5]A07!$V$109+[5]A32!$W$73</f>
        <v>0</v>
      </c>
      <c r="F40" s="154">
        <f>'1,6 CN'!F40-'1,6 CN'!E40</f>
        <v>0</v>
      </c>
      <c r="G40" s="4" t="str">
        <f t="shared" si="8"/>
        <v/>
      </c>
      <c r="H40" s="154">
        <f>[6]A07!$V$109+[6]A32!$W$73</f>
        <v>0</v>
      </c>
      <c r="I40" s="154">
        <f>'1,6 CN'!I40-'1,6 CN'!H40</f>
        <v>0</v>
      </c>
      <c r="J40" s="4" t="str">
        <f t="shared" si="9"/>
        <v/>
      </c>
      <c r="K40" s="154">
        <f>[7]A07!$V$109+[7]A32!$W$73</f>
        <v>0</v>
      </c>
      <c r="L40" s="154">
        <f>'1,6 CN'!L40-'1,6 CN'!K40</f>
        <v>0</v>
      </c>
      <c r="M40" s="4" t="str">
        <f t="shared" si="10"/>
        <v/>
      </c>
      <c r="N40" s="154">
        <f>[8]A07!$V$109+[8]A32!$W$73</f>
        <v>0</v>
      </c>
      <c r="O40" s="154">
        <f>'1,6 CN'!O40-'1,6 CN'!N40</f>
        <v>0</v>
      </c>
      <c r="P40" s="4" t="e">
        <f t="shared" si="0"/>
        <v>#DIV/0!</v>
      </c>
      <c r="Q40" s="83"/>
      <c r="R40" s="84"/>
      <c r="S40" s="4" t="e">
        <f t="shared" si="1"/>
        <v>#DIV/0!</v>
      </c>
      <c r="T40" s="83"/>
      <c r="U40" s="84"/>
      <c r="V40" s="4" t="e">
        <f t="shared" si="2"/>
        <v>#DIV/0!</v>
      </c>
      <c r="W40" s="83"/>
      <c r="X40" s="84"/>
      <c r="Y40" s="4" t="e">
        <f t="shared" si="3"/>
        <v>#DIV/0!</v>
      </c>
      <c r="Z40" s="83"/>
      <c r="AA40" s="84"/>
      <c r="AB40" s="4" t="e">
        <f t="shared" si="4"/>
        <v>#DIV/0!</v>
      </c>
      <c r="AC40" s="83"/>
      <c r="AD40" s="84"/>
      <c r="AE40" s="4" t="e">
        <f t="shared" si="5"/>
        <v>#DIV/0!</v>
      </c>
      <c r="AF40" s="83"/>
      <c r="AG40" s="84"/>
      <c r="AH40" s="4" t="e">
        <f t="shared" si="6"/>
        <v>#DIV/0!</v>
      </c>
      <c r="AI40" s="6"/>
      <c r="AJ40" s="6"/>
      <c r="AK40" s="4" t="e">
        <f t="shared" si="11"/>
        <v>#DIV/0!</v>
      </c>
      <c r="AL40" s="95">
        <f t="shared" si="12"/>
        <v>0</v>
      </c>
      <c r="AM40" s="95">
        <f t="shared" si="13"/>
        <v>0</v>
      </c>
      <c r="AN40" s="4" t="str">
        <f t="shared" si="14"/>
        <v/>
      </c>
      <c r="AO40" s="98" t="str">
        <f t="shared" si="15"/>
        <v>0</v>
      </c>
      <c r="AS40" s="2" t="s">
        <v>165</v>
      </c>
    </row>
    <row r="41" spans="1:45" x14ac:dyDescent="0.15">
      <c r="A41" s="77" t="s">
        <v>126</v>
      </c>
      <c r="B41" s="154">
        <f>[4]A07!$V$110+[4]A32!$W$74</f>
        <v>0</v>
      </c>
      <c r="C41" s="154">
        <f>'1,6 CN'!C41-'1,6 CN'!B41</f>
        <v>0</v>
      </c>
      <c r="D41" s="4" t="str">
        <f t="shared" si="7"/>
        <v/>
      </c>
      <c r="E41" s="154">
        <f>[5]A07!$V$110+[5]A32!$W$74</f>
        <v>0</v>
      </c>
      <c r="F41" s="154">
        <f>'1,6 CN'!F41-'1,6 CN'!E41</f>
        <v>0</v>
      </c>
      <c r="G41" s="4" t="str">
        <f t="shared" si="8"/>
        <v/>
      </c>
      <c r="H41" s="154">
        <f>[6]A07!$V$110+[6]A32!$W$74</f>
        <v>0</v>
      </c>
      <c r="I41" s="154">
        <f>'1,6 CN'!I41-'1,6 CN'!H41</f>
        <v>0</v>
      </c>
      <c r="J41" s="4" t="str">
        <f t="shared" si="9"/>
        <v/>
      </c>
      <c r="K41" s="154">
        <f>[7]A07!$V$110+[7]A32!$W$74</f>
        <v>0</v>
      </c>
      <c r="L41" s="154">
        <f>'1,6 CN'!L41-'1,6 CN'!K41</f>
        <v>0</v>
      </c>
      <c r="M41" s="4" t="str">
        <f t="shared" si="10"/>
        <v/>
      </c>
      <c r="N41" s="154">
        <f>[8]A07!$V$110+[8]A32!$W$74</f>
        <v>0</v>
      </c>
      <c r="O41" s="154">
        <f>'1,6 CN'!O41-'1,6 CN'!N41</f>
        <v>0</v>
      </c>
      <c r="P41" s="4" t="e">
        <f t="shared" si="0"/>
        <v>#DIV/0!</v>
      </c>
      <c r="Q41" s="83"/>
      <c r="R41" s="84"/>
      <c r="S41" s="4" t="e">
        <f t="shared" si="1"/>
        <v>#DIV/0!</v>
      </c>
      <c r="T41" s="83"/>
      <c r="U41" s="84"/>
      <c r="V41" s="4" t="e">
        <f t="shared" si="2"/>
        <v>#DIV/0!</v>
      </c>
      <c r="W41" s="83"/>
      <c r="X41" s="84"/>
      <c r="Y41" s="4" t="e">
        <f t="shared" si="3"/>
        <v>#DIV/0!</v>
      </c>
      <c r="Z41" s="83"/>
      <c r="AA41" s="84"/>
      <c r="AB41" s="4" t="e">
        <f t="shared" si="4"/>
        <v>#DIV/0!</v>
      </c>
      <c r="AC41" s="83"/>
      <c r="AD41" s="84"/>
      <c r="AE41" s="4" t="e">
        <f t="shared" si="5"/>
        <v>#DIV/0!</v>
      </c>
      <c r="AF41" s="83"/>
      <c r="AG41" s="84"/>
      <c r="AH41" s="4" t="e">
        <f t="shared" si="6"/>
        <v>#DIV/0!</v>
      </c>
      <c r="AI41" s="6"/>
      <c r="AJ41" s="6"/>
      <c r="AK41" s="4" t="e">
        <f t="shared" si="11"/>
        <v>#DIV/0!</v>
      </c>
      <c r="AL41" s="95">
        <f t="shared" si="12"/>
        <v>0</v>
      </c>
      <c r="AM41" s="95">
        <f t="shared" si="13"/>
        <v>0</v>
      </c>
      <c r="AN41" s="4" t="str">
        <f t="shared" si="14"/>
        <v/>
      </c>
      <c r="AO41" s="98" t="str">
        <f t="shared" si="15"/>
        <v>0</v>
      </c>
      <c r="AS41" s="2" t="s">
        <v>165</v>
      </c>
    </row>
    <row r="42" spans="1:45" x14ac:dyDescent="0.15">
      <c r="A42" s="77" t="s">
        <v>127</v>
      </c>
      <c r="B42" s="154">
        <f>[4]A07!$V$111+[4]A32!$W$75</f>
        <v>0</v>
      </c>
      <c r="C42" s="154">
        <f>'1,6 CN'!C42-'1,6 CN'!B42</f>
        <v>0</v>
      </c>
      <c r="D42" s="4" t="str">
        <f t="shared" si="7"/>
        <v/>
      </c>
      <c r="E42" s="154">
        <f>[5]A07!$V$111+[5]A32!$W$75</f>
        <v>0</v>
      </c>
      <c r="F42" s="154">
        <f>'1,6 CN'!F42-'1,6 CN'!E42</f>
        <v>0</v>
      </c>
      <c r="G42" s="4" t="str">
        <f t="shared" si="8"/>
        <v/>
      </c>
      <c r="H42" s="154">
        <f>[6]A07!$V$111+[6]A32!$W$75</f>
        <v>0</v>
      </c>
      <c r="I42" s="154">
        <f>'1,6 CN'!I42-'1,6 CN'!H42</f>
        <v>0</v>
      </c>
      <c r="J42" s="4" t="str">
        <f t="shared" si="9"/>
        <v/>
      </c>
      <c r="K42" s="154">
        <f>[7]A07!$V$111+[7]A32!$W$75</f>
        <v>0</v>
      </c>
      <c r="L42" s="154">
        <f>'1,6 CN'!L42-'1,6 CN'!K42</f>
        <v>0</v>
      </c>
      <c r="M42" s="4" t="str">
        <f t="shared" si="10"/>
        <v/>
      </c>
      <c r="N42" s="154">
        <f>[8]A07!$V$111+[8]A32!$W$75</f>
        <v>0</v>
      </c>
      <c r="O42" s="154">
        <f>'1,6 CN'!O42-'1,6 CN'!N42</f>
        <v>0</v>
      </c>
      <c r="P42" s="4" t="e">
        <f t="shared" si="0"/>
        <v>#DIV/0!</v>
      </c>
      <c r="Q42" s="83"/>
      <c r="R42" s="84"/>
      <c r="S42" s="4" t="e">
        <f t="shared" si="1"/>
        <v>#DIV/0!</v>
      </c>
      <c r="T42" s="83"/>
      <c r="U42" s="84"/>
      <c r="V42" s="4" t="e">
        <f t="shared" si="2"/>
        <v>#DIV/0!</v>
      </c>
      <c r="W42" s="83"/>
      <c r="X42" s="84"/>
      <c r="Y42" s="4" t="e">
        <f t="shared" si="3"/>
        <v>#DIV/0!</v>
      </c>
      <c r="Z42" s="83"/>
      <c r="AA42" s="84"/>
      <c r="AB42" s="4" t="e">
        <f t="shared" si="4"/>
        <v>#DIV/0!</v>
      </c>
      <c r="AC42" s="83"/>
      <c r="AD42" s="84"/>
      <c r="AE42" s="4" t="e">
        <f t="shared" si="5"/>
        <v>#DIV/0!</v>
      </c>
      <c r="AF42" s="83"/>
      <c r="AG42" s="84"/>
      <c r="AH42" s="4" t="e">
        <f t="shared" si="6"/>
        <v>#DIV/0!</v>
      </c>
      <c r="AI42" s="6"/>
      <c r="AJ42" s="6"/>
      <c r="AK42" s="4" t="e">
        <f t="shared" si="11"/>
        <v>#DIV/0!</v>
      </c>
      <c r="AL42" s="95">
        <f t="shared" si="12"/>
        <v>0</v>
      </c>
      <c r="AM42" s="95">
        <f t="shared" si="13"/>
        <v>0</v>
      </c>
      <c r="AN42" s="4" t="str">
        <f t="shared" si="14"/>
        <v/>
      </c>
      <c r="AO42" s="98" t="str">
        <f t="shared" si="15"/>
        <v>0</v>
      </c>
      <c r="AS42" s="2" t="s">
        <v>165</v>
      </c>
    </row>
    <row r="43" spans="1:45" x14ac:dyDescent="0.15">
      <c r="A43" s="77" t="s">
        <v>128</v>
      </c>
      <c r="B43" s="154">
        <f>[4]A07!$V$112+[4]A32!$W$76</f>
        <v>0</v>
      </c>
      <c r="C43" s="154">
        <f>'1,6 CN'!C43-'1,6 CN'!B43</f>
        <v>0</v>
      </c>
      <c r="D43" s="4" t="str">
        <f t="shared" si="7"/>
        <v/>
      </c>
      <c r="E43" s="154">
        <f>[5]A07!$V$112+[5]A32!$W$76</f>
        <v>0</v>
      </c>
      <c r="F43" s="154">
        <f>'1,6 CN'!F43-'1,6 CN'!E43</f>
        <v>0</v>
      </c>
      <c r="G43" s="4" t="str">
        <f t="shared" si="8"/>
        <v/>
      </c>
      <c r="H43" s="154">
        <f>[6]A07!$V$112+[6]A32!$W$76</f>
        <v>0</v>
      </c>
      <c r="I43" s="154">
        <f>'1,6 CN'!I43-'1,6 CN'!H43</f>
        <v>0</v>
      </c>
      <c r="J43" s="4" t="str">
        <f t="shared" si="9"/>
        <v/>
      </c>
      <c r="K43" s="154">
        <f>[7]A07!$V$112+[7]A32!$W$76</f>
        <v>0</v>
      </c>
      <c r="L43" s="154">
        <f>'1,6 CN'!L43-'1,6 CN'!K43</f>
        <v>0</v>
      </c>
      <c r="M43" s="4" t="str">
        <f t="shared" si="10"/>
        <v/>
      </c>
      <c r="N43" s="154">
        <f>[8]A07!$V$112+[8]A32!$W$76</f>
        <v>0</v>
      </c>
      <c r="O43" s="154">
        <f>'1,6 CN'!O43-'1,6 CN'!N43</f>
        <v>0</v>
      </c>
      <c r="P43" s="4" t="e">
        <f t="shared" si="0"/>
        <v>#DIV/0!</v>
      </c>
      <c r="Q43" s="83"/>
      <c r="R43" s="84"/>
      <c r="S43" s="4" t="e">
        <f t="shared" si="1"/>
        <v>#DIV/0!</v>
      </c>
      <c r="T43" s="83"/>
      <c r="U43" s="84"/>
      <c r="V43" s="4" t="e">
        <f t="shared" si="2"/>
        <v>#DIV/0!</v>
      </c>
      <c r="W43" s="83"/>
      <c r="X43" s="84"/>
      <c r="Y43" s="4" t="e">
        <f t="shared" si="3"/>
        <v>#DIV/0!</v>
      </c>
      <c r="Z43" s="83"/>
      <c r="AA43" s="84"/>
      <c r="AB43" s="4" t="e">
        <f t="shared" si="4"/>
        <v>#DIV/0!</v>
      </c>
      <c r="AC43" s="83"/>
      <c r="AD43" s="84"/>
      <c r="AE43" s="4" t="e">
        <f t="shared" si="5"/>
        <v>#DIV/0!</v>
      </c>
      <c r="AF43" s="83"/>
      <c r="AG43" s="84"/>
      <c r="AH43" s="4" t="e">
        <f t="shared" si="6"/>
        <v>#DIV/0!</v>
      </c>
      <c r="AI43" s="6"/>
      <c r="AJ43" s="6"/>
      <c r="AK43" s="4" t="e">
        <f t="shared" si="11"/>
        <v>#DIV/0!</v>
      </c>
      <c r="AL43" s="95">
        <f t="shared" si="12"/>
        <v>0</v>
      </c>
      <c r="AM43" s="95">
        <f t="shared" si="13"/>
        <v>0</v>
      </c>
      <c r="AN43" s="4" t="str">
        <f t="shared" si="14"/>
        <v/>
      </c>
      <c r="AO43" s="98" t="str">
        <f t="shared" si="15"/>
        <v>0</v>
      </c>
      <c r="AS43" s="2" t="s">
        <v>165</v>
      </c>
    </row>
    <row r="44" spans="1:45" x14ac:dyDescent="0.15">
      <c r="A44" s="76" t="s">
        <v>129</v>
      </c>
      <c r="B44" s="154">
        <f>[4]A07!$V$113+[4]A32!$W$77</f>
        <v>2</v>
      </c>
      <c r="C44" s="154">
        <f>'1,6 CN'!C44-'1,6 CN'!B44</f>
        <v>26</v>
      </c>
      <c r="D44" s="4">
        <f t="shared" si="7"/>
        <v>7.6923076923076927E-2</v>
      </c>
      <c r="E44" s="154">
        <f>[5]A07!$V$113+[5]A32!$W$77</f>
        <v>1</v>
      </c>
      <c r="F44" s="154">
        <f>'1,6 CN'!F44-'1,6 CN'!E44</f>
        <v>29</v>
      </c>
      <c r="G44" s="4">
        <f t="shared" si="8"/>
        <v>3.4482758620689655E-2</v>
      </c>
      <c r="H44" s="154">
        <f>[6]A07!$V$113+[6]A32!$W$77</f>
        <v>1</v>
      </c>
      <c r="I44" s="154">
        <f>'1,6 CN'!I44-'1,6 CN'!H44</f>
        <v>15</v>
      </c>
      <c r="J44" s="4">
        <f t="shared" si="9"/>
        <v>6.6666666666666666E-2</v>
      </c>
      <c r="K44" s="154">
        <f>[7]A07!$V$113+[7]A32!$W$77</f>
        <v>1</v>
      </c>
      <c r="L44" s="154">
        <f>'1,6 CN'!L44-'1,6 CN'!K44</f>
        <v>16</v>
      </c>
      <c r="M44" s="4">
        <f t="shared" si="10"/>
        <v>6.25E-2</v>
      </c>
      <c r="N44" s="154">
        <f>[8]A07!$V$113+[8]A32!$W$77</f>
        <v>1</v>
      </c>
      <c r="O44" s="154">
        <f>'1,6 CN'!O44-'1,6 CN'!N44</f>
        <v>4</v>
      </c>
      <c r="P44" s="4">
        <f t="shared" si="0"/>
        <v>0.25</v>
      </c>
      <c r="Q44" s="83"/>
      <c r="R44" s="84"/>
      <c r="S44" s="4" t="e">
        <f t="shared" si="1"/>
        <v>#DIV/0!</v>
      </c>
      <c r="T44" s="83"/>
      <c r="U44" s="84"/>
      <c r="V44" s="4" t="e">
        <f t="shared" si="2"/>
        <v>#DIV/0!</v>
      </c>
      <c r="W44" s="83"/>
      <c r="X44" s="84"/>
      <c r="Y44" s="4" t="e">
        <f t="shared" si="3"/>
        <v>#DIV/0!</v>
      </c>
      <c r="Z44" s="83"/>
      <c r="AA44" s="84"/>
      <c r="AB44" s="4" t="e">
        <f t="shared" si="4"/>
        <v>#DIV/0!</v>
      </c>
      <c r="AC44" s="83"/>
      <c r="AD44" s="84"/>
      <c r="AE44" s="4" t="e">
        <f t="shared" si="5"/>
        <v>#DIV/0!</v>
      </c>
      <c r="AF44" s="83"/>
      <c r="AG44" s="84"/>
      <c r="AH44" s="4" t="e">
        <f t="shared" si="6"/>
        <v>#DIV/0!</v>
      </c>
      <c r="AI44" s="6"/>
      <c r="AJ44" s="6"/>
      <c r="AK44" s="4" t="e">
        <f t="shared" si="11"/>
        <v>#DIV/0!</v>
      </c>
      <c r="AL44" s="95">
        <f t="shared" si="12"/>
        <v>6</v>
      </c>
      <c r="AM44" s="95">
        <f t="shared" si="13"/>
        <v>90</v>
      </c>
      <c r="AN44" s="4">
        <f t="shared" si="14"/>
        <v>6.6666666666666666E-2</v>
      </c>
      <c r="AO44" s="98" t="str">
        <f t="shared" si="15"/>
        <v>1</v>
      </c>
      <c r="AS44" s="2" t="s">
        <v>165</v>
      </c>
    </row>
    <row r="45" spans="1:45" x14ac:dyDescent="0.15">
      <c r="A45" s="82" t="s">
        <v>130</v>
      </c>
      <c r="B45" s="154">
        <f>[4]A07!$V$114+[4]A32!$W$78</f>
        <v>45</v>
      </c>
      <c r="C45" s="154">
        <f>'1,6 CN'!C45-'1,6 CN'!B45</f>
        <v>420</v>
      </c>
      <c r="D45" s="4">
        <f t="shared" si="7"/>
        <v>0.10714285714285714</v>
      </c>
      <c r="E45" s="154">
        <f>[5]A07!$V$114+[5]A32!$W$78</f>
        <v>45</v>
      </c>
      <c r="F45" s="154">
        <f>'1,6 CN'!F45-'1,6 CN'!E45</f>
        <v>346</v>
      </c>
      <c r="G45" s="4">
        <f t="shared" si="8"/>
        <v>0.13005780346820808</v>
      </c>
      <c r="H45" s="154">
        <f>[6]A07!$V$114+[6]A32!$W$78</f>
        <v>49</v>
      </c>
      <c r="I45" s="154">
        <f>'1,6 CN'!I45-'1,6 CN'!H45</f>
        <v>484</v>
      </c>
      <c r="J45" s="4">
        <f t="shared" si="9"/>
        <v>0.1012396694214876</v>
      </c>
      <c r="K45" s="154">
        <f>[7]A07!$V$114+[7]A32!$W$78</f>
        <v>54</v>
      </c>
      <c r="L45" s="154">
        <f>'1,6 CN'!L45-'1,6 CN'!K45</f>
        <v>427</v>
      </c>
      <c r="M45" s="4">
        <f t="shared" si="10"/>
        <v>0.12646370023419204</v>
      </c>
      <c r="N45" s="154">
        <f>[8]A07!$V$114+[8]A32!$W$78</f>
        <v>41</v>
      </c>
      <c r="O45" s="154">
        <f>'1,6 CN'!O45-'1,6 CN'!N45</f>
        <v>463</v>
      </c>
      <c r="P45" s="4">
        <f t="shared" si="0"/>
        <v>8.8552915766738655E-2</v>
      </c>
      <c r="Q45" s="83"/>
      <c r="R45" s="84"/>
      <c r="S45" s="4" t="e">
        <f t="shared" si="1"/>
        <v>#DIV/0!</v>
      </c>
      <c r="T45" s="83"/>
      <c r="U45" s="84"/>
      <c r="V45" s="4" t="e">
        <f t="shared" si="2"/>
        <v>#DIV/0!</v>
      </c>
      <c r="W45" s="83"/>
      <c r="X45" s="84"/>
      <c r="Y45" s="4" t="e">
        <f t="shared" si="3"/>
        <v>#DIV/0!</v>
      </c>
      <c r="Z45" s="83"/>
      <c r="AA45" s="84"/>
      <c r="AB45" s="4" t="e">
        <f t="shared" si="4"/>
        <v>#DIV/0!</v>
      </c>
      <c r="AC45" s="83"/>
      <c r="AD45" s="84"/>
      <c r="AE45" s="4" t="e">
        <f t="shared" si="5"/>
        <v>#DIV/0!</v>
      </c>
      <c r="AF45" s="83"/>
      <c r="AG45" s="84"/>
      <c r="AH45" s="4" t="e">
        <f t="shared" si="6"/>
        <v>#DIV/0!</v>
      </c>
      <c r="AI45" s="6"/>
      <c r="AJ45" s="6"/>
      <c r="AK45" s="4" t="e">
        <f t="shared" si="11"/>
        <v>#DIV/0!</v>
      </c>
      <c r="AL45" s="95">
        <f t="shared" si="12"/>
        <v>234</v>
      </c>
      <c r="AM45" s="95">
        <f t="shared" si="13"/>
        <v>2140</v>
      </c>
      <c r="AN45" s="4">
        <f t="shared" si="14"/>
        <v>0.10934579439252337</v>
      </c>
      <c r="AO45" s="98" t="str">
        <f t="shared" si="15"/>
        <v>0</v>
      </c>
      <c r="AS45" s="2" t="s">
        <v>165</v>
      </c>
    </row>
    <row r="46" spans="1:45" x14ac:dyDescent="0.15">
      <c r="A46" s="82" t="s">
        <v>131</v>
      </c>
      <c r="B46" s="154">
        <f>[4]A07!$V$115+[4]A32!$W$79</f>
        <v>0</v>
      </c>
      <c r="C46" s="154">
        <f>'1,6 CN'!C46-'1,6 CN'!B46</f>
        <v>0</v>
      </c>
      <c r="D46" s="4" t="str">
        <f t="shared" si="7"/>
        <v/>
      </c>
      <c r="E46" s="154">
        <f>[5]A07!$V$115+[5]A32!$W$79</f>
        <v>0</v>
      </c>
      <c r="F46" s="154">
        <f>'1,6 CN'!F46-'1,6 CN'!E46</f>
        <v>0</v>
      </c>
      <c r="G46" s="4" t="str">
        <f t="shared" si="8"/>
        <v/>
      </c>
      <c r="H46" s="154">
        <f>[6]A07!$V$115+[6]A32!$W$79</f>
        <v>0</v>
      </c>
      <c r="I46" s="154">
        <f>'1,6 CN'!I46-'1,6 CN'!H46</f>
        <v>0</v>
      </c>
      <c r="J46" s="4" t="str">
        <f t="shared" si="9"/>
        <v/>
      </c>
      <c r="K46" s="154">
        <f>[7]A07!$V$115+[7]A32!$W$79</f>
        <v>0</v>
      </c>
      <c r="L46" s="154">
        <f>'1,6 CN'!L46-'1,6 CN'!K46</f>
        <v>0</v>
      </c>
      <c r="M46" s="4" t="str">
        <f t="shared" si="10"/>
        <v/>
      </c>
      <c r="N46" s="154">
        <f>[8]A07!$V$115+[8]A32!$W$79</f>
        <v>0</v>
      </c>
      <c r="O46" s="154">
        <f>'1,6 CN'!O46-'1,6 CN'!N46</f>
        <v>0</v>
      </c>
      <c r="P46" s="4" t="e">
        <f t="shared" si="0"/>
        <v>#DIV/0!</v>
      </c>
      <c r="Q46" s="83"/>
      <c r="R46" s="84"/>
      <c r="S46" s="4" t="e">
        <f t="shared" si="1"/>
        <v>#DIV/0!</v>
      </c>
      <c r="T46" s="83"/>
      <c r="U46" s="84"/>
      <c r="V46" s="4" t="e">
        <f t="shared" si="2"/>
        <v>#DIV/0!</v>
      </c>
      <c r="W46" s="83"/>
      <c r="X46" s="84"/>
      <c r="Y46" s="4" t="e">
        <f t="shared" si="3"/>
        <v>#DIV/0!</v>
      </c>
      <c r="Z46" s="83"/>
      <c r="AA46" s="84"/>
      <c r="AB46" s="4" t="e">
        <f t="shared" si="4"/>
        <v>#DIV/0!</v>
      </c>
      <c r="AC46" s="83"/>
      <c r="AD46" s="84"/>
      <c r="AE46" s="4" t="e">
        <f t="shared" si="5"/>
        <v>#DIV/0!</v>
      </c>
      <c r="AF46" s="83"/>
      <c r="AG46" s="84"/>
      <c r="AH46" s="4" t="e">
        <f t="shared" si="6"/>
        <v>#DIV/0!</v>
      </c>
      <c r="AI46" s="6"/>
      <c r="AJ46" s="6"/>
      <c r="AK46" s="4" t="e">
        <f t="shared" si="11"/>
        <v>#DIV/0!</v>
      </c>
      <c r="AL46" s="95">
        <f t="shared" si="12"/>
        <v>0</v>
      </c>
      <c r="AM46" s="95">
        <f t="shared" si="13"/>
        <v>0</v>
      </c>
      <c r="AN46" s="4" t="str">
        <f t="shared" si="14"/>
        <v/>
      </c>
      <c r="AO46" s="98" t="str">
        <f t="shared" si="15"/>
        <v>0</v>
      </c>
      <c r="AS46" s="2" t="s">
        <v>165</v>
      </c>
    </row>
    <row r="47" spans="1:45" x14ac:dyDescent="0.2">
      <c r="A47" s="79" t="s">
        <v>132</v>
      </c>
      <c r="B47" s="154">
        <f>[4]A07!$V$116+[4]A32!$W$80</f>
        <v>0</v>
      </c>
      <c r="C47" s="154">
        <f>'1,6 CN'!C47-'1,6 CN'!B47</f>
        <v>0</v>
      </c>
      <c r="D47" s="4" t="str">
        <f t="shared" si="7"/>
        <v/>
      </c>
      <c r="E47" s="154">
        <f>[5]A07!$V$116+[5]A32!$W$80</f>
        <v>0</v>
      </c>
      <c r="F47" s="154">
        <f>'1,6 CN'!F47-'1,6 CN'!E47</f>
        <v>0</v>
      </c>
      <c r="G47" s="4" t="str">
        <f t="shared" si="8"/>
        <v/>
      </c>
      <c r="H47" s="154">
        <f>[6]A07!$V$116+[6]A32!$W$80</f>
        <v>0</v>
      </c>
      <c r="I47" s="154">
        <f>'1,6 CN'!I47-'1,6 CN'!H47</f>
        <v>0</v>
      </c>
      <c r="J47" s="4" t="str">
        <f t="shared" si="9"/>
        <v/>
      </c>
      <c r="K47" s="154">
        <f>[7]A07!$V$116+[7]A32!$W$80</f>
        <v>0</v>
      </c>
      <c r="L47" s="154">
        <f>'1,6 CN'!L47-'1,6 CN'!K47</f>
        <v>0</v>
      </c>
      <c r="M47" s="4" t="str">
        <f t="shared" si="10"/>
        <v/>
      </c>
      <c r="N47" s="154">
        <f>[8]A07!$V$116+[8]A32!$W$80</f>
        <v>0</v>
      </c>
      <c r="O47" s="154">
        <f>'1,6 CN'!O47-'1,6 CN'!N47</f>
        <v>0</v>
      </c>
      <c r="P47" s="4" t="e">
        <f t="shared" si="0"/>
        <v>#DIV/0!</v>
      </c>
      <c r="Q47" s="83"/>
      <c r="R47" s="84"/>
      <c r="S47" s="4" t="e">
        <f t="shared" si="1"/>
        <v>#DIV/0!</v>
      </c>
      <c r="T47" s="83"/>
      <c r="U47" s="84"/>
      <c r="V47" s="4" t="e">
        <f t="shared" si="2"/>
        <v>#DIV/0!</v>
      </c>
      <c r="W47" s="83"/>
      <c r="X47" s="84"/>
      <c r="Y47" s="4" t="e">
        <f t="shared" si="3"/>
        <v>#DIV/0!</v>
      </c>
      <c r="Z47" s="83"/>
      <c r="AA47" s="84"/>
      <c r="AB47" s="4" t="e">
        <f t="shared" si="4"/>
        <v>#DIV/0!</v>
      </c>
      <c r="AC47" s="83"/>
      <c r="AD47" s="84"/>
      <c r="AE47" s="4" t="e">
        <f t="shared" si="5"/>
        <v>#DIV/0!</v>
      </c>
      <c r="AF47" s="83"/>
      <c r="AG47" s="84"/>
      <c r="AH47" s="4" t="e">
        <f t="shared" si="6"/>
        <v>#DIV/0!</v>
      </c>
      <c r="AI47" s="6"/>
      <c r="AJ47" s="6"/>
      <c r="AK47" s="4" t="e">
        <f t="shared" si="11"/>
        <v>#DIV/0!</v>
      </c>
      <c r="AL47" s="95">
        <f t="shared" si="12"/>
        <v>0</v>
      </c>
      <c r="AM47" s="95">
        <f t="shared" si="13"/>
        <v>0</v>
      </c>
      <c r="AN47" s="4" t="str">
        <f t="shared" si="14"/>
        <v/>
      </c>
      <c r="AO47" s="98" t="str">
        <f t="shared" si="15"/>
        <v>0</v>
      </c>
      <c r="AS47" s="2" t="s">
        <v>165</v>
      </c>
    </row>
    <row r="48" spans="1:45" x14ac:dyDescent="0.15">
      <c r="A48" s="77" t="s">
        <v>133</v>
      </c>
      <c r="B48" s="154">
        <f>[4]A07!$V$117+[4]A32!$W$81</f>
        <v>21</v>
      </c>
      <c r="C48" s="154">
        <f>'1,6 CN'!C48-'1,6 CN'!B48</f>
        <v>366</v>
      </c>
      <c r="D48" s="4">
        <f t="shared" si="7"/>
        <v>5.737704918032787E-2</v>
      </c>
      <c r="E48" s="154">
        <f>[5]A07!$V$117+[5]A32!$W$81</f>
        <v>17</v>
      </c>
      <c r="F48" s="154">
        <f>'1,6 CN'!F48-'1,6 CN'!E48</f>
        <v>307</v>
      </c>
      <c r="G48" s="4">
        <f t="shared" si="8"/>
        <v>5.5374592833876218E-2</v>
      </c>
      <c r="H48" s="154">
        <f>[6]A07!$V$117+[6]A32!$W$81</f>
        <v>21</v>
      </c>
      <c r="I48" s="154">
        <f>'1,6 CN'!I48-'1,6 CN'!H48</f>
        <v>417</v>
      </c>
      <c r="J48" s="4">
        <f t="shared" si="9"/>
        <v>5.0359712230215826E-2</v>
      </c>
      <c r="K48" s="154">
        <f>[7]A07!$V$117+[7]A32!$W$81</f>
        <v>17</v>
      </c>
      <c r="L48" s="154">
        <f>'1,6 CN'!L48-'1,6 CN'!K48</f>
        <v>429</v>
      </c>
      <c r="M48" s="4">
        <f t="shared" si="10"/>
        <v>3.9627039627039624E-2</v>
      </c>
      <c r="N48" s="154">
        <f>[8]A07!$V$117+[8]A32!$W$81</f>
        <v>16</v>
      </c>
      <c r="O48" s="154">
        <f>'1,6 CN'!O48-'1,6 CN'!N48</f>
        <v>283</v>
      </c>
      <c r="P48" s="4">
        <f t="shared" si="0"/>
        <v>5.6537102473498232E-2</v>
      </c>
      <c r="Q48" s="83"/>
      <c r="R48" s="84"/>
      <c r="S48" s="4" t="e">
        <f t="shared" si="1"/>
        <v>#DIV/0!</v>
      </c>
      <c r="T48" s="83"/>
      <c r="U48" s="84"/>
      <c r="V48" s="4" t="e">
        <f t="shared" si="2"/>
        <v>#DIV/0!</v>
      </c>
      <c r="W48" s="83"/>
      <c r="X48" s="84"/>
      <c r="Y48" s="4" t="e">
        <f t="shared" si="3"/>
        <v>#DIV/0!</v>
      </c>
      <c r="Z48" s="83"/>
      <c r="AA48" s="84"/>
      <c r="AB48" s="4" t="e">
        <f t="shared" si="4"/>
        <v>#DIV/0!</v>
      </c>
      <c r="AC48" s="83"/>
      <c r="AD48" s="84"/>
      <c r="AE48" s="4" t="e">
        <f t="shared" si="5"/>
        <v>#DIV/0!</v>
      </c>
      <c r="AF48" s="83"/>
      <c r="AG48" s="84"/>
      <c r="AH48" s="4" t="e">
        <f t="shared" si="6"/>
        <v>#DIV/0!</v>
      </c>
      <c r="AI48" s="6"/>
      <c r="AJ48" s="6"/>
      <c r="AK48" s="4" t="e">
        <f t="shared" si="11"/>
        <v>#DIV/0!</v>
      </c>
      <c r="AL48" s="95">
        <f t="shared" si="12"/>
        <v>92</v>
      </c>
      <c r="AM48" s="95">
        <f t="shared" si="13"/>
        <v>1802</v>
      </c>
      <c r="AN48" s="4">
        <f t="shared" si="14"/>
        <v>5.1054384017758046E-2</v>
      </c>
      <c r="AO48" s="98" t="str">
        <f t="shared" si="15"/>
        <v>1</v>
      </c>
      <c r="AS48" s="2" t="s">
        <v>165</v>
      </c>
    </row>
    <row r="49" spans="1:45" x14ac:dyDescent="0.15">
      <c r="A49" s="77" t="s">
        <v>134</v>
      </c>
      <c r="B49" s="154">
        <f>[4]A07!$V$118+[4]A32!$W$82</f>
        <v>4</v>
      </c>
      <c r="C49" s="154">
        <f>'1,6 CN'!C49-'1,6 CN'!B49</f>
        <v>45</v>
      </c>
      <c r="D49" s="4">
        <f t="shared" si="7"/>
        <v>8.8888888888888892E-2</v>
      </c>
      <c r="E49" s="154">
        <f>[5]A07!$V$118+[5]A32!$W$82</f>
        <v>2</v>
      </c>
      <c r="F49" s="154">
        <f>'1,6 CN'!F49-'1,6 CN'!E49</f>
        <v>85</v>
      </c>
      <c r="G49" s="4">
        <f t="shared" si="8"/>
        <v>2.3529411764705882E-2</v>
      </c>
      <c r="H49" s="154">
        <f>[6]A07!$V$118+[6]A32!$W$82</f>
        <v>8</v>
      </c>
      <c r="I49" s="154">
        <f>'1,6 CN'!I49-'1,6 CN'!H49</f>
        <v>112</v>
      </c>
      <c r="J49" s="4">
        <f t="shared" si="9"/>
        <v>7.1428571428571425E-2</v>
      </c>
      <c r="K49" s="154">
        <f>[7]A07!$V$118+[7]A32!$W$82</f>
        <v>5</v>
      </c>
      <c r="L49" s="154">
        <f>'1,6 CN'!L49-'1,6 CN'!K49</f>
        <v>85</v>
      </c>
      <c r="M49" s="4">
        <f t="shared" si="10"/>
        <v>5.8823529411764705E-2</v>
      </c>
      <c r="N49" s="154">
        <f>[8]A07!$V$118+[8]A32!$W$82</f>
        <v>1</v>
      </c>
      <c r="O49" s="154">
        <f>'1,6 CN'!O49-'1,6 CN'!N49</f>
        <v>71</v>
      </c>
      <c r="P49" s="4">
        <f t="shared" si="0"/>
        <v>1.4084507042253521E-2</v>
      </c>
      <c r="Q49" s="83"/>
      <c r="R49" s="84"/>
      <c r="S49" s="4" t="e">
        <f t="shared" si="1"/>
        <v>#DIV/0!</v>
      </c>
      <c r="T49" s="83"/>
      <c r="U49" s="84"/>
      <c r="V49" s="4" t="e">
        <f t="shared" si="2"/>
        <v>#DIV/0!</v>
      </c>
      <c r="W49" s="83"/>
      <c r="X49" s="84"/>
      <c r="Y49" s="4" t="e">
        <f t="shared" si="3"/>
        <v>#DIV/0!</v>
      </c>
      <c r="Z49" s="83"/>
      <c r="AA49" s="84"/>
      <c r="AB49" s="4" t="e">
        <f t="shared" si="4"/>
        <v>#DIV/0!</v>
      </c>
      <c r="AC49" s="83"/>
      <c r="AD49" s="84"/>
      <c r="AE49" s="4" t="e">
        <f t="shared" si="5"/>
        <v>#DIV/0!</v>
      </c>
      <c r="AF49" s="83"/>
      <c r="AG49" s="84"/>
      <c r="AH49" s="4" t="e">
        <f t="shared" si="6"/>
        <v>#DIV/0!</v>
      </c>
      <c r="AI49" s="6"/>
      <c r="AJ49" s="6"/>
      <c r="AK49" s="4" t="e">
        <f t="shared" si="11"/>
        <v>#DIV/0!</v>
      </c>
      <c r="AL49" s="95">
        <f t="shared" si="12"/>
        <v>20</v>
      </c>
      <c r="AM49" s="95">
        <f t="shared" si="13"/>
        <v>398</v>
      </c>
      <c r="AN49" s="4">
        <f t="shared" si="14"/>
        <v>5.0251256281407038E-2</v>
      </c>
      <c r="AO49" s="98" t="str">
        <f t="shared" si="15"/>
        <v>1</v>
      </c>
      <c r="AS49" s="2" t="s">
        <v>165</v>
      </c>
    </row>
    <row r="50" spans="1:45" x14ac:dyDescent="0.15">
      <c r="A50" s="77" t="s">
        <v>135</v>
      </c>
      <c r="B50" s="154">
        <f>[4]A07!$V$119+[4]A32!$W$83</f>
        <v>69</v>
      </c>
      <c r="C50" s="154">
        <f>'1,6 CN'!C50-'1,6 CN'!B50</f>
        <v>473</v>
      </c>
      <c r="D50" s="4">
        <f t="shared" si="7"/>
        <v>0.14587737843551796</v>
      </c>
      <c r="E50" s="154">
        <f>[5]A07!$V$119+[5]A32!$W$83</f>
        <v>50</v>
      </c>
      <c r="F50" s="154">
        <f>'1,6 CN'!F50-'1,6 CN'!E50</f>
        <v>424</v>
      </c>
      <c r="G50" s="4">
        <f t="shared" si="8"/>
        <v>0.11792452830188679</v>
      </c>
      <c r="H50" s="154">
        <f>[6]A07!$V$119+[6]A32!$W$83</f>
        <v>55</v>
      </c>
      <c r="I50" s="154">
        <f>'1,6 CN'!I50-'1,6 CN'!H50</f>
        <v>542</v>
      </c>
      <c r="J50" s="4">
        <f t="shared" si="9"/>
        <v>0.1014760147601476</v>
      </c>
      <c r="K50" s="154">
        <f>[7]A07!$V$119+[7]A32!$W$83</f>
        <v>48</v>
      </c>
      <c r="L50" s="154">
        <f>'1,6 CN'!L50-'1,6 CN'!K50</f>
        <v>528</v>
      </c>
      <c r="M50" s="4">
        <f t="shared" si="10"/>
        <v>9.0909090909090912E-2</v>
      </c>
      <c r="N50" s="154">
        <f>[8]A07!$V$119+[8]A32!$W$83</f>
        <v>36</v>
      </c>
      <c r="O50" s="154">
        <f>'1,6 CN'!O50-'1,6 CN'!N50</f>
        <v>456</v>
      </c>
      <c r="P50" s="4">
        <f t="shared" si="0"/>
        <v>7.8947368421052627E-2</v>
      </c>
      <c r="Q50" s="83"/>
      <c r="R50" s="84"/>
      <c r="S50" s="4" t="e">
        <f t="shared" si="1"/>
        <v>#DIV/0!</v>
      </c>
      <c r="T50" s="83"/>
      <c r="U50" s="84"/>
      <c r="V50" s="4" t="e">
        <f t="shared" si="2"/>
        <v>#DIV/0!</v>
      </c>
      <c r="W50" s="83"/>
      <c r="X50" s="84"/>
      <c r="Y50" s="4" t="e">
        <f t="shared" si="3"/>
        <v>#DIV/0!</v>
      </c>
      <c r="Z50" s="83"/>
      <c r="AA50" s="84"/>
      <c r="AB50" s="4" t="e">
        <f t="shared" si="4"/>
        <v>#DIV/0!</v>
      </c>
      <c r="AC50" s="83"/>
      <c r="AD50" s="84"/>
      <c r="AE50" s="4" t="e">
        <f t="shared" si="5"/>
        <v>#DIV/0!</v>
      </c>
      <c r="AF50" s="83"/>
      <c r="AG50" s="84"/>
      <c r="AH50" s="4" t="e">
        <f t="shared" si="6"/>
        <v>#DIV/0!</v>
      </c>
      <c r="AI50" s="6"/>
      <c r="AJ50" s="6"/>
      <c r="AK50" s="4" t="e">
        <f t="shared" si="11"/>
        <v>#DIV/0!</v>
      </c>
      <c r="AL50" s="95">
        <f t="shared" si="12"/>
        <v>258</v>
      </c>
      <c r="AM50" s="95">
        <f t="shared" si="13"/>
        <v>2423</v>
      </c>
      <c r="AN50" s="4">
        <f t="shared" si="14"/>
        <v>0.10647957078002476</v>
      </c>
      <c r="AO50" s="98" t="str">
        <f t="shared" si="15"/>
        <v>0</v>
      </c>
      <c r="AS50" s="2" t="s">
        <v>165</v>
      </c>
    </row>
    <row r="51" spans="1:45" x14ac:dyDescent="0.15">
      <c r="A51" s="77" t="s">
        <v>136</v>
      </c>
      <c r="B51" s="154">
        <f>[4]A07!$V$120+[4]A32!$W$84</f>
        <v>12</v>
      </c>
      <c r="C51" s="154">
        <f>'1,6 CN'!C51-'1,6 CN'!B51</f>
        <v>199</v>
      </c>
      <c r="D51" s="4">
        <f t="shared" si="7"/>
        <v>6.030150753768844E-2</v>
      </c>
      <c r="E51" s="154">
        <f>[5]A07!$V$120+[5]A32!$W$84</f>
        <v>9</v>
      </c>
      <c r="F51" s="154">
        <f>'1,6 CN'!F51-'1,6 CN'!E51</f>
        <v>125</v>
      </c>
      <c r="G51" s="4">
        <f t="shared" si="8"/>
        <v>7.1999999999999995E-2</v>
      </c>
      <c r="H51" s="154">
        <f>[6]A07!$V$120+[6]A32!$W$84</f>
        <v>11</v>
      </c>
      <c r="I51" s="154">
        <f>'1,6 CN'!I51-'1,6 CN'!H51</f>
        <v>234</v>
      </c>
      <c r="J51" s="4">
        <f t="shared" si="9"/>
        <v>4.7008547008547008E-2</v>
      </c>
      <c r="K51" s="154">
        <f>[7]A07!$V$120+[7]A32!$W$84</f>
        <v>13</v>
      </c>
      <c r="L51" s="154">
        <f>'1,6 CN'!L51-'1,6 CN'!K51</f>
        <v>304</v>
      </c>
      <c r="M51" s="4">
        <f t="shared" si="10"/>
        <v>4.2763157894736843E-2</v>
      </c>
      <c r="N51" s="154">
        <f>[8]A07!$V$120+[8]A32!$W$84</f>
        <v>17</v>
      </c>
      <c r="O51" s="154">
        <f>'1,6 CN'!O51-'1,6 CN'!N51</f>
        <v>259</v>
      </c>
      <c r="P51" s="4">
        <f t="shared" si="0"/>
        <v>6.5637065637065631E-2</v>
      </c>
      <c r="Q51" s="83"/>
      <c r="R51" s="84"/>
      <c r="S51" s="4" t="e">
        <f t="shared" si="1"/>
        <v>#DIV/0!</v>
      </c>
      <c r="T51" s="83"/>
      <c r="U51" s="84"/>
      <c r="V51" s="4" t="e">
        <f t="shared" si="2"/>
        <v>#DIV/0!</v>
      </c>
      <c r="W51" s="83"/>
      <c r="X51" s="84"/>
      <c r="Y51" s="4" t="e">
        <f t="shared" si="3"/>
        <v>#DIV/0!</v>
      </c>
      <c r="Z51" s="83"/>
      <c r="AA51" s="84"/>
      <c r="AB51" s="4" t="e">
        <f t="shared" si="4"/>
        <v>#DIV/0!</v>
      </c>
      <c r="AC51" s="83"/>
      <c r="AD51" s="84"/>
      <c r="AE51" s="4" t="e">
        <f t="shared" si="5"/>
        <v>#DIV/0!</v>
      </c>
      <c r="AF51" s="83"/>
      <c r="AG51" s="84"/>
      <c r="AH51" s="4" t="e">
        <f t="shared" si="6"/>
        <v>#DIV/0!</v>
      </c>
      <c r="AI51" s="6"/>
      <c r="AJ51" s="6"/>
      <c r="AK51" s="4" t="e">
        <f t="shared" si="11"/>
        <v>#DIV/0!</v>
      </c>
      <c r="AL51" s="95">
        <f t="shared" si="12"/>
        <v>62</v>
      </c>
      <c r="AM51" s="95">
        <f t="shared" si="13"/>
        <v>1121</v>
      </c>
      <c r="AN51" s="4">
        <f t="shared" si="14"/>
        <v>5.5307760927743088E-2</v>
      </c>
      <c r="AO51" s="98" t="str">
        <f t="shared" si="15"/>
        <v>1</v>
      </c>
      <c r="AS51" s="2" t="s">
        <v>165</v>
      </c>
    </row>
    <row r="52" spans="1:45" x14ac:dyDescent="0.15">
      <c r="A52" s="77" t="s">
        <v>137</v>
      </c>
      <c r="B52" s="154">
        <f>[4]A07!$V$121+[4]A32!$W$85</f>
        <v>0</v>
      </c>
      <c r="C52" s="154">
        <f>'1,6 CN'!C52-'1,6 CN'!B52</f>
        <v>0</v>
      </c>
      <c r="D52" s="4" t="str">
        <f t="shared" si="7"/>
        <v/>
      </c>
      <c r="E52" s="154">
        <f>[5]A07!$V$121+[5]A32!$W$85</f>
        <v>5</v>
      </c>
      <c r="F52" s="154">
        <f>'1,6 CN'!F52-'1,6 CN'!E52</f>
        <v>32</v>
      </c>
      <c r="G52" s="4">
        <f t="shared" si="8"/>
        <v>0.15625</v>
      </c>
      <c r="H52" s="154">
        <f>[6]A07!$V$121+[6]A32!$W$85</f>
        <v>12</v>
      </c>
      <c r="I52" s="154">
        <f>'1,6 CN'!I52-'1,6 CN'!H52</f>
        <v>62</v>
      </c>
      <c r="J52" s="4">
        <f t="shared" si="9"/>
        <v>0.19354838709677419</v>
      </c>
      <c r="K52" s="154">
        <f>[7]A07!$V$121+[7]A32!$W$85</f>
        <v>15</v>
      </c>
      <c r="L52" s="154">
        <f>'1,6 CN'!L52-'1,6 CN'!K52</f>
        <v>60</v>
      </c>
      <c r="M52" s="4">
        <f t="shared" si="10"/>
        <v>0.25</v>
      </c>
      <c r="N52" s="154">
        <f>[8]A07!$V$121+[8]A32!$W$85</f>
        <v>4</v>
      </c>
      <c r="O52" s="154">
        <f>'1,6 CN'!O52-'1,6 CN'!N52</f>
        <v>70</v>
      </c>
      <c r="P52" s="4">
        <f t="shared" si="0"/>
        <v>5.7142857142857141E-2</v>
      </c>
      <c r="Q52" s="83"/>
      <c r="R52" s="84"/>
      <c r="S52" s="4" t="e">
        <f t="shared" si="1"/>
        <v>#DIV/0!</v>
      </c>
      <c r="T52" s="83"/>
      <c r="U52" s="84"/>
      <c r="V52" s="4" t="e">
        <f t="shared" si="2"/>
        <v>#DIV/0!</v>
      </c>
      <c r="W52" s="83"/>
      <c r="X52" s="84"/>
      <c r="Y52" s="4" t="e">
        <f t="shared" si="3"/>
        <v>#DIV/0!</v>
      </c>
      <c r="Z52" s="83"/>
      <c r="AA52" s="84"/>
      <c r="AB52" s="4" t="e">
        <f t="shared" si="4"/>
        <v>#DIV/0!</v>
      </c>
      <c r="AC52" s="83"/>
      <c r="AD52" s="84"/>
      <c r="AE52" s="4" t="e">
        <f t="shared" si="5"/>
        <v>#DIV/0!</v>
      </c>
      <c r="AF52" s="83"/>
      <c r="AG52" s="84"/>
      <c r="AH52" s="4" t="e">
        <f t="shared" si="6"/>
        <v>#DIV/0!</v>
      </c>
      <c r="AI52" s="6"/>
      <c r="AJ52" s="6"/>
      <c r="AK52" s="4" t="e">
        <f t="shared" si="11"/>
        <v>#DIV/0!</v>
      </c>
      <c r="AL52" s="95">
        <f t="shared" si="12"/>
        <v>36</v>
      </c>
      <c r="AM52" s="95">
        <f t="shared" si="13"/>
        <v>224</v>
      </c>
      <c r="AN52" s="4">
        <f t="shared" si="14"/>
        <v>0.16071428571428573</v>
      </c>
      <c r="AO52" s="98" t="str">
        <f t="shared" si="15"/>
        <v>0</v>
      </c>
      <c r="AS52" s="2" t="s">
        <v>165</v>
      </c>
    </row>
    <row r="53" spans="1:45" x14ac:dyDescent="0.15">
      <c r="A53" s="77" t="s">
        <v>138</v>
      </c>
      <c r="B53" s="154">
        <f>[4]A07!$V$122+[4]A32!$W$86</f>
        <v>0</v>
      </c>
      <c r="C53" s="154">
        <f>'1,6 CN'!C53-'1,6 CN'!B53</f>
        <v>0</v>
      </c>
      <c r="D53" s="4" t="str">
        <f t="shared" si="7"/>
        <v/>
      </c>
      <c r="E53" s="154">
        <f>[5]A07!$V$122+[5]A32!$W$86</f>
        <v>0</v>
      </c>
      <c r="F53" s="154">
        <f>'1,6 CN'!F53-'1,6 CN'!E53</f>
        <v>0</v>
      </c>
      <c r="G53" s="4" t="str">
        <f t="shared" si="8"/>
        <v/>
      </c>
      <c r="H53" s="154">
        <f>[6]A07!$V$122+[6]A32!$W$86</f>
        <v>0</v>
      </c>
      <c r="I53" s="154">
        <f>'1,6 CN'!I53-'1,6 CN'!H53</f>
        <v>0</v>
      </c>
      <c r="J53" s="4" t="str">
        <f t="shared" si="9"/>
        <v/>
      </c>
      <c r="K53" s="154">
        <f>[7]A07!$V$122+[7]A32!$W$86</f>
        <v>0</v>
      </c>
      <c r="L53" s="154">
        <f>'1,6 CN'!L53-'1,6 CN'!K53</f>
        <v>0</v>
      </c>
      <c r="M53" s="4" t="str">
        <f t="shared" si="10"/>
        <v/>
      </c>
      <c r="N53" s="154">
        <f>[8]A07!$V$122+[8]A32!$W$86</f>
        <v>0</v>
      </c>
      <c r="O53" s="154">
        <f>'1,6 CN'!O53-'1,6 CN'!N53</f>
        <v>0</v>
      </c>
      <c r="P53" s="4" t="e">
        <f t="shared" si="0"/>
        <v>#DIV/0!</v>
      </c>
      <c r="Q53" s="83"/>
      <c r="R53" s="84"/>
      <c r="S53" s="4" t="e">
        <f t="shared" si="1"/>
        <v>#DIV/0!</v>
      </c>
      <c r="T53" s="83"/>
      <c r="U53" s="84"/>
      <c r="V53" s="4" t="e">
        <f t="shared" si="2"/>
        <v>#DIV/0!</v>
      </c>
      <c r="W53" s="83"/>
      <c r="X53" s="84"/>
      <c r="Y53" s="4" t="e">
        <f t="shared" si="3"/>
        <v>#DIV/0!</v>
      </c>
      <c r="Z53" s="83"/>
      <c r="AA53" s="84"/>
      <c r="AB53" s="4" t="e">
        <f t="shared" si="4"/>
        <v>#DIV/0!</v>
      </c>
      <c r="AC53" s="83"/>
      <c r="AD53" s="84"/>
      <c r="AE53" s="4" t="e">
        <f t="shared" si="5"/>
        <v>#DIV/0!</v>
      </c>
      <c r="AF53" s="83"/>
      <c r="AG53" s="84"/>
      <c r="AH53" s="4" t="e">
        <f t="shared" si="6"/>
        <v>#DIV/0!</v>
      </c>
      <c r="AI53" s="6"/>
      <c r="AJ53" s="6"/>
      <c r="AK53" s="4" t="e">
        <f t="shared" si="11"/>
        <v>#DIV/0!</v>
      </c>
      <c r="AL53" s="95">
        <f t="shared" si="12"/>
        <v>0</v>
      </c>
      <c r="AM53" s="95">
        <f t="shared" si="13"/>
        <v>0</v>
      </c>
      <c r="AN53" s="4" t="str">
        <f t="shared" si="14"/>
        <v/>
      </c>
      <c r="AO53" s="98" t="str">
        <f t="shared" si="15"/>
        <v>0</v>
      </c>
      <c r="AS53" s="2" t="s">
        <v>165</v>
      </c>
    </row>
    <row r="54" spans="1:45" x14ac:dyDescent="0.15">
      <c r="A54" s="77" t="s">
        <v>139</v>
      </c>
      <c r="B54" s="154">
        <f>[4]A07!$V$123+[4]A32!$W$87</f>
        <v>0</v>
      </c>
      <c r="C54" s="154">
        <f>'1,6 CN'!C54-'1,6 CN'!B54</f>
        <v>0</v>
      </c>
      <c r="D54" s="4" t="str">
        <f t="shared" si="7"/>
        <v/>
      </c>
      <c r="E54" s="154">
        <f>[5]A07!$V$123+[5]A32!$W$87</f>
        <v>0</v>
      </c>
      <c r="F54" s="154">
        <f>'1,6 CN'!F54-'1,6 CN'!E54</f>
        <v>0</v>
      </c>
      <c r="G54" s="4" t="str">
        <f t="shared" si="8"/>
        <v/>
      </c>
      <c r="H54" s="154">
        <f>[6]A07!$V$123+[6]A32!$W$87</f>
        <v>0</v>
      </c>
      <c r="I54" s="154">
        <f>'1,6 CN'!I54-'1,6 CN'!H54</f>
        <v>0</v>
      </c>
      <c r="J54" s="4" t="str">
        <f t="shared" si="9"/>
        <v/>
      </c>
      <c r="K54" s="154">
        <f>[7]A07!$V$123+[7]A32!$W$87</f>
        <v>0</v>
      </c>
      <c r="L54" s="154">
        <f>'1,6 CN'!L54-'1,6 CN'!K54</f>
        <v>0</v>
      </c>
      <c r="M54" s="4" t="str">
        <f t="shared" si="10"/>
        <v/>
      </c>
      <c r="N54" s="154">
        <f>[8]A07!$V$123+[8]A32!$W$87</f>
        <v>0</v>
      </c>
      <c r="O54" s="154">
        <f>'1,6 CN'!O54-'1,6 CN'!N54</f>
        <v>0</v>
      </c>
      <c r="P54" s="4" t="e">
        <f t="shared" si="0"/>
        <v>#DIV/0!</v>
      </c>
      <c r="Q54" s="83"/>
      <c r="R54" s="84"/>
      <c r="S54" s="4" t="e">
        <f t="shared" si="1"/>
        <v>#DIV/0!</v>
      </c>
      <c r="T54" s="83"/>
      <c r="U54" s="84"/>
      <c r="V54" s="4" t="e">
        <f t="shared" si="2"/>
        <v>#DIV/0!</v>
      </c>
      <c r="W54" s="83"/>
      <c r="X54" s="84"/>
      <c r="Y54" s="4" t="e">
        <f t="shared" si="3"/>
        <v>#DIV/0!</v>
      </c>
      <c r="Z54" s="83"/>
      <c r="AA54" s="84"/>
      <c r="AB54" s="4" t="e">
        <f t="shared" si="4"/>
        <v>#DIV/0!</v>
      </c>
      <c r="AC54" s="83"/>
      <c r="AD54" s="84"/>
      <c r="AE54" s="4" t="e">
        <f t="shared" si="5"/>
        <v>#DIV/0!</v>
      </c>
      <c r="AF54" s="83"/>
      <c r="AG54" s="84"/>
      <c r="AH54" s="4" t="e">
        <f t="shared" si="6"/>
        <v>#DIV/0!</v>
      </c>
      <c r="AI54" s="6"/>
      <c r="AJ54" s="6"/>
      <c r="AK54" s="4" t="e">
        <f t="shared" si="11"/>
        <v>#DIV/0!</v>
      </c>
      <c r="AL54" s="95">
        <f t="shared" si="12"/>
        <v>0</v>
      </c>
      <c r="AM54" s="95">
        <f t="shared" si="13"/>
        <v>0</v>
      </c>
      <c r="AN54" s="4" t="str">
        <f t="shared" si="14"/>
        <v/>
      </c>
      <c r="AO54" s="98" t="str">
        <f t="shared" si="15"/>
        <v>0</v>
      </c>
      <c r="AS54" s="2" t="s">
        <v>165</v>
      </c>
    </row>
    <row r="55" spans="1:45" x14ac:dyDescent="0.15">
      <c r="A55" s="76" t="s">
        <v>140</v>
      </c>
      <c r="B55" s="154">
        <f>[4]A07!$V$124+[4]A32!$W$88</f>
        <v>0</v>
      </c>
      <c r="C55" s="154">
        <f>'1,6 CN'!C55-'1,6 CN'!B55</f>
        <v>0</v>
      </c>
      <c r="D55" s="4" t="str">
        <f t="shared" si="7"/>
        <v/>
      </c>
      <c r="E55" s="154">
        <f>[5]A07!$V$124+[5]A32!$W$88</f>
        <v>0</v>
      </c>
      <c r="F55" s="154">
        <f>'1,6 CN'!F55-'1,6 CN'!E55</f>
        <v>0</v>
      </c>
      <c r="G55" s="4" t="str">
        <f t="shared" si="8"/>
        <v/>
      </c>
      <c r="H55" s="154">
        <f>[6]A07!$V$124+[6]A32!$W$88</f>
        <v>0</v>
      </c>
      <c r="I55" s="154">
        <f>'1,6 CN'!I55-'1,6 CN'!H55</f>
        <v>0</v>
      </c>
      <c r="J55" s="4" t="str">
        <f t="shared" si="9"/>
        <v/>
      </c>
      <c r="K55" s="154">
        <f>[7]A07!$V$124+[7]A32!$W$88</f>
        <v>0</v>
      </c>
      <c r="L55" s="154">
        <f>'1,6 CN'!L55-'1,6 CN'!K55</f>
        <v>0</v>
      </c>
      <c r="M55" s="4" t="str">
        <f t="shared" si="10"/>
        <v/>
      </c>
      <c r="N55" s="154">
        <f>[8]A07!$V$124+[8]A32!$W$88</f>
        <v>0</v>
      </c>
      <c r="O55" s="154">
        <f>'1,6 CN'!O55-'1,6 CN'!N55</f>
        <v>0</v>
      </c>
      <c r="P55" s="4" t="e">
        <f t="shared" si="0"/>
        <v>#DIV/0!</v>
      </c>
      <c r="Q55" s="83"/>
      <c r="R55" s="84"/>
      <c r="S55" s="4" t="e">
        <f t="shared" si="1"/>
        <v>#DIV/0!</v>
      </c>
      <c r="T55" s="83"/>
      <c r="U55" s="84"/>
      <c r="V55" s="4" t="e">
        <f t="shared" si="2"/>
        <v>#DIV/0!</v>
      </c>
      <c r="W55" s="83"/>
      <c r="X55" s="84"/>
      <c r="Y55" s="4" t="e">
        <f t="shared" si="3"/>
        <v>#DIV/0!</v>
      </c>
      <c r="Z55" s="83"/>
      <c r="AA55" s="84"/>
      <c r="AB55" s="4" t="e">
        <f t="shared" si="4"/>
        <v>#DIV/0!</v>
      </c>
      <c r="AC55" s="83"/>
      <c r="AD55" s="84"/>
      <c r="AE55" s="4" t="e">
        <f t="shared" si="5"/>
        <v>#DIV/0!</v>
      </c>
      <c r="AF55" s="83"/>
      <c r="AG55" s="84"/>
      <c r="AH55" s="4" t="e">
        <f t="shared" si="6"/>
        <v>#DIV/0!</v>
      </c>
      <c r="AI55" s="6"/>
      <c r="AJ55" s="6"/>
      <c r="AK55" s="4" t="e">
        <f t="shared" si="11"/>
        <v>#DIV/0!</v>
      </c>
      <c r="AL55" s="95">
        <f t="shared" si="12"/>
        <v>0</v>
      </c>
      <c r="AM55" s="95">
        <f t="shared" si="13"/>
        <v>0</v>
      </c>
      <c r="AN55" s="4" t="str">
        <f t="shared" si="14"/>
        <v/>
      </c>
      <c r="AO55" s="98" t="str">
        <f t="shared" si="15"/>
        <v>0</v>
      </c>
      <c r="AS55" s="2" t="s">
        <v>165</v>
      </c>
    </row>
    <row r="56" spans="1:45" x14ac:dyDescent="0.15">
      <c r="A56" s="78" t="s">
        <v>141</v>
      </c>
      <c r="B56" s="154">
        <f>[4]A07!$V$125+[4]A32!$W$89</f>
        <v>0</v>
      </c>
      <c r="C56" s="154">
        <f>'1,6 CN'!C56-'1,6 CN'!B56</f>
        <v>0</v>
      </c>
      <c r="D56" s="4" t="str">
        <f t="shared" si="7"/>
        <v/>
      </c>
      <c r="E56" s="154">
        <f>[5]A07!$V$125+[5]A32!$W$89</f>
        <v>0</v>
      </c>
      <c r="F56" s="154">
        <f>'1,6 CN'!F56-'1,6 CN'!E56</f>
        <v>0</v>
      </c>
      <c r="G56" s="4" t="str">
        <f t="shared" si="8"/>
        <v/>
      </c>
      <c r="H56" s="154">
        <f>[6]A07!$V$125+[6]A32!$W$89</f>
        <v>0</v>
      </c>
      <c r="I56" s="154">
        <f>'1,6 CN'!I56-'1,6 CN'!H56</f>
        <v>0</v>
      </c>
      <c r="J56" s="4" t="str">
        <f t="shared" si="9"/>
        <v/>
      </c>
      <c r="K56" s="154">
        <f>[7]A07!$V$125+[7]A32!$W$89</f>
        <v>0</v>
      </c>
      <c r="L56" s="154">
        <f>'1,6 CN'!L56-'1,6 CN'!K56</f>
        <v>0</v>
      </c>
      <c r="M56" s="4" t="str">
        <f t="shared" si="10"/>
        <v/>
      </c>
      <c r="N56" s="154">
        <f>[8]A07!$V$125+[8]A32!$W$89</f>
        <v>0</v>
      </c>
      <c r="O56" s="154">
        <f>'1,6 CN'!O56-'1,6 CN'!N56</f>
        <v>0</v>
      </c>
      <c r="P56" s="4" t="e">
        <f t="shared" si="0"/>
        <v>#DIV/0!</v>
      </c>
      <c r="Q56" s="83"/>
      <c r="R56" s="84"/>
      <c r="S56" s="4" t="e">
        <f t="shared" si="1"/>
        <v>#DIV/0!</v>
      </c>
      <c r="T56" s="83"/>
      <c r="U56" s="84"/>
      <c r="V56" s="4" t="e">
        <f t="shared" si="2"/>
        <v>#DIV/0!</v>
      </c>
      <c r="W56" s="83"/>
      <c r="X56" s="84"/>
      <c r="Y56" s="4" t="e">
        <f t="shared" si="3"/>
        <v>#DIV/0!</v>
      </c>
      <c r="Z56" s="83"/>
      <c r="AA56" s="84"/>
      <c r="AB56" s="4" t="e">
        <f t="shared" si="4"/>
        <v>#DIV/0!</v>
      </c>
      <c r="AC56" s="83"/>
      <c r="AD56" s="84"/>
      <c r="AE56" s="4" t="e">
        <f t="shared" si="5"/>
        <v>#DIV/0!</v>
      </c>
      <c r="AF56" s="83"/>
      <c r="AG56" s="84"/>
      <c r="AH56" s="4" t="e">
        <f t="shared" si="6"/>
        <v>#DIV/0!</v>
      </c>
      <c r="AI56" s="6"/>
      <c r="AJ56" s="6"/>
      <c r="AK56" s="4" t="e">
        <f t="shared" si="11"/>
        <v>#DIV/0!</v>
      </c>
      <c r="AL56" s="95">
        <f t="shared" si="12"/>
        <v>0</v>
      </c>
      <c r="AM56" s="95">
        <f t="shared" si="13"/>
        <v>0</v>
      </c>
      <c r="AN56" s="4" t="str">
        <f t="shared" si="14"/>
        <v/>
      </c>
      <c r="AO56" s="98" t="str">
        <f t="shared" si="15"/>
        <v>0</v>
      </c>
      <c r="AS56" s="2" t="s">
        <v>165</v>
      </c>
    </row>
    <row r="57" spans="1:45" x14ac:dyDescent="0.25">
      <c r="B57" s="1">
        <f>SUM(B2:B56)</f>
        <v>462</v>
      </c>
      <c r="C57" s="1">
        <f>SUM(C2:C56)</f>
        <v>3704</v>
      </c>
      <c r="D57" s="4">
        <f t="shared" ref="D57" si="16">B57/C57</f>
        <v>0.12473002159827214</v>
      </c>
      <c r="E57" s="1">
        <f>SUM(E2:E56)</f>
        <v>358</v>
      </c>
      <c r="F57" s="1">
        <f>SUM(F2:F56)</f>
        <v>3150</v>
      </c>
      <c r="G57" s="4">
        <f t="shared" ref="G57" si="17">E57/F57</f>
        <v>0.11365079365079366</v>
      </c>
      <c r="H57" s="1">
        <f>SUM(H2:H56)</f>
        <v>449</v>
      </c>
      <c r="I57" s="1">
        <f>SUM(I2:I56)</f>
        <v>4283</v>
      </c>
      <c r="J57" s="4">
        <f t="shared" ref="J57" si="18">H57/I57</f>
        <v>0.10483306093859444</v>
      </c>
      <c r="K57" s="1">
        <f>SUM(K2:K56)</f>
        <v>456</v>
      </c>
      <c r="L57" s="1">
        <f>SUM(L2:L56)</f>
        <v>4528</v>
      </c>
      <c r="M57" s="4">
        <f t="shared" si="10"/>
        <v>0.10070671378091872</v>
      </c>
      <c r="N57" s="1">
        <f>SUM(N2:N56)</f>
        <v>370</v>
      </c>
      <c r="O57" s="1">
        <f>SUM(O2:O56)</f>
        <v>3856</v>
      </c>
      <c r="P57" s="4">
        <f t="shared" si="0"/>
        <v>9.5954356846473035E-2</v>
      </c>
      <c r="Q57" s="1">
        <f>SUM(Q2:Q56)</f>
        <v>0</v>
      </c>
      <c r="R57" s="1">
        <f>SUM(R2:R56)</f>
        <v>0</v>
      </c>
      <c r="S57" s="4" t="e">
        <f t="shared" si="1"/>
        <v>#DIV/0!</v>
      </c>
      <c r="T57" s="1">
        <f>SUM(T2:T56)</f>
        <v>0</v>
      </c>
      <c r="U57" s="1">
        <f>SUM(U2:U56)</f>
        <v>0</v>
      </c>
      <c r="V57" s="4" t="e">
        <f t="shared" si="2"/>
        <v>#DIV/0!</v>
      </c>
      <c r="W57" s="1">
        <f>SUM(W2:W56)</f>
        <v>0</v>
      </c>
      <c r="X57" s="1">
        <f>SUM(X2:X56)</f>
        <v>0</v>
      </c>
      <c r="Y57" s="4" t="e">
        <f t="shared" si="3"/>
        <v>#DIV/0!</v>
      </c>
      <c r="Z57" s="1">
        <f>SUM(Z2:Z56)</f>
        <v>0</v>
      </c>
      <c r="AA57" s="1">
        <f>SUM(AA2:AA56)</f>
        <v>0</v>
      </c>
      <c r="AB57" s="4" t="e">
        <f t="shared" si="4"/>
        <v>#DIV/0!</v>
      </c>
      <c r="AC57" s="1">
        <f>SUM(AC2:AC56)</f>
        <v>0</v>
      </c>
      <c r="AD57" s="1">
        <f>SUM(AD2:AD56)</f>
        <v>0</v>
      </c>
      <c r="AE57" s="4" t="e">
        <f t="shared" si="5"/>
        <v>#DIV/0!</v>
      </c>
      <c r="AF57" s="1">
        <f>SUM(AF2:AF56)</f>
        <v>0</v>
      </c>
      <c r="AG57" s="1">
        <f>SUM(AG2:AG56)</f>
        <v>0</v>
      </c>
      <c r="AH57" s="4" t="e">
        <f t="shared" si="6"/>
        <v>#DIV/0!</v>
      </c>
      <c r="AI57" s="1">
        <f>SUM(AI2:AI56)</f>
        <v>0</v>
      </c>
      <c r="AJ57" s="1">
        <f>SUM(AJ2:AJ56)</f>
        <v>0</v>
      </c>
      <c r="AK57" s="4" t="e">
        <f>AI57/AJ57</f>
        <v>#DIV/0!</v>
      </c>
      <c r="AL57" s="91">
        <f>SUM(AL2:AL56)</f>
        <v>2095</v>
      </c>
      <c r="AM57" s="91">
        <f>SUM(AM2:AM56)</f>
        <v>19521</v>
      </c>
      <c r="AN57" s="4">
        <f t="shared" ref="AN57" si="19">AL57/AM57</f>
        <v>0.10732032170483069</v>
      </c>
      <c r="AO57" s="106">
        <f>AO2+AO3+AO7+AO8+AO9+AO12+AO17+AO22+AO24+AO28+AO29+AO31+AO32+AO33+AO34+AO35+AO39+AO44+AO45+AO48+AO49+AO50+AO51+AO52</f>
        <v>14</v>
      </c>
      <c r="AP57" s="109">
        <v>24</v>
      </c>
      <c r="AQ57" s="4">
        <f>AO57/AP57</f>
        <v>0.58333333333333337</v>
      </c>
      <c r="AR57" s="155">
        <v>0.7</v>
      </c>
      <c r="AS57" s="4">
        <f>AQ57*AR57</f>
        <v>0.40833333333333333</v>
      </c>
    </row>
    <row r="58" spans="1:45" x14ac:dyDescent="0.25">
      <c r="C58" s="2">
        <f>C57-B57</f>
        <v>3242</v>
      </c>
      <c r="AO58" s="99"/>
    </row>
    <row r="59" spans="1:45" x14ac:dyDescent="0.25">
      <c r="B59" s="83">
        <f>[10]A07!$U$71+[10]A07!$V$71+[10]A32!$V$35+[10]A32!$W$35</f>
        <v>32</v>
      </c>
    </row>
  </sheetData>
  <autoFilter ref="A1:AS59" xr:uid="{0CBA32B8-6F82-4AB1-84D7-7ADB6D111847}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84C8B-5E0E-4FD7-950C-87BAD47273E6}">
  <dimension ref="A1:AT59"/>
  <sheetViews>
    <sheetView showGridLines="0" topLeftCell="A20" zoomScale="80" zoomScaleNormal="80" workbookViewId="0">
      <selection activeCell="L48" sqref="L48"/>
    </sheetView>
  </sheetViews>
  <sheetFormatPr baseColWidth="10" defaultColWidth="11.42578125" defaultRowHeight="13.5" x14ac:dyDescent="0.25"/>
  <cols>
    <col min="1" max="1" width="51.42578125" style="2" customWidth="1"/>
    <col min="2" max="4" width="15.7109375" style="2" customWidth="1"/>
    <col min="5" max="5" width="14.7109375" style="2" customWidth="1"/>
    <col min="6" max="13" width="11.42578125" style="2" customWidth="1"/>
    <col min="14" max="38" width="11.42578125" style="2"/>
    <col min="39" max="39" width="12.42578125" style="2" customWidth="1"/>
    <col min="40" max="42" width="11.42578125" style="2"/>
    <col min="43" max="43" width="13.28515625" style="2" bestFit="1" customWidth="1"/>
    <col min="44" max="16384" width="11.42578125" style="2"/>
  </cols>
  <sheetData>
    <row r="1" spans="1:46" ht="33.6" customHeight="1" x14ac:dyDescent="0.25">
      <c r="A1" s="17" t="s">
        <v>169</v>
      </c>
      <c r="B1" s="1" t="s">
        <v>49</v>
      </c>
      <c r="C1" s="5" t="s">
        <v>50</v>
      </c>
      <c r="D1" s="5" t="s">
        <v>48</v>
      </c>
      <c r="E1" s="1" t="s">
        <v>51</v>
      </c>
      <c r="F1" s="5" t="s">
        <v>52</v>
      </c>
      <c r="G1" s="5" t="s">
        <v>53</v>
      </c>
      <c r="H1" s="1" t="s">
        <v>56</v>
      </c>
      <c r="I1" s="5" t="s">
        <v>54</v>
      </c>
      <c r="J1" s="5" t="s">
        <v>55</v>
      </c>
      <c r="K1" s="1" t="s">
        <v>57</v>
      </c>
      <c r="L1" s="5" t="s">
        <v>58</v>
      </c>
      <c r="M1" s="5" t="s">
        <v>59</v>
      </c>
      <c r="N1" s="1" t="s">
        <v>60</v>
      </c>
      <c r="O1" s="5" t="s">
        <v>61</v>
      </c>
      <c r="P1" s="5" t="s">
        <v>62</v>
      </c>
      <c r="Q1" s="1" t="s">
        <v>63</v>
      </c>
      <c r="R1" s="5" t="s">
        <v>64</v>
      </c>
      <c r="S1" s="5" t="s">
        <v>65</v>
      </c>
      <c r="T1" s="1" t="s">
        <v>66</v>
      </c>
      <c r="U1" s="5" t="s">
        <v>67</v>
      </c>
      <c r="V1" s="5" t="s">
        <v>68</v>
      </c>
      <c r="W1" s="1" t="s">
        <v>69</v>
      </c>
      <c r="X1" s="5" t="s">
        <v>70</v>
      </c>
      <c r="Y1" s="5" t="s">
        <v>71</v>
      </c>
      <c r="Z1" s="1" t="s">
        <v>72</v>
      </c>
      <c r="AA1" s="5" t="s">
        <v>73</v>
      </c>
      <c r="AB1" s="5" t="s">
        <v>74</v>
      </c>
      <c r="AC1" s="1" t="s">
        <v>75</v>
      </c>
      <c r="AD1" s="5" t="s">
        <v>76</v>
      </c>
      <c r="AE1" s="5" t="s">
        <v>77</v>
      </c>
      <c r="AF1" s="1" t="s">
        <v>78</v>
      </c>
      <c r="AG1" s="5" t="s">
        <v>79</v>
      </c>
      <c r="AH1" s="5" t="s">
        <v>80</v>
      </c>
      <c r="AI1" s="1" t="s">
        <v>81</v>
      </c>
      <c r="AJ1" s="5" t="s">
        <v>82</v>
      </c>
      <c r="AK1" s="5" t="s">
        <v>83</v>
      </c>
      <c r="AL1" s="91" t="s">
        <v>84</v>
      </c>
      <c r="AM1" s="92" t="s">
        <v>85</v>
      </c>
      <c r="AN1" s="5" t="s">
        <v>86</v>
      </c>
      <c r="AO1" s="3" t="s">
        <v>4</v>
      </c>
      <c r="AP1" s="3" t="s">
        <v>1</v>
      </c>
      <c r="AQ1" s="97" t="s">
        <v>162</v>
      </c>
      <c r="AR1" s="2" t="s">
        <v>163</v>
      </c>
      <c r="AS1" s="101" t="s">
        <v>184</v>
      </c>
      <c r="AT1" s="2" t="s">
        <v>294</v>
      </c>
    </row>
    <row r="2" spans="1:46" x14ac:dyDescent="0.15">
      <c r="A2" s="76" t="s">
        <v>87</v>
      </c>
      <c r="B2" s="93">
        <f>[4]A07!$U$71+[4]A32!$V$35</f>
        <v>10</v>
      </c>
      <c r="C2" s="93">
        <f>'1,6 CN'!B2</f>
        <v>70</v>
      </c>
      <c r="D2" s="4">
        <f>IFERROR(B2/C2,"")</f>
        <v>0.14285714285714285</v>
      </c>
      <c r="E2" s="93">
        <f>[5]A07!$U$71+[5]A32!$V$35</f>
        <v>7</v>
      </c>
      <c r="F2" s="93">
        <f>'1,6 CN'!E2</f>
        <v>72</v>
      </c>
      <c r="G2" s="4">
        <f>IFERROR(E2/F2,"")</f>
        <v>9.7222222222222224E-2</v>
      </c>
      <c r="H2" s="93">
        <f>[6]A07!$U$71+[6]A32!$V$35</f>
        <v>13</v>
      </c>
      <c r="I2" s="93">
        <f>'1,6 CN'!H2</f>
        <v>86</v>
      </c>
      <c r="J2" s="4">
        <f>IFERROR(H2/I2,"")</f>
        <v>0.15116279069767441</v>
      </c>
      <c r="K2" s="93">
        <f>[7]A07!$U$71+[7]A32!$V$35</f>
        <v>9</v>
      </c>
      <c r="L2" s="93">
        <f>'1,6 CN'!K2</f>
        <v>62</v>
      </c>
      <c r="M2" s="4">
        <f>IFERROR(K2/L2,"")</f>
        <v>0.14516129032258066</v>
      </c>
      <c r="N2" s="93">
        <f>[8]A07!$U$71+[8]A32!$V$35</f>
        <v>11</v>
      </c>
      <c r="O2" s="93">
        <f>'1,6 CN'!N2</f>
        <v>80</v>
      </c>
      <c r="P2" s="4">
        <f t="shared" ref="P2:P57" si="0">N2/O2</f>
        <v>0.13750000000000001</v>
      </c>
      <c r="Q2" s="83"/>
      <c r="R2" s="84"/>
      <c r="S2" s="4" t="e">
        <f t="shared" ref="S2:S57" si="1">Q2/R2</f>
        <v>#DIV/0!</v>
      </c>
      <c r="T2" s="83"/>
      <c r="U2" s="84"/>
      <c r="V2" s="4" t="e">
        <f t="shared" ref="V2:V57" si="2">T2/U2</f>
        <v>#DIV/0!</v>
      </c>
      <c r="W2" s="83"/>
      <c r="X2" s="84"/>
      <c r="Y2" s="4" t="e">
        <f t="shared" ref="Y2:Y57" si="3">W2/X2</f>
        <v>#DIV/0!</v>
      </c>
      <c r="Z2" s="83"/>
      <c r="AA2" s="84"/>
      <c r="AB2" s="4" t="e">
        <f t="shared" ref="AB2:AB57" si="4">Z2/AA2</f>
        <v>#DIV/0!</v>
      </c>
      <c r="AC2" s="83"/>
      <c r="AD2" s="84"/>
      <c r="AE2" s="4" t="e">
        <f t="shared" ref="AE2:AE57" si="5">AC2/AD2</f>
        <v>#DIV/0!</v>
      </c>
      <c r="AF2" s="83"/>
      <c r="AG2" s="84"/>
      <c r="AH2" s="4" t="e">
        <f t="shared" ref="AH2:AH57" si="6">AF2/AG2</f>
        <v>#DIV/0!</v>
      </c>
      <c r="AI2" s="6"/>
      <c r="AJ2" s="6"/>
      <c r="AK2" s="4" t="e">
        <f>+AI2/AJ2</f>
        <v>#DIV/0!</v>
      </c>
      <c r="AL2" s="95">
        <f>B2+E2+H2+K2+N2</f>
        <v>50</v>
      </c>
      <c r="AM2" s="95">
        <f>C2+F2+I2+L2+O2</f>
        <v>370</v>
      </c>
      <c r="AN2" s="4">
        <f>IFERROR(AL2/AM2,"")</f>
        <v>0.13513513513513514</v>
      </c>
      <c r="AO2" s="98" t="str">
        <f>IF(AN2&lt;12%,"1","0")</f>
        <v>0</v>
      </c>
      <c r="AS2" s="2" t="s">
        <v>185</v>
      </c>
    </row>
    <row r="3" spans="1:46" x14ac:dyDescent="0.15">
      <c r="A3" s="77" t="s">
        <v>88</v>
      </c>
      <c r="B3" s="93">
        <f>[4]A07!$U$72+[4]A32!$V$36</f>
        <v>20</v>
      </c>
      <c r="C3" s="93">
        <f>'1,6 CN'!B3</f>
        <v>146</v>
      </c>
      <c r="D3" s="4">
        <f t="shared" ref="D3:D57" si="7">IFERROR(B3/C3,"")</f>
        <v>0.13698630136986301</v>
      </c>
      <c r="E3" s="93">
        <f>[5]A07!$U$72+[5]A32!$V$36</f>
        <v>6</v>
      </c>
      <c r="F3" s="93">
        <f>'1,6 CN'!E3</f>
        <v>71</v>
      </c>
      <c r="G3" s="4">
        <f t="shared" ref="G3:G56" si="8">IFERROR(E3/F3,"")</f>
        <v>8.4507042253521125E-2</v>
      </c>
      <c r="H3" s="93">
        <f>[6]A07!$U$72+[6]A32!$V$36</f>
        <v>4</v>
      </c>
      <c r="I3" s="93">
        <f>'1,6 CN'!H3</f>
        <v>52</v>
      </c>
      <c r="J3" s="4">
        <f t="shared" ref="J3:J56" si="9">IFERROR(H3/I3,"")</f>
        <v>7.6923076923076927E-2</v>
      </c>
      <c r="K3" s="93">
        <f>[7]A07!$U$72+[7]A32!$V$36</f>
        <v>15</v>
      </c>
      <c r="L3" s="93">
        <f>'1,6 CN'!K3</f>
        <v>137</v>
      </c>
      <c r="M3" s="4">
        <f t="shared" ref="M3:M57" si="10">IFERROR(K3/L3,"")</f>
        <v>0.10948905109489052</v>
      </c>
      <c r="N3" s="93">
        <f>[8]A07!$U$72+[8]A32!$V$36</f>
        <v>5</v>
      </c>
      <c r="O3" s="93">
        <f>'1,6 CN'!N3</f>
        <v>103</v>
      </c>
      <c r="P3" s="4">
        <f t="shared" si="0"/>
        <v>4.8543689320388349E-2</v>
      </c>
      <c r="Q3" s="83"/>
      <c r="R3" s="84"/>
      <c r="S3" s="4" t="e">
        <f t="shared" si="1"/>
        <v>#DIV/0!</v>
      </c>
      <c r="T3" s="83"/>
      <c r="U3" s="84"/>
      <c r="V3" s="4" t="e">
        <f t="shared" si="2"/>
        <v>#DIV/0!</v>
      </c>
      <c r="W3" s="83"/>
      <c r="X3" s="84"/>
      <c r="Y3" s="4" t="e">
        <f t="shared" si="3"/>
        <v>#DIV/0!</v>
      </c>
      <c r="Z3" s="83"/>
      <c r="AA3" s="84"/>
      <c r="AB3" s="4" t="e">
        <f t="shared" si="4"/>
        <v>#DIV/0!</v>
      </c>
      <c r="AC3" s="83"/>
      <c r="AD3" s="84"/>
      <c r="AE3" s="4" t="e">
        <f t="shared" si="5"/>
        <v>#DIV/0!</v>
      </c>
      <c r="AF3" s="83"/>
      <c r="AG3" s="84"/>
      <c r="AH3" s="4" t="e">
        <f t="shared" si="6"/>
        <v>#DIV/0!</v>
      </c>
      <c r="AI3" s="6"/>
      <c r="AJ3" s="6"/>
      <c r="AK3" s="4" t="e">
        <f t="shared" ref="AK3:AK56" si="11">+AI3/AJ3</f>
        <v>#DIV/0!</v>
      </c>
      <c r="AL3" s="95">
        <f t="shared" ref="AL3:AL56" si="12">B3+E3+H3+K3+N3</f>
        <v>50</v>
      </c>
      <c r="AM3" s="95">
        <f t="shared" ref="AM3:AM56" si="13">C3+F3+I3+L3+O3</f>
        <v>509</v>
      </c>
      <c r="AN3" s="4">
        <f t="shared" ref="AN3:AN57" si="14">IFERROR(AL3/AM3,"")</f>
        <v>9.8231827111984277E-2</v>
      </c>
      <c r="AO3" s="98" t="str">
        <f>IF(AN3&lt;12%,"1","0")</f>
        <v>1</v>
      </c>
      <c r="AS3" s="2" t="s">
        <v>185</v>
      </c>
    </row>
    <row r="4" spans="1:46" x14ac:dyDescent="0.15">
      <c r="A4" s="77" t="s">
        <v>89</v>
      </c>
      <c r="B4" s="93">
        <f>[4]A07!$U$73+[4]A32!$V$37</f>
        <v>0</v>
      </c>
      <c r="C4" s="93">
        <f>'1,6 CN'!B4</f>
        <v>0</v>
      </c>
      <c r="D4" s="4" t="str">
        <f t="shared" si="7"/>
        <v/>
      </c>
      <c r="E4" s="93">
        <f>[5]A07!$U$73+[5]A32!$V$37</f>
        <v>0</v>
      </c>
      <c r="F4" s="93">
        <f>'1,6 CN'!E4</f>
        <v>0</v>
      </c>
      <c r="G4" s="4" t="str">
        <f t="shared" si="8"/>
        <v/>
      </c>
      <c r="H4" s="93">
        <f>[6]A07!$U$73+[6]A32!$V$37</f>
        <v>0</v>
      </c>
      <c r="I4" s="93">
        <f>'1,6 CN'!H4</f>
        <v>0</v>
      </c>
      <c r="J4" s="4" t="str">
        <f t="shared" si="9"/>
        <v/>
      </c>
      <c r="K4" s="93">
        <f>[7]A07!$U$73+[7]A32!$V$37</f>
        <v>0</v>
      </c>
      <c r="L4" s="93">
        <f>'1,6 CN'!K4</f>
        <v>0</v>
      </c>
      <c r="M4" s="4" t="str">
        <f t="shared" si="10"/>
        <v/>
      </c>
      <c r="N4" s="93">
        <f>[8]A07!$U$73+[8]A32!$V$37</f>
        <v>0</v>
      </c>
      <c r="O4" s="93">
        <f>'1,6 CN'!N4</f>
        <v>0</v>
      </c>
      <c r="P4" s="4" t="e">
        <f t="shared" si="0"/>
        <v>#DIV/0!</v>
      </c>
      <c r="Q4" s="83"/>
      <c r="R4" s="84"/>
      <c r="S4" s="4" t="e">
        <f t="shared" si="1"/>
        <v>#DIV/0!</v>
      </c>
      <c r="T4" s="83"/>
      <c r="U4" s="84"/>
      <c r="V4" s="4" t="e">
        <f t="shared" si="2"/>
        <v>#DIV/0!</v>
      </c>
      <c r="W4" s="83"/>
      <c r="X4" s="84"/>
      <c r="Y4" s="4" t="e">
        <f t="shared" si="3"/>
        <v>#DIV/0!</v>
      </c>
      <c r="Z4" s="83"/>
      <c r="AA4" s="84"/>
      <c r="AB4" s="4" t="e">
        <f t="shared" si="4"/>
        <v>#DIV/0!</v>
      </c>
      <c r="AC4" s="83"/>
      <c r="AD4" s="84"/>
      <c r="AE4" s="4" t="e">
        <f t="shared" si="5"/>
        <v>#DIV/0!</v>
      </c>
      <c r="AF4" s="83"/>
      <c r="AG4" s="84"/>
      <c r="AH4" s="4" t="e">
        <f t="shared" si="6"/>
        <v>#DIV/0!</v>
      </c>
      <c r="AI4" s="6"/>
      <c r="AJ4" s="6"/>
      <c r="AK4" s="4" t="e">
        <f t="shared" si="11"/>
        <v>#DIV/0!</v>
      </c>
      <c r="AL4" s="95">
        <f t="shared" si="12"/>
        <v>0</v>
      </c>
      <c r="AM4" s="95">
        <f t="shared" si="13"/>
        <v>0</v>
      </c>
      <c r="AN4" s="4" t="str">
        <f t="shared" si="14"/>
        <v/>
      </c>
      <c r="AO4" s="98" t="str">
        <f t="shared" ref="AO4:AO56" si="15">IF(AN4&lt;12%,"1","0")</f>
        <v>0</v>
      </c>
      <c r="AS4" s="2" t="s">
        <v>185</v>
      </c>
    </row>
    <row r="5" spans="1:46" x14ac:dyDescent="0.15">
      <c r="A5" s="77" t="s">
        <v>90</v>
      </c>
      <c r="B5" s="93">
        <f>[4]A07!$U$74+[4]A32!$V$38</f>
        <v>0</v>
      </c>
      <c r="C5" s="93">
        <f>'1,6 CN'!B5</f>
        <v>0</v>
      </c>
      <c r="D5" s="4" t="str">
        <f t="shared" si="7"/>
        <v/>
      </c>
      <c r="E5" s="93">
        <f>[5]A07!$U$74+[5]A32!$V$38</f>
        <v>0</v>
      </c>
      <c r="F5" s="93">
        <f>'1,6 CN'!E5</f>
        <v>0</v>
      </c>
      <c r="G5" s="4" t="str">
        <f t="shared" si="8"/>
        <v/>
      </c>
      <c r="H5" s="93">
        <f>[6]A07!$U$74+[6]A32!$V$38</f>
        <v>0</v>
      </c>
      <c r="I5" s="93">
        <f>'1,6 CN'!H5</f>
        <v>0</v>
      </c>
      <c r="J5" s="4" t="str">
        <f t="shared" si="9"/>
        <v/>
      </c>
      <c r="K5" s="93">
        <f>[7]A07!$U$74+[7]A32!$V$38</f>
        <v>0</v>
      </c>
      <c r="L5" s="93">
        <f>'1,6 CN'!K5</f>
        <v>0</v>
      </c>
      <c r="M5" s="4" t="str">
        <f t="shared" si="10"/>
        <v/>
      </c>
      <c r="N5" s="93">
        <f>[8]A07!$U$74+[8]A32!$V$38</f>
        <v>0</v>
      </c>
      <c r="O5" s="93">
        <f>'1,6 CN'!N5</f>
        <v>0</v>
      </c>
      <c r="P5" s="4" t="e">
        <f t="shared" si="0"/>
        <v>#DIV/0!</v>
      </c>
      <c r="Q5" s="83"/>
      <c r="R5" s="84"/>
      <c r="S5" s="4" t="e">
        <f t="shared" si="1"/>
        <v>#DIV/0!</v>
      </c>
      <c r="T5" s="83"/>
      <c r="U5" s="84"/>
      <c r="V5" s="4" t="e">
        <f t="shared" si="2"/>
        <v>#DIV/0!</v>
      </c>
      <c r="W5" s="83"/>
      <c r="X5" s="84"/>
      <c r="Y5" s="4" t="e">
        <f t="shared" si="3"/>
        <v>#DIV/0!</v>
      </c>
      <c r="Z5" s="83"/>
      <c r="AA5" s="84"/>
      <c r="AB5" s="4" t="e">
        <f t="shared" si="4"/>
        <v>#DIV/0!</v>
      </c>
      <c r="AC5" s="83"/>
      <c r="AD5" s="84"/>
      <c r="AE5" s="4" t="e">
        <f t="shared" si="5"/>
        <v>#DIV/0!</v>
      </c>
      <c r="AF5" s="83"/>
      <c r="AG5" s="84"/>
      <c r="AH5" s="4" t="e">
        <f t="shared" si="6"/>
        <v>#DIV/0!</v>
      </c>
      <c r="AI5" s="6"/>
      <c r="AJ5" s="6"/>
      <c r="AK5" s="4" t="e">
        <f t="shared" si="11"/>
        <v>#DIV/0!</v>
      </c>
      <c r="AL5" s="95">
        <f t="shared" si="12"/>
        <v>0</v>
      </c>
      <c r="AM5" s="95">
        <f t="shared" si="13"/>
        <v>0</v>
      </c>
      <c r="AN5" s="4" t="str">
        <f t="shared" si="14"/>
        <v/>
      </c>
      <c r="AO5" s="98" t="str">
        <f t="shared" si="15"/>
        <v>0</v>
      </c>
      <c r="AS5" s="2" t="s">
        <v>185</v>
      </c>
    </row>
    <row r="6" spans="1:46" x14ac:dyDescent="0.15">
      <c r="A6" s="77" t="s">
        <v>91</v>
      </c>
      <c r="B6" s="93">
        <f>[4]A07!$U$75+[4]A32!$V$39</f>
        <v>0</v>
      </c>
      <c r="C6" s="93">
        <f>'1,6 CN'!B6</f>
        <v>0</v>
      </c>
      <c r="D6" s="4" t="str">
        <f t="shared" si="7"/>
        <v/>
      </c>
      <c r="E6" s="93">
        <f>[5]A07!$U$75+[5]A32!$V$39</f>
        <v>0</v>
      </c>
      <c r="F6" s="93">
        <f>'1,6 CN'!E6</f>
        <v>0</v>
      </c>
      <c r="G6" s="4" t="str">
        <f t="shared" si="8"/>
        <v/>
      </c>
      <c r="H6" s="93">
        <f>[6]A07!$U$75+[6]A32!$V$39</f>
        <v>0</v>
      </c>
      <c r="I6" s="93">
        <f>'1,6 CN'!H6</f>
        <v>0</v>
      </c>
      <c r="J6" s="4" t="str">
        <f t="shared" si="9"/>
        <v/>
      </c>
      <c r="K6" s="93">
        <f>[7]A07!$U$75+[7]A32!$V$39</f>
        <v>0</v>
      </c>
      <c r="L6" s="93">
        <f>'1,6 CN'!K6</f>
        <v>0</v>
      </c>
      <c r="M6" s="4" t="str">
        <f t="shared" si="10"/>
        <v/>
      </c>
      <c r="N6" s="93">
        <f>[8]A07!$U$75+[8]A32!$V$39</f>
        <v>0</v>
      </c>
      <c r="O6" s="93">
        <f>'1,6 CN'!N6</f>
        <v>0</v>
      </c>
      <c r="P6" s="4" t="e">
        <f t="shared" si="0"/>
        <v>#DIV/0!</v>
      </c>
      <c r="Q6" s="83"/>
      <c r="R6" s="84"/>
      <c r="S6" s="4" t="e">
        <f t="shared" si="1"/>
        <v>#DIV/0!</v>
      </c>
      <c r="T6" s="83"/>
      <c r="U6" s="84"/>
      <c r="V6" s="4" t="e">
        <f t="shared" si="2"/>
        <v>#DIV/0!</v>
      </c>
      <c r="W6" s="83"/>
      <c r="X6" s="84"/>
      <c r="Y6" s="4" t="e">
        <f t="shared" si="3"/>
        <v>#DIV/0!</v>
      </c>
      <c r="Z6" s="83"/>
      <c r="AA6" s="84"/>
      <c r="AB6" s="4" t="e">
        <f t="shared" si="4"/>
        <v>#DIV/0!</v>
      </c>
      <c r="AC6" s="83"/>
      <c r="AD6" s="84"/>
      <c r="AE6" s="4" t="e">
        <f t="shared" si="5"/>
        <v>#DIV/0!</v>
      </c>
      <c r="AF6" s="83"/>
      <c r="AG6" s="84"/>
      <c r="AH6" s="4" t="e">
        <f t="shared" si="6"/>
        <v>#DIV/0!</v>
      </c>
      <c r="AI6" s="6"/>
      <c r="AJ6" s="6"/>
      <c r="AK6" s="4" t="e">
        <f t="shared" si="11"/>
        <v>#DIV/0!</v>
      </c>
      <c r="AL6" s="95">
        <f t="shared" si="12"/>
        <v>0</v>
      </c>
      <c r="AM6" s="95">
        <f t="shared" si="13"/>
        <v>0</v>
      </c>
      <c r="AN6" s="4" t="str">
        <f t="shared" si="14"/>
        <v/>
      </c>
      <c r="AO6" s="98" t="str">
        <f t="shared" si="15"/>
        <v>0</v>
      </c>
      <c r="AS6" s="2" t="s">
        <v>185</v>
      </c>
    </row>
    <row r="7" spans="1:46" x14ac:dyDescent="0.15">
      <c r="A7" s="77" t="s">
        <v>92</v>
      </c>
      <c r="B7" s="93">
        <f>[4]A07!$U$76+[4]A32!$V$40</f>
        <v>2</v>
      </c>
      <c r="C7" s="93">
        <f>'1,6 CN'!B7</f>
        <v>18</v>
      </c>
      <c r="D7" s="4">
        <f t="shared" si="7"/>
        <v>0.1111111111111111</v>
      </c>
      <c r="E7" s="93">
        <f>[5]A07!$U$76+[5]A32!$V$40</f>
        <v>5</v>
      </c>
      <c r="F7" s="93">
        <f>'1,6 CN'!E7</f>
        <v>15</v>
      </c>
      <c r="G7" s="4">
        <f t="shared" si="8"/>
        <v>0.33333333333333331</v>
      </c>
      <c r="H7" s="93">
        <f>[6]A07!$U$76+[6]A32!$V$40</f>
        <v>1</v>
      </c>
      <c r="I7" s="93">
        <f>'1,6 CN'!H7</f>
        <v>28</v>
      </c>
      <c r="J7" s="4">
        <f t="shared" si="9"/>
        <v>3.5714285714285712E-2</v>
      </c>
      <c r="K7" s="93">
        <f>[7]A07!$U$76+[7]A32!$V$40</f>
        <v>5</v>
      </c>
      <c r="L7" s="93">
        <f>'1,6 CN'!K7</f>
        <v>41</v>
      </c>
      <c r="M7" s="4">
        <f t="shared" si="10"/>
        <v>0.12195121951219512</v>
      </c>
      <c r="N7" s="93">
        <f>[8]A07!$U$76+[8]A32!$V$40</f>
        <v>1</v>
      </c>
      <c r="O7" s="93">
        <f>'1,6 CN'!N7</f>
        <v>12</v>
      </c>
      <c r="P7" s="4">
        <f t="shared" si="0"/>
        <v>8.3333333333333329E-2</v>
      </c>
      <c r="Q7" s="83"/>
      <c r="R7" s="84"/>
      <c r="S7" s="4" t="e">
        <f t="shared" si="1"/>
        <v>#DIV/0!</v>
      </c>
      <c r="T7" s="83"/>
      <c r="U7" s="84"/>
      <c r="V7" s="4" t="e">
        <f t="shared" si="2"/>
        <v>#DIV/0!</v>
      </c>
      <c r="W7" s="83"/>
      <c r="X7" s="84"/>
      <c r="Y7" s="4" t="e">
        <f t="shared" si="3"/>
        <v>#DIV/0!</v>
      </c>
      <c r="Z7" s="83"/>
      <c r="AA7" s="84"/>
      <c r="AB7" s="4" t="e">
        <f t="shared" si="4"/>
        <v>#DIV/0!</v>
      </c>
      <c r="AC7" s="83"/>
      <c r="AD7" s="84"/>
      <c r="AE7" s="4" t="e">
        <f t="shared" si="5"/>
        <v>#DIV/0!</v>
      </c>
      <c r="AF7" s="83"/>
      <c r="AG7" s="84"/>
      <c r="AH7" s="4" t="e">
        <f t="shared" si="6"/>
        <v>#DIV/0!</v>
      </c>
      <c r="AI7" s="6"/>
      <c r="AJ7" s="6"/>
      <c r="AK7" s="4" t="e">
        <f t="shared" si="11"/>
        <v>#DIV/0!</v>
      </c>
      <c r="AL7" s="95">
        <f t="shared" si="12"/>
        <v>14</v>
      </c>
      <c r="AM7" s="95">
        <f t="shared" si="13"/>
        <v>114</v>
      </c>
      <c r="AN7" s="4">
        <f t="shared" si="14"/>
        <v>0.12280701754385964</v>
      </c>
      <c r="AO7" s="98" t="str">
        <f t="shared" si="15"/>
        <v>0</v>
      </c>
      <c r="AS7" s="2" t="s">
        <v>185</v>
      </c>
    </row>
    <row r="8" spans="1:46" x14ac:dyDescent="0.15">
      <c r="A8" s="77" t="s">
        <v>93</v>
      </c>
      <c r="B8" s="93">
        <f>[4]A07!$U$77+[4]A32!$V$41</f>
        <v>1</v>
      </c>
      <c r="C8" s="93">
        <f>'1,6 CN'!B8</f>
        <v>22</v>
      </c>
      <c r="D8" s="4">
        <f t="shared" si="7"/>
        <v>4.5454545454545456E-2</v>
      </c>
      <c r="E8" s="93">
        <f>[5]A07!$U$77+[5]A32!$V$41</f>
        <v>0</v>
      </c>
      <c r="F8" s="93">
        <f>'1,6 CN'!E8</f>
        <v>18</v>
      </c>
      <c r="G8" s="4">
        <f t="shared" si="8"/>
        <v>0</v>
      </c>
      <c r="H8" s="93">
        <f>[6]A07!$U$77+[6]A32!$V$41</f>
        <v>2</v>
      </c>
      <c r="I8" s="93">
        <f>'1,6 CN'!H8</f>
        <v>22</v>
      </c>
      <c r="J8" s="4">
        <f t="shared" si="9"/>
        <v>9.0909090909090912E-2</v>
      </c>
      <c r="K8" s="93">
        <f>[7]A07!$U$77+[7]A32!$V$41</f>
        <v>2</v>
      </c>
      <c r="L8" s="93">
        <f>'1,6 CN'!K8</f>
        <v>43</v>
      </c>
      <c r="M8" s="4">
        <f t="shared" si="10"/>
        <v>4.6511627906976744E-2</v>
      </c>
      <c r="N8" s="93">
        <f>[8]A07!$U$77+[8]A32!$V$41</f>
        <v>0</v>
      </c>
      <c r="O8" s="93">
        <f>'1,6 CN'!N8</f>
        <v>38</v>
      </c>
      <c r="P8" s="4">
        <f t="shared" si="0"/>
        <v>0</v>
      </c>
      <c r="Q8" s="83"/>
      <c r="R8" s="84"/>
      <c r="S8" s="4" t="e">
        <f t="shared" si="1"/>
        <v>#DIV/0!</v>
      </c>
      <c r="T8" s="83"/>
      <c r="U8" s="84"/>
      <c r="V8" s="4" t="e">
        <f t="shared" si="2"/>
        <v>#DIV/0!</v>
      </c>
      <c r="W8" s="83"/>
      <c r="X8" s="84"/>
      <c r="Y8" s="4" t="e">
        <f t="shared" si="3"/>
        <v>#DIV/0!</v>
      </c>
      <c r="Z8" s="83"/>
      <c r="AA8" s="84"/>
      <c r="AB8" s="4" t="e">
        <f t="shared" si="4"/>
        <v>#DIV/0!</v>
      </c>
      <c r="AC8" s="83"/>
      <c r="AD8" s="84"/>
      <c r="AE8" s="4" t="e">
        <f t="shared" si="5"/>
        <v>#DIV/0!</v>
      </c>
      <c r="AF8" s="83"/>
      <c r="AG8" s="84"/>
      <c r="AH8" s="4" t="e">
        <f t="shared" si="6"/>
        <v>#DIV/0!</v>
      </c>
      <c r="AI8" s="6"/>
      <c r="AJ8" s="6"/>
      <c r="AK8" s="4" t="e">
        <f t="shared" si="11"/>
        <v>#DIV/0!</v>
      </c>
      <c r="AL8" s="95">
        <f t="shared" si="12"/>
        <v>5</v>
      </c>
      <c r="AM8" s="95">
        <f t="shared" si="13"/>
        <v>143</v>
      </c>
      <c r="AN8" s="4">
        <f t="shared" si="14"/>
        <v>3.4965034965034968E-2</v>
      </c>
      <c r="AO8" s="98" t="str">
        <f t="shared" si="15"/>
        <v>1</v>
      </c>
      <c r="AS8" s="2" t="s">
        <v>185</v>
      </c>
    </row>
    <row r="9" spans="1:46" x14ac:dyDescent="0.15">
      <c r="A9" s="77" t="s">
        <v>94</v>
      </c>
      <c r="B9" s="93">
        <f>[4]A07!$U$78+[4]A32!$V$42</f>
        <v>1</v>
      </c>
      <c r="C9" s="93">
        <f>'1,6 CN'!B9</f>
        <v>14</v>
      </c>
      <c r="D9" s="4">
        <f t="shared" si="7"/>
        <v>7.1428571428571425E-2</v>
      </c>
      <c r="E9" s="93">
        <f>[5]A07!$U$78+[5]A32!$V$42</f>
        <v>1</v>
      </c>
      <c r="F9" s="93">
        <f>'1,6 CN'!E9</f>
        <v>10</v>
      </c>
      <c r="G9" s="4">
        <f t="shared" si="8"/>
        <v>0.1</v>
      </c>
      <c r="H9" s="93">
        <f>[6]A07!$U$78+[6]A32!$V$42</f>
        <v>1</v>
      </c>
      <c r="I9" s="93">
        <f>'1,6 CN'!H9</f>
        <v>12</v>
      </c>
      <c r="J9" s="4">
        <f t="shared" si="9"/>
        <v>8.3333333333333329E-2</v>
      </c>
      <c r="K9" s="93">
        <f>[7]A07!$U$78+[7]A32!$V$42</f>
        <v>1</v>
      </c>
      <c r="L9" s="93">
        <f>'1,6 CN'!K9</f>
        <v>11</v>
      </c>
      <c r="M9" s="4">
        <f t="shared" si="10"/>
        <v>9.0909090909090912E-2</v>
      </c>
      <c r="N9" s="93">
        <f>[8]A07!$U$78+[8]A32!$V$42</f>
        <v>0</v>
      </c>
      <c r="O9" s="93">
        <f>'1,6 CN'!N9</f>
        <v>13</v>
      </c>
      <c r="P9" s="4">
        <f t="shared" si="0"/>
        <v>0</v>
      </c>
      <c r="Q9" s="83"/>
      <c r="R9" s="84"/>
      <c r="S9" s="4" t="e">
        <f t="shared" si="1"/>
        <v>#DIV/0!</v>
      </c>
      <c r="T9" s="83"/>
      <c r="U9" s="84"/>
      <c r="V9" s="4" t="e">
        <f t="shared" si="2"/>
        <v>#DIV/0!</v>
      </c>
      <c r="W9" s="83"/>
      <c r="X9" s="84"/>
      <c r="Y9" s="4" t="e">
        <f t="shared" si="3"/>
        <v>#DIV/0!</v>
      </c>
      <c r="Z9" s="83"/>
      <c r="AA9" s="84"/>
      <c r="AB9" s="4" t="e">
        <f t="shared" si="4"/>
        <v>#DIV/0!</v>
      </c>
      <c r="AC9" s="83"/>
      <c r="AD9" s="84"/>
      <c r="AE9" s="4" t="e">
        <f t="shared" si="5"/>
        <v>#DIV/0!</v>
      </c>
      <c r="AF9" s="83"/>
      <c r="AG9" s="84"/>
      <c r="AH9" s="4" t="e">
        <f t="shared" si="6"/>
        <v>#DIV/0!</v>
      </c>
      <c r="AI9" s="6"/>
      <c r="AJ9" s="6"/>
      <c r="AK9" s="4" t="e">
        <f t="shared" si="11"/>
        <v>#DIV/0!</v>
      </c>
      <c r="AL9" s="95">
        <f t="shared" si="12"/>
        <v>4</v>
      </c>
      <c r="AM9" s="95">
        <f t="shared" si="13"/>
        <v>60</v>
      </c>
      <c r="AN9" s="4">
        <f t="shared" si="14"/>
        <v>6.6666666666666666E-2</v>
      </c>
      <c r="AO9" s="98" t="str">
        <f t="shared" si="15"/>
        <v>1</v>
      </c>
      <c r="AS9" s="2" t="s">
        <v>185</v>
      </c>
    </row>
    <row r="10" spans="1:46" x14ac:dyDescent="0.15">
      <c r="A10" s="77" t="s">
        <v>95</v>
      </c>
      <c r="B10" s="93">
        <f>[4]A07!$U$79+[4]A32!$V$43</f>
        <v>0</v>
      </c>
      <c r="C10" s="93">
        <f>'1,6 CN'!B10</f>
        <v>0</v>
      </c>
      <c r="D10" s="4" t="str">
        <f t="shared" si="7"/>
        <v/>
      </c>
      <c r="E10" s="93">
        <f>[5]A07!$U$79+[5]A32!$V$43</f>
        <v>0</v>
      </c>
      <c r="F10" s="93">
        <f>'1,6 CN'!E10</f>
        <v>0</v>
      </c>
      <c r="G10" s="4" t="str">
        <f t="shared" si="8"/>
        <v/>
      </c>
      <c r="H10" s="93">
        <f>[6]A07!$U$79+[6]A32!$V$43</f>
        <v>0</v>
      </c>
      <c r="I10" s="93">
        <f>'1,6 CN'!H10</f>
        <v>0</v>
      </c>
      <c r="J10" s="4" t="str">
        <f t="shared" si="9"/>
        <v/>
      </c>
      <c r="K10" s="93">
        <f>[7]A07!$U$79+[7]A32!$V$43</f>
        <v>0</v>
      </c>
      <c r="L10" s="93">
        <f>'1,6 CN'!K10</f>
        <v>0</v>
      </c>
      <c r="M10" s="4" t="str">
        <f t="shared" si="10"/>
        <v/>
      </c>
      <c r="N10" s="93">
        <f>[8]A07!$U$79+[8]A32!$V$43</f>
        <v>0</v>
      </c>
      <c r="O10" s="93">
        <f>'1,6 CN'!N10</f>
        <v>0</v>
      </c>
      <c r="P10" s="4" t="e">
        <f t="shared" si="0"/>
        <v>#DIV/0!</v>
      </c>
      <c r="Q10" s="83"/>
      <c r="R10" s="84"/>
      <c r="S10" s="4" t="e">
        <f t="shared" si="1"/>
        <v>#DIV/0!</v>
      </c>
      <c r="T10" s="83"/>
      <c r="U10" s="84"/>
      <c r="V10" s="4" t="e">
        <f t="shared" si="2"/>
        <v>#DIV/0!</v>
      </c>
      <c r="W10" s="83"/>
      <c r="X10" s="84"/>
      <c r="Y10" s="4" t="e">
        <f t="shared" si="3"/>
        <v>#DIV/0!</v>
      </c>
      <c r="Z10" s="83"/>
      <c r="AA10" s="84"/>
      <c r="AB10" s="4" t="e">
        <f t="shared" si="4"/>
        <v>#DIV/0!</v>
      </c>
      <c r="AC10" s="83"/>
      <c r="AD10" s="84"/>
      <c r="AE10" s="4" t="e">
        <f t="shared" si="5"/>
        <v>#DIV/0!</v>
      </c>
      <c r="AF10" s="83"/>
      <c r="AG10" s="84"/>
      <c r="AH10" s="4" t="e">
        <f t="shared" si="6"/>
        <v>#DIV/0!</v>
      </c>
      <c r="AI10" s="6"/>
      <c r="AJ10" s="6"/>
      <c r="AK10" s="4" t="e">
        <f t="shared" si="11"/>
        <v>#DIV/0!</v>
      </c>
      <c r="AL10" s="95">
        <f t="shared" si="12"/>
        <v>0</v>
      </c>
      <c r="AM10" s="95">
        <f t="shared" si="13"/>
        <v>0</v>
      </c>
      <c r="AN10" s="4" t="str">
        <f t="shared" si="14"/>
        <v/>
      </c>
      <c r="AO10" s="98" t="str">
        <f t="shared" si="15"/>
        <v>0</v>
      </c>
      <c r="AS10" s="2" t="s">
        <v>185</v>
      </c>
    </row>
    <row r="11" spans="1:46" x14ac:dyDescent="0.15">
      <c r="A11" s="77" t="s">
        <v>96</v>
      </c>
      <c r="B11" s="93">
        <f>[4]A07!$U$80+[4]A32!$V$44</f>
        <v>0</v>
      </c>
      <c r="C11" s="93">
        <f>'1,6 CN'!B11</f>
        <v>0</v>
      </c>
      <c r="D11" s="4" t="str">
        <f t="shared" si="7"/>
        <v/>
      </c>
      <c r="E11" s="93">
        <f>[5]A07!$U$80+[5]A32!$V$44</f>
        <v>0</v>
      </c>
      <c r="F11" s="93">
        <f>'1,6 CN'!E11</f>
        <v>0</v>
      </c>
      <c r="G11" s="4" t="str">
        <f t="shared" si="8"/>
        <v/>
      </c>
      <c r="H11" s="93">
        <f>[6]A07!$U$80+[6]A32!$V$44</f>
        <v>0</v>
      </c>
      <c r="I11" s="93">
        <f>'1,6 CN'!H11</f>
        <v>0</v>
      </c>
      <c r="J11" s="4" t="str">
        <f t="shared" si="9"/>
        <v/>
      </c>
      <c r="K11" s="93">
        <f>[7]A07!$U$80+[7]A32!$V$44</f>
        <v>0</v>
      </c>
      <c r="L11" s="93">
        <f>'1,6 CN'!K11</f>
        <v>0</v>
      </c>
      <c r="M11" s="4" t="str">
        <f t="shared" si="10"/>
        <v/>
      </c>
      <c r="N11" s="93">
        <f>[8]A07!$U$80+[8]A32!$V$44</f>
        <v>0</v>
      </c>
      <c r="O11" s="93">
        <f>'1,6 CN'!N11</f>
        <v>0</v>
      </c>
      <c r="P11" s="4" t="e">
        <f t="shared" si="0"/>
        <v>#DIV/0!</v>
      </c>
      <c r="Q11" s="83"/>
      <c r="R11" s="84"/>
      <c r="S11" s="4" t="e">
        <f t="shared" si="1"/>
        <v>#DIV/0!</v>
      </c>
      <c r="T11" s="83"/>
      <c r="U11" s="84"/>
      <c r="V11" s="4" t="e">
        <f t="shared" si="2"/>
        <v>#DIV/0!</v>
      </c>
      <c r="W11" s="83"/>
      <c r="X11" s="84"/>
      <c r="Y11" s="4" t="e">
        <f t="shared" si="3"/>
        <v>#DIV/0!</v>
      </c>
      <c r="Z11" s="83"/>
      <c r="AA11" s="84"/>
      <c r="AB11" s="4" t="e">
        <f t="shared" si="4"/>
        <v>#DIV/0!</v>
      </c>
      <c r="AC11" s="83"/>
      <c r="AD11" s="84"/>
      <c r="AE11" s="4" t="e">
        <f t="shared" si="5"/>
        <v>#DIV/0!</v>
      </c>
      <c r="AF11" s="83"/>
      <c r="AG11" s="84"/>
      <c r="AH11" s="4" t="e">
        <f t="shared" si="6"/>
        <v>#DIV/0!</v>
      </c>
      <c r="AI11" s="6"/>
      <c r="AJ11" s="6"/>
      <c r="AK11" s="4" t="e">
        <f t="shared" si="11"/>
        <v>#DIV/0!</v>
      </c>
      <c r="AL11" s="95">
        <f t="shared" si="12"/>
        <v>0</v>
      </c>
      <c r="AM11" s="95">
        <f t="shared" si="13"/>
        <v>0</v>
      </c>
      <c r="AN11" s="4" t="str">
        <f t="shared" si="14"/>
        <v/>
      </c>
      <c r="AO11" s="98" t="str">
        <f t="shared" si="15"/>
        <v>0</v>
      </c>
      <c r="AS11" s="2" t="s">
        <v>185</v>
      </c>
    </row>
    <row r="12" spans="1:46" x14ac:dyDescent="0.15">
      <c r="A12" s="77" t="s">
        <v>97</v>
      </c>
      <c r="B12" s="93">
        <f>[4]A07!$U$81+[4]A32!$V$45</f>
        <v>0</v>
      </c>
      <c r="C12" s="93">
        <f>'1,6 CN'!B12</f>
        <v>3</v>
      </c>
      <c r="D12" s="4">
        <f t="shared" si="7"/>
        <v>0</v>
      </c>
      <c r="E12" s="93">
        <f>[5]A07!$U$81+[5]A32!$V$45</f>
        <v>0</v>
      </c>
      <c r="F12" s="93">
        <f>'1,6 CN'!E12</f>
        <v>0</v>
      </c>
      <c r="G12" s="4" t="str">
        <f t="shared" si="8"/>
        <v/>
      </c>
      <c r="H12" s="93">
        <f>[6]A07!$U$81+[6]A32!$V$45</f>
        <v>3</v>
      </c>
      <c r="I12" s="93">
        <f>'1,6 CN'!H12</f>
        <v>22</v>
      </c>
      <c r="J12" s="4">
        <f t="shared" si="9"/>
        <v>0.13636363636363635</v>
      </c>
      <c r="K12" s="93">
        <f>[7]A07!$U$81+[7]A32!$V$45</f>
        <v>0</v>
      </c>
      <c r="L12" s="93">
        <f>'1,6 CN'!K12</f>
        <v>24</v>
      </c>
      <c r="M12" s="4">
        <f t="shared" si="10"/>
        <v>0</v>
      </c>
      <c r="N12" s="93">
        <f>[8]A07!$U$81+[8]A32!$V$45</f>
        <v>1</v>
      </c>
      <c r="O12" s="93">
        <f>'1,6 CN'!N12</f>
        <v>14</v>
      </c>
      <c r="P12" s="4">
        <f t="shared" si="0"/>
        <v>7.1428571428571425E-2</v>
      </c>
      <c r="Q12" s="83"/>
      <c r="R12" s="84"/>
      <c r="S12" s="4" t="e">
        <f t="shared" si="1"/>
        <v>#DIV/0!</v>
      </c>
      <c r="T12" s="83"/>
      <c r="U12" s="84"/>
      <c r="V12" s="4" t="e">
        <f t="shared" si="2"/>
        <v>#DIV/0!</v>
      </c>
      <c r="W12" s="83"/>
      <c r="X12" s="84"/>
      <c r="Y12" s="4" t="e">
        <f t="shared" si="3"/>
        <v>#DIV/0!</v>
      </c>
      <c r="Z12" s="83"/>
      <c r="AA12" s="84"/>
      <c r="AB12" s="4" t="e">
        <f t="shared" si="4"/>
        <v>#DIV/0!</v>
      </c>
      <c r="AC12" s="83"/>
      <c r="AD12" s="84"/>
      <c r="AE12" s="4" t="e">
        <f t="shared" si="5"/>
        <v>#DIV/0!</v>
      </c>
      <c r="AF12" s="83"/>
      <c r="AG12" s="84"/>
      <c r="AH12" s="4" t="e">
        <f t="shared" si="6"/>
        <v>#DIV/0!</v>
      </c>
      <c r="AI12" s="6"/>
      <c r="AJ12" s="6"/>
      <c r="AK12" s="4" t="e">
        <f t="shared" si="11"/>
        <v>#DIV/0!</v>
      </c>
      <c r="AL12" s="95">
        <f t="shared" si="12"/>
        <v>4</v>
      </c>
      <c r="AM12" s="95">
        <f t="shared" si="13"/>
        <v>63</v>
      </c>
      <c r="AN12" s="4">
        <f t="shared" si="14"/>
        <v>6.3492063492063489E-2</v>
      </c>
      <c r="AO12" s="98" t="str">
        <f t="shared" si="15"/>
        <v>1</v>
      </c>
      <c r="AS12" s="2" t="s">
        <v>185</v>
      </c>
    </row>
    <row r="13" spans="1:46" x14ac:dyDescent="0.15">
      <c r="A13" s="77" t="s">
        <v>98</v>
      </c>
      <c r="B13" s="93">
        <f>[4]A07!$U$82+[4]A32!$V$46</f>
        <v>0</v>
      </c>
      <c r="C13" s="93">
        <f>'1,6 CN'!B13</f>
        <v>0</v>
      </c>
      <c r="D13" s="4" t="str">
        <f t="shared" si="7"/>
        <v/>
      </c>
      <c r="E13" s="93">
        <f>[5]A07!$U$82+[5]A32!$V$46</f>
        <v>0</v>
      </c>
      <c r="F13" s="93">
        <f>'1,6 CN'!E13</f>
        <v>0</v>
      </c>
      <c r="G13" s="4" t="str">
        <f t="shared" si="8"/>
        <v/>
      </c>
      <c r="H13" s="93">
        <f>[6]A07!$U$82+[6]A32!$V$46</f>
        <v>0</v>
      </c>
      <c r="I13" s="93">
        <f>'1,6 CN'!H13</f>
        <v>0</v>
      </c>
      <c r="J13" s="4" t="str">
        <f t="shared" si="9"/>
        <v/>
      </c>
      <c r="K13" s="93">
        <f>[7]A07!$U$82+[7]A32!$V$46</f>
        <v>0</v>
      </c>
      <c r="L13" s="93">
        <f>'1,6 CN'!K13</f>
        <v>0</v>
      </c>
      <c r="M13" s="4" t="str">
        <f t="shared" si="10"/>
        <v/>
      </c>
      <c r="N13" s="93">
        <f>[8]A07!$U$82+[8]A32!$V$46</f>
        <v>0</v>
      </c>
      <c r="O13" s="93">
        <f>'1,6 CN'!N13</f>
        <v>0</v>
      </c>
      <c r="P13" s="4" t="e">
        <f t="shared" si="0"/>
        <v>#DIV/0!</v>
      </c>
      <c r="Q13" s="83"/>
      <c r="R13" s="84"/>
      <c r="S13" s="4" t="e">
        <f t="shared" si="1"/>
        <v>#DIV/0!</v>
      </c>
      <c r="T13" s="83"/>
      <c r="U13" s="84"/>
      <c r="V13" s="4" t="e">
        <f t="shared" si="2"/>
        <v>#DIV/0!</v>
      </c>
      <c r="W13" s="83"/>
      <c r="X13" s="84"/>
      <c r="Y13" s="4" t="e">
        <f t="shared" si="3"/>
        <v>#DIV/0!</v>
      </c>
      <c r="Z13" s="83"/>
      <c r="AA13" s="84"/>
      <c r="AB13" s="4" t="e">
        <f t="shared" si="4"/>
        <v>#DIV/0!</v>
      </c>
      <c r="AC13" s="83"/>
      <c r="AD13" s="84"/>
      <c r="AE13" s="4" t="e">
        <f t="shared" si="5"/>
        <v>#DIV/0!</v>
      </c>
      <c r="AF13" s="83"/>
      <c r="AG13" s="84"/>
      <c r="AH13" s="4" t="e">
        <f t="shared" si="6"/>
        <v>#DIV/0!</v>
      </c>
      <c r="AI13" s="6"/>
      <c r="AJ13" s="6"/>
      <c r="AK13" s="4" t="e">
        <f t="shared" si="11"/>
        <v>#DIV/0!</v>
      </c>
      <c r="AL13" s="95">
        <f t="shared" si="12"/>
        <v>0</v>
      </c>
      <c r="AM13" s="95">
        <f t="shared" si="13"/>
        <v>0</v>
      </c>
      <c r="AN13" s="4" t="str">
        <f t="shared" si="14"/>
        <v/>
      </c>
      <c r="AO13" s="98" t="str">
        <f t="shared" si="15"/>
        <v>0</v>
      </c>
      <c r="AS13" s="2" t="s">
        <v>185</v>
      </c>
    </row>
    <row r="14" spans="1:46" x14ac:dyDescent="0.15">
      <c r="A14" s="77" t="s">
        <v>99</v>
      </c>
      <c r="B14" s="93">
        <f>[4]A07!$U$83+[4]A32!$V$47</f>
        <v>0</v>
      </c>
      <c r="C14" s="93">
        <f>'1,6 CN'!B14</f>
        <v>0</v>
      </c>
      <c r="D14" s="4" t="str">
        <f t="shared" si="7"/>
        <v/>
      </c>
      <c r="E14" s="93">
        <f>[5]A07!$U$83+[5]A32!$V$47</f>
        <v>0</v>
      </c>
      <c r="F14" s="93">
        <f>'1,6 CN'!E14</f>
        <v>0</v>
      </c>
      <c r="G14" s="4" t="str">
        <f t="shared" si="8"/>
        <v/>
      </c>
      <c r="H14" s="93">
        <f>[6]A07!$U$83+[6]A32!$V$47</f>
        <v>0</v>
      </c>
      <c r="I14" s="93">
        <f>'1,6 CN'!H14</f>
        <v>0</v>
      </c>
      <c r="J14" s="4" t="str">
        <f t="shared" si="9"/>
        <v/>
      </c>
      <c r="K14" s="93">
        <f>[7]A07!$U$83+[7]A32!$V$47</f>
        <v>0</v>
      </c>
      <c r="L14" s="93">
        <f>'1,6 CN'!K14</f>
        <v>0</v>
      </c>
      <c r="M14" s="4" t="str">
        <f t="shared" si="10"/>
        <v/>
      </c>
      <c r="N14" s="93">
        <f>[8]A07!$U$83+[8]A32!$V$47</f>
        <v>0</v>
      </c>
      <c r="O14" s="93">
        <f>'1,6 CN'!N14</f>
        <v>0</v>
      </c>
      <c r="P14" s="4" t="e">
        <f t="shared" si="0"/>
        <v>#DIV/0!</v>
      </c>
      <c r="Q14" s="83"/>
      <c r="R14" s="84"/>
      <c r="S14" s="4" t="e">
        <f t="shared" si="1"/>
        <v>#DIV/0!</v>
      </c>
      <c r="T14" s="83"/>
      <c r="U14" s="84"/>
      <c r="V14" s="4" t="e">
        <f t="shared" si="2"/>
        <v>#DIV/0!</v>
      </c>
      <c r="W14" s="83"/>
      <c r="X14" s="84"/>
      <c r="Y14" s="4" t="e">
        <f t="shared" si="3"/>
        <v>#DIV/0!</v>
      </c>
      <c r="Z14" s="83"/>
      <c r="AA14" s="84"/>
      <c r="AB14" s="4" t="e">
        <f t="shared" si="4"/>
        <v>#DIV/0!</v>
      </c>
      <c r="AC14" s="83"/>
      <c r="AD14" s="84"/>
      <c r="AE14" s="4" t="e">
        <f t="shared" si="5"/>
        <v>#DIV/0!</v>
      </c>
      <c r="AF14" s="83"/>
      <c r="AG14" s="84"/>
      <c r="AH14" s="4" t="e">
        <f t="shared" si="6"/>
        <v>#DIV/0!</v>
      </c>
      <c r="AI14" s="6"/>
      <c r="AJ14" s="6"/>
      <c r="AK14" s="4" t="e">
        <f t="shared" si="11"/>
        <v>#DIV/0!</v>
      </c>
      <c r="AL14" s="95">
        <f t="shared" si="12"/>
        <v>0</v>
      </c>
      <c r="AM14" s="95">
        <f t="shared" si="13"/>
        <v>0</v>
      </c>
      <c r="AN14" s="4" t="str">
        <f t="shared" si="14"/>
        <v/>
      </c>
      <c r="AO14" s="98" t="str">
        <f t="shared" si="15"/>
        <v>0</v>
      </c>
      <c r="AS14" s="2" t="s">
        <v>185</v>
      </c>
    </row>
    <row r="15" spans="1:46" x14ac:dyDescent="0.15">
      <c r="A15" s="78" t="s">
        <v>100</v>
      </c>
      <c r="B15" s="93">
        <f>[4]A07!$U$84+[4]A32!$V$48</f>
        <v>0</v>
      </c>
      <c r="C15" s="93">
        <f>'1,6 CN'!B15</f>
        <v>0</v>
      </c>
      <c r="D15" s="4" t="str">
        <f t="shared" si="7"/>
        <v/>
      </c>
      <c r="E15" s="93">
        <f>[5]A07!$U$84+[5]A32!$V$48</f>
        <v>0</v>
      </c>
      <c r="F15" s="93">
        <f>'1,6 CN'!E15</f>
        <v>0</v>
      </c>
      <c r="G15" s="4" t="str">
        <f t="shared" si="8"/>
        <v/>
      </c>
      <c r="H15" s="93">
        <f>[6]A07!$U$84+[6]A32!$V$48</f>
        <v>0</v>
      </c>
      <c r="I15" s="93">
        <f>'1,6 CN'!H15</f>
        <v>0</v>
      </c>
      <c r="J15" s="4" t="str">
        <f t="shared" si="9"/>
        <v/>
      </c>
      <c r="K15" s="93">
        <f>[7]A07!$U$84+[7]A32!$V$48</f>
        <v>0</v>
      </c>
      <c r="L15" s="93">
        <f>'1,6 CN'!K15</f>
        <v>0</v>
      </c>
      <c r="M15" s="4" t="str">
        <f t="shared" si="10"/>
        <v/>
      </c>
      <c r="N15" s="93">
        <f>[8]A07!$U$84+[8]A32!$V$48</f>
        <v>0</v>
      </c>
      <c r="O15" s="93">
        <f>'1,6 CN'!N15</f>
        <v>0</v>
      </c>
      <c r="P15" s="4" t="e">
        <f t="shared" si="0"/>
        <v>#DIV/0!</v>
      </c>
      <c r="Q15" s="83"/>
      <c r="R15" s="84"/>
      <c r="S15" s="4" t="e">
        <f t="shared" si="1"/>
        <v>#DIV/0!</v>
      </c>
      <c r="T15" s="83"/>
      <c r="U15" s="84"/>
      <c r="V15" s="4" t="e">
        <f t="shared" si="2"/>
        <v>#DIV/0!</v>
      </c>
      <c r="W15" s="83"/>
      <c r="X15" s="84"/>
      <c r="Y15" s="4" t="e">
        <f t="shared" si="3"/>
        <v>#DIV/0!</v>
      </c>
      <c r="Z15" s="83"/>
      <c r="AA15" s="84"/>
      <c r="AB15" s="4" t="e">
        <f t="shared" si="4"/>
        <v>#DIV/0!</v>
      </c>
      <c r="AC15" s="83"/>
      <c r="AD15" s="84"/>
      <c r="AE15" s="4" t="e">
        <f t="shared" si="5"/>
        <v>#DIV/0!</v>
      </c>
      <c r="AF15" s="83"/>
      <c r="AG15" s="84"/>
      <c r="AH15" s="4" t="e">
        <f t="shared" si="6"/>
        <v>#DIV/0!</v>
      </c>
      <c r="AI15" s="6"/>
      <c r="AJ15" s="6"/>
      <c r="AK15" s="4" t="e">
        <f t="shared" si="11"/>
        <v>#DIV/0!</v>
      </c>
      <c r="AL15" s="95">
        <f t="shared" si="12"/>
        <v>0</v>
      </c>
      <c r="AM15" s="95">
        <f t="shared" si="13"/>
        <v>0</v>
      </c>
      <c r="AN15" s="4" t="str">
        <f t="shared" si="14"/>
        <v/>
      </c>
      <c r="AO15" s="98" t="str">
        <f t="shared" si="15"/>
        <v>0</v>
      </c>
      <c r="AS15" s="2" t="s">
        <v>185</v>
      </c>
    </row>
    <row r="16" spans="1:46" x14ac:dyDescent="0.15">
      <c r="A16" s="77" t="s">
        <v>101</v>
      </c>
      <c r="B16" s="93">
        <f>[4]A07!$U$85+[4]A32!$V$49</f>
        <v>0</v>
      </c>
      <c r="C16" s="93">
        <f>'1,6 CN'!B16</f>
        <v>0</v>
      </c>
      <c r="D16" s="4" t="str">
        <f t="shared" si="7"/>
        <v/>
      </c>
      <c r="E16" s="93">
        <f>[5]A07!$U$85+[5]A32!$V$49</f>
        <v>0</v>
      </c>
      <c r="F16" s="93">
        <f>'1,6 CN'!E16</f>
        <v>0</v>
      </c>
      <c r="G16" s="4" t="str">
        <f t="shared" si="8"/>
        <v/>
      </c>
      <c r="H16" s="93">
        <f>[6]A07!$U$85+[6]A32!$V$49</f>
        <v>0</v>
      </c>
      <c r="I16" s="93">
        <f>'1,6 CN'!H16</f>
        <v>0</v>
      </c>
      <c r="J16" s="4" t="str">
        <f t="shared" si="9"/>
        <v/>
      </c>
      <c r="K16" s="93">
        <f>[7]A07!$U$85+[7]A32!$V$49</f>
        <v>0</v>
      </c>
      <c r="L16" s="93">
        <f>'1,6 CN'!K16</f>
        <v>0</v>
      </c>
      <c r="M16" s="4" t="str">
        <f t="shared" si="10"/>
        <v/>
      </c>
      <c r="N16" s="93">
        <f>[8]A07!$U$85+[8]A32!$V$49</f>
        <v>0</v>
      </c>
      <c r="O16" s="93">
        <f>'1,6 CN'!N16</f>
        <v>0</v>
      </c>
      <c r="P16" s="4" t="e">
        <f t="shared" si="0"/>
        <v>#DIV/0!</v>
      </c>
      <c r="Q16" s="83"/>
      <c r="R16" s="84"/>
      <c r="S16" s="4" t="e">
        <f t="shared" si="1"/>
        <v>#DIV/0!</v>
      </c>
      <c r="T16" s="83"/>
      <c r="U16" s="84"/>
      <c r="V16" s="4" t="e">
        <f t="shared" si="2"/>
        <v>#DIV/0!</v>
      </c>
      <c r="W16" s="83"/>
      <c r="X16" s="84"/>
      <c r="Y16" s="4" t="e">
        <f t="shared" si="3"/>
        <v>#DIV/0!</v>
      </c>
      <c r="Z16" s="83"/>
      <c r="AA16" s="84"/>
      <c r="AB16" s="4" t="e">
        <f t="shared" si="4"/>
        <v>#DIV/0!</v>
      </c>
      <c r="AC16" s="83"/>
      <c r="AD16" s="84"/>
      <c r="AE16" s="4" t="e">
        <f t="shared" si="5"/>
        <v>#DIV/0!</v>
      </c>
      <c r="AF16" s="83"/>
      <c r="AG16" s="84"/>
      <c r="AH16" s="4" t="e">
        <f t="shared" si="6"/>
        <v>#DIV/0!</v>
      </c>
      <c r="AI16" s="6"/>
      <c r="AJ16" s="6"/>
      <c r="AK16" s="4" t="e">
        <f t="shared" si="11"/>
        <v>#DIV/0!</v>
      </c>
      <c r="AL16" s="95">
        <f t="shared" si="12"/>
        <v>0</v>
      </c>
      <c r="AM16" s="95">
        <f t="shared" si="13"/>
        <v>0</v>
      </c>
      <c r="AN16" s="4" t="str">
        <f t="shared" si="14"/>
        <v/>
      </c>
      <c r="AO16" s="98" t="str">
        <f t="shared" si="15"/>
        <v>0</v>
      </c>
      <c r="AS16" s="2" t="s">
        <v>185</v>
      </c>
    </row>
    <row r="17" spans="1:45" x14ac:dyDescent="0.15">
      <c r="A17" s="77" t="s">
        <v>102</v>
      </c>
      <c r="B17" s="93">
        <f>[4]A07!$U$86+[4]A32!$V$50</f>
        <v>0</v>
      </c>
      <c r="C17" s="93">
        <f>'1,6 CN'!B17</f>
        <v>3</v>
      </c>
      <c r="D17" s="4">
        <f t="shared" si="7"/>
        <v>0</v>
      </c>
      <c r="E17" s="93">
        <f>[5]A07!$U$86+[5]A32!$V$50</f>
        <v>0</v>
      </c>
      <c r="F17" s="93">
        <f>'1,6 CN'!E17</f>
        <v>0</v>
      </c>
      <c r="G17" s="4" t="str">
        <f t="shared" si="8"/>
        <v/>
      </c>
      <c r="H17" s="93">
        <f>[6]A07!$U$86+[6]A32!$V$50</f>
        <v>0</v>
      </c>
      <c r="I17" s="93">
        <f>'1,6 CN'!H17</f>
        <v>0</v>
      </c>
      <c r="J17" s="4" t="str">
        <f t="shared" si="9"/>
        <v/>
      </c>
      <c r="K17" s="93">
        <f>[7]A07!$U$86+[7]A32!$V$50</f>
        <v>0</v>
      </c>
      <c r="L17" s="93">
        <f>'1,6 CN'!K17</f>
        <v>0</v>
      </c>
      <c r="M17" s="4" t="str">
        <f t="shared" si="10"/>
        <v/>
      </c>
      <c r="N17" s="93">
        <f>[8]A07!$U$86+[8]A32!$V$50</f>
        <v>0</v>
      </c>
      <c r="O17" s="93">
        <f>'1,6 CN'!N17</f>
        <v>0</v>
      </c>
      <c r="P17" s="4" t="e">
        <f t="shared" si="0"/>
        <v>#DIV/0!</v>
      </c>
      <c r="Q17" s="83"/>
      <c r="R17" s="84"/>
      <c r="S17" s="4" t="e">
        <f t="shared" si="1"/>
        <v>#DIV/0!</v>
      </c>
      <c r="T17" s="83"/>
      <c r="U17" s="84"/>
      <c r="V17" s="4" t="e">
        <f t="shared" si="2"/>
        <v>#DIV/0!</v>
      </c>
      <c r="W17" s="83"/>
      <c r="X17" s="84"/>
      <c r="Y17" s="4" t="e">
        <f t="shared" si="3"/>
        <v>#DIV/0!</v>
      </c>
      <c r="Z17" s="83"/>
      <c r="AA17" s="84"/>
      <c r="AB17" s="4" t="e">
        <f t="shared" si="4"/>
        <v>#DIV/0!</v>
      </c>
      <c r="AC17" s="83"/>
      <c r="AD17" s="84"/>
      <c r="AE17" s="4" t="e">
        <f t="shared" si="5"/>
        <v>#DIV/0!</v>
      </c>
      <c r="AF17" s="83"/>
      <c r="AG17" s="84"/>
      <c r="AH17" s="4" t="e">
        <f t="shared" si="6"/>
        <v>#DIV/0!</v>
      </c>
      <c r="AI17" s="6"/>
      <c r="AJ17" s="6"/>
      <c r="AK17" s="4" t="e">
        <f t="shared" si="11"/>
        <v>#DIV/0!</v>
      </c>
      <c r="AL17" s="95">
        <f t="shared" si="12"/>
        <v>0</v>
      </c>
      <c r="AM17" s="95">
        <f t="shared" si="13"/>
        <v>3</v>
      </c>
      <c r="AN17" s="4">
        <f t="shared" si="14"/>
        <v>0</v>
      </c>
      <c r="AO17" s="98" t="str">
        <f t="shared" si="15"/>
        <v>1</v>
      </c>
      <c r="AS17" s="2" t="s">
        <v>185</v>
      </c>
    </row>
    <row r="18" spans="1:45" x14ac:dyDescent="0.15">
      <c r="A18" s="77" t="s">
        <v>103</v>
      </c>
      <c r="B18" s="93">
        <f>[4]A07!$U$87+[4]A32!$V$51</f>
        <v>0</v>
      </c>
      <c r="C18" s="93">
        <f>'1,6 CN'!B18</f>
        <v>0</v>
      </c>
      <c r="D18" s="4" t="str">
        <f t="shared" si="7"/>
        <v/>
      </c>
      <c r="E18" s="93">
        <f>[5]A07!$U$87+[5]A32!$V$51</f>
        <v>0</v>
      </c>
      <c r="F18" s="93">
        <f>'1,6 CN'!E18</f>
        <v>0</v>
      </c>
      <c r="G18" s="4" t="str">
        <f t="shared" si="8"/>
        <v/>
      </c>
      <c r="H18" s="93">
        <f>[6]A07!$U$87+[6]A32!$V$51</f>
        <v>0</v>
      </c>
      <c r="I18" s="93">
        <f>'1,6 CN'!H18</f>
        <v>0</v>
      </c>
      <c r="J18" s="4" t="str">
        <f t="shared" si="9"/>
        <v/>
      </c>
      <c r="K18" s="93">
        <f>[7]A07!$U$87+[7]A32!$V$51</f>
        <v>0</v>
      </c>
      <c r="L18" s="93">
        <f>'1,6 CN'!K18</f>
        <v>0</v>
      </c>
      <c r="M18" s="4" t="str">
        <f t="shared" si="10"/>
        <v/>
      </c>
      <c r="N18" s="93">
        <f>[8]A07!$U$87+[8]A32!$V$51</f>
        <v>0</v>
      </c>
      <c r="O18" s="93">
        <f>'1,6 CN'!N18</f>
        <v>0</v>
      </c>
      <c r="P18" s="4" t="e">
        <f t="shared" si="0"/>
        <v>#DIV/0!</v>
      </c>
      <c r="Q18" s="83"/>
      <c r="R18" s="84"/>
      <c r="S18" s="4" t="e">
        <f t="shared" si="1"/>
        <v>#DIV/0!</v>
      </c>
      <c r="T18" s="83"/>
      <c r="U18" s="84"/>
      <c r="V18" s="4" t="e">
        <f t="shared" si="2"/>
        <v>#DIV/0!</v>
      </c>
      <c r="W18" s="83"/>
      <c r="X18" s="84"/>
      <c r="Y18" s="4" t="e">
        <f t="shared" si="3"/>
        <v>#DIV/0!</v>
      </c>
      <c r="Z18" s="83"/>
      <c r="AA18" s="84"/>
      <c r="AB18" s="4" t="e">
        <f t="shared" si="4"/>
        <v>#DIV/0!</v>
      </c>
      <c r="AC18" s="83"/>
      <c r="AD18" s="84"/>
      <c r="AE18" s="4" t="e">
        <f t="shared" si="5"/>
        <v>#DIV/0!</v>
      </c>
      <c r="AF18" s="83"/>
      <c r="AG18" s="84"/>
      <c r="AH18" s="4" t="e">
        <f t="shared" si="6"/>
        <v>#DIV/0!</v>
      </c>
      <c r="AI18" s="6"/>
      <c r="AJ18" s="6"/>
      <c r="AK18" s="4" t="e">
        <f t="shared" si="11"/>
        <v>#DIV/0!</v>
      </c>
      <c r="AL18" s="95">
        <f t="shared" si="12"/>
        <v>0</v>
      </c>
      <c r="AM18" s="95">
        <f t="shared" si="13"/>
        <v>0</v>
      </c>
      <c r="AN18" s="4" t="str">
        <f t="shared" si="14"/>
        <v/>
      </c>
      <c r="AO18" s="98" t="str">
        <f t="shared" si="15"/>
        <v>0</v>
      </c>
      <c r="AS18" s="2" t="s">
        <v>185</v>
      </c>
    </row>
    <row r="19" spans="1:45" x14ac:dyDescent="0.15">
      <c r="A19" s="77" t="s">
        <v>104</v>
      </c>
      <c r="B19" s="93">
        <f>[4]A07!$U$88+[4]A32!$V$52</f>
        <v>0</v>
      </c>
      <c r="C19" s="93">
        <f>'1,6 CN'!B19</f>
        <v>0</v>
      </c>
      <c r="D19" s="4" t="str">
        <f t="shared" si="7"/>
        <v/>
      </c>
      <c r="E19" s="93">
        <f>[5]A07!$U$88+[5]A32!$V$52</f>
        <v>0</v>
      </c>
      <c r="F19" s="93">
        <f>'1,6 CN'!E19</f>
        <v>0</v>
      </c>
      <c r="G19" s="4" t="str">
        <f t="shared" si="8"/>
        <v/>
      </c>
      <c r="H19" s="93">
        <f>[6]A07!$U$88+[6]A32!$V$52</f>
        <v>0</v>
      </c>
      <c r="I19" s="93">
        <f>'1,6 CN'!H19</f>
        <v>0</v>
      </c>
      <c r="J19" s="4" t="str">
        <f t="shared" si="9"/>
        <v/>
      </c>
      <c r="K19" s="93">
        <f>[7]A07!$U$88+[7]A32!$V$52</f>
        <v>0</v>
      </c>
      <c r="L19" s="93">
        <f>'1,6 CN'!K19</f>
        <v>0</v>
      </c>
      <c r="M19" s="4" t="str">
        <f t="shared" si="10"/>
        <v/>
      </c>
      <c r="N19" s="93">
        <f>[8]A07!$U$88+[8]A32!$V$52</f>
        <v>0</v>
      </c>
      <c r="O19" s="93">
        <f>'1,6 CN'!N19</f>
        <v>0</v>
      </c>
      <c r="P19" s="4" t="e">
        <f t="shared" si="0"/>
        <v>#DIV/0!</v>
      </c>
      <c r="Q19" s="83"/>
      <c r="R19" s="84"/>
      <c r="S19" s="4" t="e">
        <f t="shared" si="1"/>
        <v>#DIV/0!</v>
      </c>
      <c r="T19" s="83"/>
      <c r="U19" s="84"/>
      <c r="V19" s="4" t="e">
        <f t="shared" si="2"/>
        <v>#DIV/0!</v>
      </c>
      <c r="W19" s="83"/>
      <c r="X19" s="84"/>
      <c r="Y19" s="4" t="e">
        <f t="shared" si="3"/>
        <v>#DIV/0!</v>
      </c>
      <c r="Z19" s="83"/>
      <c r="AA19" s="84"/>
      <c r="AB19" s="4" t="e">
        <f t="shared" si="4"/>
        <v>#DIV/0!</v>
      </c>
      <c r="AC19" s="83"/>
      <c r="AD19" s="84"/>
      <c r="AE19" s="4" t="e">
        <f t="shared" si="5"/>
        <v>#DIV/0!</v>
      </c>
      <c r="AF19" s="83"/>
      <c r="AG19" s="84"/>
      <c r="AH19" s="4" t="e">
        <f t="shared" si="6"/>
        <v>#DIV/0!</v>
      </c>
      <c r="AI19" s="6"/>
      <c r="AJ19" s="6"/>
      <c r="AK19" s="4" t="e">
        <f t="shared" si="11"/>
        <v>#DIV/0!</v>
      </c>
      <c r="AL19" s="95">
        <f t="shared" si="12"/>
        <v>0</v>
      </c>
      <c r="AM19" s="95">
        <f t="shared" si="13"/>
        <v>0</v>
      </c>
      <c r="AN19" s="4" t="str">
        <f t="shared" si="14"/>
        <v/>
      </c>
      <c r="AO19" s="98" t="str">
        <f t="shared" si="15"/>
        <v>0</v>
      </c>
      <c r="AS19" s="2" t="s">
        <v>185</v>
      </c>
    </row>
    <row r="20" spans="1:45" x14ac:dyDescent="0.15">
      <c r="A20" s="77" t="s">
        <v>105</v>
      </c>
      <c r="B20" s="93">
        <f>[4]A07!$U$89+[4]A32!$V$53</f>
        <v>0</v>
      </c>
      <c r="C20" s="93">
        <f>'1,6 CN'!B20</f>
        <v>0</v>
      </c>
      <c r="D20" s="4" t="str">
        <f t="shared" si="7"/>
        <v/>
      </c>
      <c r="E20" s="93">
        <f>[5]A07!$U$89+[5]A32!$V$53</f>
        <v>0</v>
      </c>
      <c r="F20" s="93">
        <f>'1,6 CN'!E20</f>
        <v>0</v>
      </c>
      <c r="G20" s="4" t="str">
        <f t="shared" si="8"/>
        <v/>
      </c>
      <c r="H20" s="93">
        <f>[6]A07!$U$89+[6]A32!$V$53</f>
        <v>0</v>
      </c>
      <c r="I20" s="93">
        <f>'1,6 CN'!H20</f>
        <v>0</v>
      </c>
      <c r="J20" s="4" t="str">
        <f t="shared" si="9"/>
        <v/>
      </c>
      <c r="K20" s="93">
        <f>[7]A07!$U$89+[7]A32!$V$53</f>
        <v>0</v>
      </c>
      <c r="L20" s="93">
        <f>'1,6 CN'!K20</f>
        <v>0</v>
      </c>
      <c r="M20" s="4" t="str">
        <f t="shared" si="10"/>
        <v/>
      </c>
      <c r="N20" s="93">
        <f>[8]A07!$U$89+[8]A32!$V$53</f>
        <v>0</v>
      </c>
      <c r="O20" s="93">
        <f>'1,6 CN'!N20</f>
        <v>0</v>
      </c>
      <c r="P20" s="4" t="e">
        <f t="shared" si="0"/>
        <v>#DIV/0!</v>
      </c>
      <c r="Q20" s="83"/>
      <c r="R20" s="84"/>
      <c r="S20" s="4" t="e">
        <f t="shared" si="1"/>
        <v>#DIV/0!</v>
      </c>
      <c r="T20" s="83"/>
      <c r="U20" s="84"/>
      <c r="V20" s="4" t="e">
        <f t="shared" si="2"/>
        <v>#DIV/0!</v>
      </c>
      <c r="W20" s="83"/>
      <c r="X20" s="84"/>
      <c r="Y20" s="4" t="e">
        <f t="shared" si="3"/>
        <v>#DIV/0!</v>
      </c>
      <c r="Z20" s="83"/>
      <c r="AA20" s="84"/>
      <c r="AB20" s="4" t="e">
        <f t="shared" si="4"/>
        <v>#DIV/0!</v>
      </c>
      <c r="AC20" s="83"/>
      <c r="AD20" s="84"/>
      <c r="AE20" s="4" t="e">
        <f t="shared" si="5"/>
        <v>#DIV/0!</v>
      </c>
      <c r="AF20" s="83"/>
      <c r="AG20" s="84"/>
      <c r="AH20" s="4" t="e">
        <f t="shared" si="6"/>
        <v>#DIV/0!</v>
      </c>
      <c r="AI20" s="6"/>
      <c r="AJ20" s="6"/>
      <c r="AK20" s="4" t="e">
        <f t="shared" si="11"/>
        <v>#DIV/0!</v>
      </c>
      <c r="AL20" s="95">
        <f t="shared" si="12"/>
        <v>0</v>
      </c>
      <c r="AM20" s="95">
        <f t="shared" si="13"/>
        <v>0</v>
      </c>
      <c r="AN20" s="4" t="str">
        <f t="shared" si="14"/>
        <v/>
      </c>
      <c r="AO20" s="98" t="str">
        <f t="shared" si="15"/>
        <v>0</v>
      </c>
      <c r="AS20" s="2" t="s">
        <v>185</v>
      </c>
    </row>
    <row r="21" spans="1:45" x14ac:dyDescent="0.2">
      <c r="A21" s="79" t="s">
        <v>106</v>
      </c>
      <c r="B21" s="93">
        <f>[4]A07!$U$90+[4]A32!$V$54</f>
        <v>0</v>
      </c>
      <c r="C21" s="93">
        <f>'1,6 CN'!B21</f>
        <v>0</v>
      </c>
      <c r="D21" s="4" t="str">
        <f t="shared" si="7"/>
        <v/>
      </c>
      <c r="E21" s="93">
        <f>[5]A07!$U$90+[5]A32!$V$54</f>
        <v>0</v>
      </c>
      <c r="F21" s="93">
        <f>'1,6 CN'!E21</f>
        <v>0</v>
      </c>
      <c r="G21" s="4" t="str">
        <f t="shared" si="8"/>
        <v/>
      </c>
      <c r="H21" s="93">
        <f>[6]A07!$U$90+[6]A32!$V$54</f>
        <v>0</v>
      </c>
      <c r="I21" s="93">
        <f>'1,6 CN'!H21</f>
        <v>0</v>
      </c>
      <c r="J21" s="4" t="str">
        <f t="shared" si="9"/>
        <v/>
      </c>
      <c r="K21" s="93">
        <f>[7]A07!$U$90+[7]A32!$V$54</f>
        <v>0</v>
      </c>
      <c r="L21" s="93">
        <f>'1,6 CN'!K21</f>
        <v>0</v>
      </c>
      <c r="M21" s="4" t="str">
        <f t="shared" si="10"/>
        <v/>
      </c>
      <c r="N21" s="93">
        <f>[8]A07!$U$90+[8]A32!$V$54</f>
        <v>0</v>
      </c>
      <c r="O21" s="93">
        <f>'1,6 CN'!N21</f>
        <v>0</v>
      </c>
      <c r="P21" s="4" t="e">
        <f t="shared" si="0"/>
        <v>#DIV/0!</v>
      </c>
      <c r="Q21" s="83"/>
      <c r="R21" s="84"/>
      <c r="S21" s="4" t="e">
        <f t="shared" si="1"/>
        <v>#DIV/0!</v>
      </c>
      <c r="T21" s="83"/>
      <c r="U21" s="84"/>
      <c r="V21" s="4" t="e">
        <f t="shared" si="2"/>
        <v>#DIV/0!</v>
      </c>
      <c r="W21" s="83"/>
      <c r="X21" s="84"/>
      <c r="Y21" s="4" t="e">
        <f t="shared" si="3"/>
        <v>#DIV/0!</v>
      </c>
      <c r="Z21" s="83"/>
      <c r="AA21" s="84"/>
      <c r="AB21" s="4" t="e">
        <f t="shared" si="4"/>
        <v>#DIV/0!</v>
      </c>
      <c r="AC21" s="83"/>
      <c r="AD21" s="84"/>
      <c r="AE21" s="4" t="e">
        <f t="shared" si="5"/>
        <v>#DIV/0!</v>
      </c>
      <c r="AF21" s="83"/>
      <c r="AG21" s="84"/>
      <c r="AH21" s="4" t="e">
        <f t="shared" si="6"/>
        <v>#DIV/0!</v>
      </c>
      <c r="AI21" s="6"/>
      <c r="AJ21" s="6"/>
      <c r="AK21" s="4" t="e">
        <f t="shared" si="11"/>
        <v>#DIV/0!</v>
      </c>
      <c r="AL21" s="95">
        <f t="shared" si="12"/>
        <v>0</v>
      </c>
      <c r="AM21" s="95">
        <f t="shared" si="13"/>
        <v>0</v>
      </c>
      <c r="AN21" s="4" t="str">
        <f t="shared" si="14"/>
        <v/>
      </c>
      <c r="AO21" s="98" t="str">
        <f t="shared" si="15"/>
        <v>0</v>
      </c>
      <c r="AS21" s="2" t="s">
        <v>185</v>
      </c>
    </row>
    <row r="22" spans="1:45" x14ac:dyDescent="0.15">
      <c r="A22" s="77" t="s">
        <v>107</v>
      </c>
      <c r="B22" s="93">
        <f>[4]A07!$U$91+[4]A32!$V$55</f>
        <v>3</v>
      </c>
      <c r="C22" s="93">
        <f>'1,6 CN'!B22</f>
        <v>19</v>
      </c>
      <c r="D22" s="4">
        <f t="shared" si="7"/>
        <v>0.15789473684210525</v>
      </c>
      <c r="E22" s="93">
        <f>[5]A07!$U$91+[5]A32!$V$55</f>
        <v>16</v>
      </c>
      <c r="F22" s="93">
        <f>'1,6 CN'!E22</f>
        <v>55</v>
      </c>
      <c r="G22" s="4">
        <f t="shared" si="8"/>
        <v>0.29090909090909089</v>
      </c>
      <c r="H22" s="93">
        <f>[6]A07!$U$91+[6]A32!$V$55</f>
        <v>26</v>
      </c>
      <c r="I22" s="93">
        <f>'1,6 CN'!H22</f>
        <v>41</v>
      </c>
      <c r="J22" s="4">
        <f t="shared" si="9"/>
        <v>0.63414634146341464</v>
      </c>
      <c r="K22" s="93">
        <f>[7]A07!$U$91+[7]A32!$V$55</f>
        <v>8</v>
      </c>
      <c r="L22" s="93">
        <f>'1,6 CN'!K22</f>
        <v>53</v>
      </c>
      <c r="M22" s="4">
        <f t="shared" si="10"/>
        <v>0.15094339622641509</v>
      </c>
      <c r="N22" s="93">
        <f>[8]A07!$U$91+[8]A32!$V$55</f>
        <v>5</v>
      </c>
      <c r="O22" s="93">
        <f>'1,6 CN'!N22</f>
        <v>30</v>
      </c>
      <c r="P22" s="4">
        <f t="shared" si="0"/>
        <v>0.16666666666666666</v>
      </c>
      <c r="Q22" s="83"/>
      <c r="R22" s="84"/>
      <c r="S22" s="4" t="e">
        <f t="shared" si="1"/>
        <v>#DIV/0!</v>
      </c>
      <c r="T22" s="83"/>
      <c r="U22" s="84"/>
      <c r="V22" s="4" t="e">
        <f t="shared" si="2"/>
        <v>#DIV/0!</v>
      </c>
      <c r="W22" s="83"/>
      <c r="X22" s="84"/>
      <c r="Y22" s="4" t="e">
        <f t="shared" si="3"/>
        <v>#DIV/0!</v>
      </c>
      <c r="Z22" s="83"/>
      <c r="AA22" s="84"/>
      <c r="AB22" s="4" t="e">
        <f t="shared" si="4"/>
        <v>#DIV/0!</v>
      </c>
      <c r="AC22" s="83"/>
      <c r="AD22" s="84"/>
      <c r="AE22" s="4" t="e">
        <f t="shared" si="5"/>
        <v>#DIV/0!</v>
      </c>
      <c r="AF22" s="83"/>
      <c r="AG22" s="84"/>
      <c r="AH22" s="4" t="e">
        <f t="shared" si="6"/>
        <v>#DIV/0!</v>
      </c>
      <c r="AI22" s="6"/>
      <c r="AJ22" s="6"/>
      <c r="AK22" s="4" t="e">
        <f t="shared" si="11"/>
        <v>#DIV/0!</v>
      </c>
      <c r="AL22" s="95">
        <f t="shared" si="12"/>
        <v>58</v>
      </c>
      <c r="AM22" s="95">
        <f t="shared" si="13"/>
        <v>198</v>
      </c>
      <c r="AN22" s="4">
        <f t="shared" si="14"/>
        <v>0.29292929292929293</v>
      </c>
      <c r="AO22" s="98" t="str">
        <f t="shared" si="15"/>
        <v>0</v>
      </c>
      <c r="AS22" s="2" t="s">
        <v>185</v>
      </c>
    </row>
    <row r="23" spans="1:45" x14ac:dyDescent="0.15">
      <c r="A23" s="77" t="s">
        <v>108</v>
      </c>
      <c r="B23" s="93">
        <f>[4]A07!$U$92+[4]A32!$V$56</f>
        <v>0</v>
      </c>
      <c r="C23" s="93">
        <f>'1,6 CN'!B23</f>
        <v>0</v>
      </c>
      <c r="D23" s="4" t="str">
        <f t="shared" si="7"/>
        <v/>
      </c>
      <c r="E23" s="93">
        <f>[5]A07!$U$92+[5]A32!$V$56</f>
        <v>0</v>
      </c>
      <c r="F23" s="93">
        <f>'1,6 CN'!E23</f>
        <v>0</v>
      </c>
      <c r="G23" s="4" t="str">
        <f t="shared" si="8"/>
        <v/>
      </c>
      <c r="H23" s="93">
        <f>[6]A07!$U$92+[6]A32!$V$56</f>
        <v>0</v>
      </c>
      <c r="I23" s="93">
        <f>'1,6 CN'!H23</f>
        <v>0</v>
      </c>
      <c r="J23" s="4" t="str">
        <f t="shared" si="9"/>
        <v/>
      </c>
      <c r="K23" s="93">
        <f>[7]A07!$U$92+[7]A32!$V$56</f>
        <v>0</v>
      </c>
      <c r="L23" s="93">
        <f>'1,6 CN'!K23</f>
        <v>0</v>
      </c>
      <c r="M23" s="4" t="str">
        <f t="shared" si="10"/>
        <v/>
      </c>
      <c r="N23" s="93">
        <f>[8]A07!$U$92+[8]A32!$V$56</f>
        <v>0</v>
      </c>
      <c r="O23" s="93">
        <f>'1,6 CN'!N23</f>
        <v>0</v>
      </c>
      <c r="P23" s="4" t="e">
        <f t="shared" si="0"/>
        <v>#DIV/0!</v>
      </c>
      <c r="Q23" s="83"/>
      <c r="R23" s="84"/>
      <c r="S23" s="4" t="e">
        <f t="shared" si="1"/>
        <v>#DIV/0!</v>
      </c>
      <c r="T23" s="83"/>
      <c r="U23" s="84"/>
      <c r="V23" s="4" t="e">
        <f t="shared" si="2"/>
        <v>#DIV/0!</v>
      </c>
      <c r="W23" s="83"/>
      <c r="X23" s="84"/>
      <c r="Y23" s="4" t="e">
        <f t="shared" si="3"/>
        <v>#DIV/0!</v>
      </c>
      <c r="Z23" s="83"/>
      <c r="AA23" s="84"/>
      <c r="AB23" s="4" t="e">
        <f t="shared" si="4"/>
        <v>#DIV/0!</v>
      </c>
      <c r="AC23" s="83"/>
      <c r="AD23" s="84"/>
      <c r="AE23" s="4" t="e">
        <f t="shared" si="5"/>
        <v>#DIV/0!</v>
      </c>
      <c r="AF23" s="83"/>
      <c r="AG23" s="84"/>
      <c r="AH23" s="4" t="e">
        <f t="shared" si="6"/>
        <v>#DIV/0!</v>
      </c>
      <c r="AI23" s="6"/>
      <c r="AJ23" s="6"/>
      <c r="AK23" s="4" t="e">
        <f t="shared" si="11"/>
        <v>#DIV/0!</v>
      </c>
      <c r="AL23" s="95">
        <f t="shared" si="12"/>
        <v>0</v>
      </c>
      <c r="AM23" s="95">
        <f t="shared" si="13"/>
        <v>0</v>
      </c>
      <c r="AN23" s="4" t="str">
        <f t="shared" si="14"/>
        <v/>
      </c>
      <c r="AO23" s="98" t="str">
        <f t="shared" si="15"/>
        <v>0</v>
      </c>
      <c r="AS23" s="2" t="s">
        <v>185</v>
      </c>
    </row>
    <row r="24" spans="1:45" x14ac:dyDescent="0.15">
      <c r="A24" s="77" t="s">
        <v>109</v>
      </c>
      <c r="B24" s="93">
        <f>[4]A07!$U$93+[4]A32!$V$57</f>
        <v>3</v>
      </c>
      <c r="C24" s="93">
        <f>'1,6 CN'!B24</f>
        <v>37</v>
      </c>
      <c r="D24" s="4">
        <f t="shared" si="7"/>
        <v>8.1081081081081086E-2</v>
      </c>
      <c r="E24" s="93">
        <f>[5]A07!$U$93+[5]A32!$V$57</f>
        <v>3</v>
      </c>
      <c r="F24" s="93">
        <f>'1,6 CN'!E24</f>
        <v>34</v>
      </c>
      <c r="G24" s="4">
        <f t="shared" si="8"/>
        <v>8.8235294117647065E-2</v>
      </c>
      <c r="H24" s="93">
        <f>[6]A07!$U$93+[6]A32!$V$57</f>
        <v>0</v>
      </c>
      <c r="I24" s="93">
        <f>'1,6 CN'!H24</f>
        <v>43</v>
      </c>
      <c r="J24" s="4">
        <f t="shared" si="9"/>
        <v>0</v>
      </c>
      <c r="K24" s="93">
        <f>[7]A07!$U$93+[7]A32!$V$57</f>
        <v>4</v>
      </c>
      <c r="L24" s="93">
        <f>'1,6 CN'!K24</f>
        <v>32</v>
      </c>
      <c r="M24" s="4">
        <f t="shared" si="10"/>
        <v>0.125</v>
      </c>
      <c r="N24" s="93">
        <f>[8]A07!$U$93+[8]A32!$V$57</f>
        <v>2</v>
      </c>
      <c r="O24" s="93">
        <f>'1,6 CN'!N24</f>
        <v>34</v>
      </c>
      <c r="P24" s="4">
        <f t="shared" si="0"/>
        <v>5.8823529411764705E-2</v>
      </c>
      <c r="Q24" s="83"/>
      <c r="R24" s="84"/>
      <c r="S24" s="4" t="e">
        <f t="shared" si="1"/>
        <v>#DIV/0!</v>
      </c>
      <c r="T24" s="83"/>
      <c r="U24" s="84"/>
      <c r="V24" s="4" t="e">
        <f t="shared" si="2"/>
        <v>#DIV/0!</v>
      </c>
      <c r="W24" s="83"/>
      <c r="X24" s="84"/>
      <c r="Y24" s="4" t="e">
        <f t="shared" si="3"/>
        <v>#DIV/0!</v>
      </c>
      <c r="Z24" s="83"/>
      <c r="AA24" s="84"/>
      <c r="AB24" s="4" t="e">
        <f t="shared" si="4"/>
        <v>#DIV/0!</v>
      </c>
      <c r="AC24" s="83"/>
      <c r="AD24" s="84"/>
      <c r="AE24" s="4" t="e">
        <f t="shared" si="5"/>
        <v>#DIV/0!</v>
      </c>
      <c r="AF24" s="83"/>
      <c r="AG24" s="84"/>
      <c r="AH24" s="4" t="e">
        <f t="shared" si="6"/>
        <v>#DIV/0!</v>
      </c>
      <c r="AI24" s="6"/>
      <c r="AJ24" s="6"/>
      <c r="AK24" s="4" t="e">
        <f t="shared" si="11"/>
        <v>#DIV/0!</v>
      </c>
      <c r="AL24" s="95">
        <f t="shared" si="12"/>
        <v>12</v>
      </c>
      <c r="AM24" s="95">
        <f t="shared" si="13"/>
        <v>180</v>
      </c>
      <c r="AN24" s="4">
        <f t="shared" si="14"/>
        <v>6.6666666666666666E-2</v>
      </c>
      <c r="AO24" s="98" t="str">
        <f t="shared" si="15"/>
        <v>1</v>
      </c>
      <c r="AS24" s="2" t="s">
        <v>185</v>
      </c>
    </row>
    <row r="25" spans="1:45" x14ac:dyDescent="0.15">
      <c r="A25" s="77" t="s">
        <v>110</v>
      </c>
      <c r="B25" s="93">
        <f>[4]A07!$U$94+[4]A32!$V$58</f>
        <v>0</v>
      </c>
      <c r="C25" s="93">
        <f>'1,6 CN'!B25</f>
        <v>0</v>
      </c>
      <c r="D25" s="4" t="str">
        <f t="shared" si="7"/>
        <v/>
      </c>
      <c r="E25" s="93">
        <f>[5]A07!$U$94+[5]A32!$V$58</f>
        <v>0</v>
      </c>
      <c r="F25" s="93">
        <f>'1,6 CN'!E25</f>
        <v>0</v>
      </c>
      <c r="G25" s="4" t="str">
        <f t="shared" si="8"/>
        <v/>
      </c>
      <c r="H25" s="93">
        <f>[6]A07!$U$94+[6]A32!$V$58</f>
        <v>0</v>
      </c>
      <c r="I25" s="93">
        <f>'1,6 CN'!H25</f>
        <v>0</v>
      </c>
      <c r="J25" s="4" t="str">
        <f t="shared" si="9"/>
        <v/>
      </c>
      <c r="K25" s="93">
        <f>[7]A07!$U$94+[7]A32!$V$58</f>
        <v>0</v>
      </c>
      <c r="L25" s="93">
        <f>'1,6 CN'!K25</f>
        <v>0</v>
      </c>
      <c r="M25" s="4" t="str">
        <f t="shared" si="10"/>
        <v/>
      </c>
      <c r="N25" s="93">
        <f>[8]A07!$U$94+[8]A32!$V$58</f>
        <v>0</v>
      </c>
      <c r="O25" s="93">
        <f>'1,6 CN'!N25</f>
        <v>0</v>
      </c>
      <c r="P25" s="4" t="e">
        <f t="shared" si="0"/>
        <v>#DIV/0!</v>
      </c>
      <c r="Q25" s="83"/>
      <c r="R25" s="84"/>
      <c r="S25" s="4" t="e">
        <f t="shared" si="1"/>
        <v>#DIV/0!</v>
      </c>
      <c r="T25" s="83"/>
      <c r="U25" s="84"/>
      <c r="V25" s="4" t="e">
        <f t="shared" si="2"/>
        <v>#DIV/0!</v>
      </c>
      <c r="W25" s="83"/>
      <c r="X25" s="84"/>
      <c r="Y25" s="4" t="e">
        <f t="shared" si="3"/>
        <v>#DIV/0!</v>
      </c>
      <c r="Z25" s="83"/>
      <c r="AA25" s="84"/>
      <c r="AB25" s="4" t="e">
        <f t="shared" si="4"/>
        <v>#DIV/0!</v>
      </c>
      <c r="AC25" s="83"/>
      <c r="AD25" s="84"/>
      <c r="AE25" s="4" t="e">
        <f t="shared" si="5"/>
        <v>#DIV/0!</v>
      </c>
      <c r="AF25" s="83"/>
      <c r="AG25" s="84"/>
      <c r="AH25" s="4" t="e">
        <f t="shared" si="6"/>
        <v>#DIV/0!</v>
      </c>
      <c r="AI25" s="6"/>
      <c r="AJ25" s="6"/>
      <c r="AK25" s="4" t="e">
        <f t="shared" si="11"/>
        <v>#DIV/0!</v>
      </c>
      <c r="AL25" s="95">
        <f t="shared" si="12"/>
        <v>0</v>
      </c>
      <c r="AM25" s="95">
        <f t="shared" si="13"/>
        <v>0</v>
      </c>
      <c r="AN25" s="4" t="str">
        <f t="shared" si="14"/>
        <v/>
      </c>
      <c r="AO25" s="98" t="str">
        <f t="shared" si="15"/>
        <v>0</v>
      </c>
      <c r="AS25" s="2" t="s">
        <v>185</v>
      </c>
    </row>
    <row r="26" spans="1:45" x14ac:dyDescent="0.15">
      <c r="A26" s="77" t="s">
        <v>111</v>
      </c>
      <c r="B26" s="93">
        <f>[4]A07!$U$95+[4]A32!$V$59</f>
        <v>0</v>
      </c>
      <c r="C26" s="93">
        <f>'1,6 CN'!B26</f>
        <v>0</v>
      </c>
      <c r="D26" s="4" t="str">
        <f t="shared" si="7"/>
        <v/>
      </c>
      <c r="E26" s="93">
        <f>[5]A07!$U$95+[5]A32!$V$59</f>
        <v>0</v>
      </c>
      <c r="F26" s="93">
        <f>'1,6 CN'!E26</f>
        <v>0</v>
      </c>
      <c r="G26" s="4" t="str">
        <f t="shared" si="8"/>
        <v/>
      </c>
      <c r="H26" s="93">
        <f>[6]A07!$U$95+[6]A32!$V$59</f>
        <v>0</v>
      </c>
      <c r="I26" s="93">
        <f>'1,6 CN'!H26</f>
        <v>0</v>
      </c>
      <c r="J26" s="4" t="str">
        <f t="shared" si="9"/>
        <v/>
      </c>
      <c r="K26" s="93">
        <f>[7]A07!$U$95+[7]A32!$V$59</f>
        <v>0</v>
      </c>
      <c r="L26" s="93">
        <f>'1,6 CN'!K26</f>
        <v>0</v>
      </c>
      <c r="M26" s="4" t="str">
        <f t="shared" si="10"/>
        <v/>
      </c>
      <c r="N26" s="93">
        <f>[8]A07!$U$95+[8]A32!$V$59</f>
        <v>0</v>
      </c>
      <c r="O26" s="93">
        <f>'1,6 CN'!N26</f>
        <v>0</v>
      </c>
      <c r="P26" s="4" t="e">
        <f t="shared" si="0"/>
        <v>#DIV/0!</v>
      </c>
      <c r="Q26" s="83"/>
      <c r="R26" s="84"/>
      <c r="S26" s="4" t="e">
        <f t="shared" si="1"/>
        <v>#DIV/0!</v>
      </c>
      <c r="T26" s="83"/>
      <c r="U26" s="84"/>
      <c r="V26" s="4" t="e">
        <f t="shared" si="2"/>
        <v>#DIV/0!</v>
      </c>
      <c r="W26" s="83"/>
      <c r="X26" s="84"/>
      <c r="Y26" s="4" t="e">
        <f t="shared" si="3"/>
        <v>#DIV/0!</v>
      </c>
      <c r="Z26" s="83"/>
      <c r="AA26" s="84"/>
      <c r="AB26" s="4" t="e">
        <f t="shared" si="4"/>
        <v>#DIV/0!</v>
      </c>
      <c r="AC26" s="83"/>
      <c r="AD26" s="84"/>
      <c r="AE26" s="4" t="e">
        <f t="shared" si="5"/>
        <v>#DIV/0!</v>
      </c>
      <c r="AF26" s="83"/>
      <c r="AG26" s="84"/>
      <c r="AH26" s="4" t="e">
        <f t="shared" si="6"/>
        <v>#DIV/0!</v>
      </c>
      <c r="AI26" s="6"/>
      <c r="AJ26" s="6"/>
      <c r="AK26" s="4" t="e">
        <f t="shared" si="11"/>
        <v>#DIV/0!</v>
      </c>
      <c r="AL26" s="95">
        <f t="shared" si="12"/>
        <v>0</v>
      </c>
      <c r="AM26" s="95">
        <f t="shared" si="13"/>
        <v>0</v>
      </c>
      <c r="AN26" s="4" t="str">
        <f t="shared" si="14"/>
        <v/>
      </c>
      <c r="AO26" s="98" t="str">
        <f t="shared" si="15"/>
        <v>0</v>
      </c>
      <c r="AS26" s="2" t="s">
        <v>185</v>
      </c>
    </row>
    <row r="27" spans="1:45" x14ac:dyDescent="0.2">
      <c r="A27" s="79" t="s">
        <v>112</v>
      </c>
      <c r="B27" s="93">
        <f>[4]A07!$U$96+[4]A32!$V$60</f>
        <v>0</v>
      </c>
      <c r="C27" s="93">
        <f>'1,6 CN'!B27</f>
        <v>0</v>
      </c>
      <c r="D27" s="4" t="str">
        <f t="shared" si="7"/>
        <v/>
      </c>
      <c r="E27" s="93">
        <f>[5]A07!$U$96+[5]A32!$V$60</f>
        <v>0</v>
      </c>
      <c r="F27" s="93">
        <f>'1,6 CN'!E27</f>
        <v>0</v>
      </c>
      <c r="G27" s="4" t="str">
        <f t="shared" si="8"/>
        <v/>
      </c>
      <c r="H27" s="93">
        <f>[6]A07!$U$96+[6]A32!$V$60</f>
        <v>0</v>
      </c>
      <c r="I27" s="93">
        <f>'1,6 CN'!H27</f>
        <v>0</v>
      </c>
      <c r="J27" s="4" t="str">
        <f t="shared" si="9"/>
        <v/>
      </c>
      <c r="K27" s="93">
        <f>[7]A07!$U$96+[7]A32!$V$60</f>
        <v>0</v>
      </c>
      <c r="L27" s="93">
        <f>'1,6 CN'!K27</f>
        <v>0</v>
      </c>
      <c r="M27" s="4" t="str">
        <f t="shared" si="10"/>
        <v/>
      </c>
      <c r="N27" s="93">
        <f>[8]A07!$U$96+[8]A32!$V$60</f>
        <v>0</v>
      </c>
      <c r="O27" s="93">
        <f>'1,6 CN'!N27</f>
        <v>0</v>
      </c>
      <c r="P27" s="4" t="e">
        <f t="shared" si="0"/>
        <v>#DIV/0!</v>
      </c>
      <c r="Q27" s="83"/>
      <c r="R27" s="84"/>
      <c r="S27" s="4" t="e">
        <f t="shared" si="1"/>
        <v>#DIV/0!</v>
      </c>
      <c r="T27" s="83"/>
      <c r="U27" s="84"/>
      <c r="V27" s="4" t="e">
        <f t="shared" si="2"/>
        <v>#DIV/0!</v>
      </c>
      <c r="W27" s="83"/>
      <c r="X27" s="84"/>
      <c r="Y27" s="4" t="e">
        <f t="shared" si="3"/>
        <v>#DIV/0!</v>
      </c>
      <c r="Z27" s="83"/>
      <c r="AA27" s="84"/>
      <c r="AB27" s="4" t="e">
        <f t="shared" si="4"/>
        <v>#DIV/0!</v>
      </c>
      <c r="AC27" s="83"/>
      <c r="AD27" s="84"/>
      <c r="AE27" s="4" t="e">
        <f t="shared" si="5"/>
        <v>#DIV/0!</v>
      </c>
      <c r="AF27" s="83"/>
      <c r="AG27" s="84"/>
      <c r="AH27" s="4" t="e">
        <f t="shared" si="6"/>
        <v>#DIV/0!</v>
      </c>
      <c r="AI27" s="6"/>
      <c r="AJ27" s="6"/>
      <c r="AK27" s="4" t="e">
        <f t="shared" si="11"/>
        <v>#DIV/0!</v>
      </c>
      <c r="AL27" s="95">
        <f t="shared" si="12"/>
        <v>0</v>
      </c>
      <c r="AM27" s="95">
        <f t="shared" si="13"/>
        <v>0</v>
      </c>
      <c r="AN27" s="4" t="str">
        <f t="shared" si="14"/>
        <v/>
      </c>
      <c r="AO27" s="98" t="str">
        <f t="shared" si="15"/>
        <v>0</v>
      </c>
      <c r="AS27" s="2" t="s">
        <v>185</v>
      </c>
    </row>
    <row r="28" spans="1:45" x14ac:dyDescent="0.15">
      <c r="A28" s="77" t="s">
        <v>113</v>
      </c>
      <c r="B28" s="93">
        <f>[4]A07!$U$97+[4]A32!$V$61</f>
        <v>5</v>
      </c>
      <c r="C28" s="93">
        <f>'1,6 CN'!B28</f>
        <v>19</v>
      </c>
      <c r="D28" s="4">
        <f t="shared" si="7"/>
        <v>0.26315789473684209</v>
      </c>
      <c r="E28" s="93">
        <f>[5]A07!$U$97+[5]A32!$V$61</f>
        <v>0</v>
      </c>
      <c r="F28" s="93">
        <f>'1,6 CN'!E28</f>
        <v>19</v>
      </c>
      <c r="G28" s="4">
        <f t="shared" si="8"/>
        <v>0</v>
      </c>
      <c r="H28" s="93">
        <f>[6]A07!$U$97+[6]A32!$V$61</f>
        <v>2</v>
      </c>
      <c r="I28" s="93">
        <f>'1,6 CN'!H28</f>
        <v>35</v>
      </c>
      <c r="J28" s="4">
        <f t="shared" si="9"/>
        <v>5.7142857142857141E-2</v>
      </c>
      <c r="K28" s="93">
        <f>[7]A07!$U$97+[7]A32!$V$61</f>
        <v>1</v>
      </c>
      <c r="L28" s="93">
        <f>'1,6 CN'!K28</f>
        <v>22</v>
      </c>
      <c r="M28" s="4">
        <f t="shared" si="10"/>
        <v>4.5454545454545456E-2</v>
      </c>
      <c r="N28" s="93">
        <f>[8]A07!$U$97+[8]A32!$V$61</f>
        <v>0</v>
      </c>
      <c r="O28" s="93">
        <f>'1,6 CN'!N28</f>
        <v>23</v>
      </c>
      <c r="P28" s="4">
        <f t="shared" si="0"/>
        <v>0</v>
      </c>
      <c r="Q28" s="83"/>
      <c r="R28" s="84"/>
      <c r="S28" s="4" t="e">
        <f t="shared" si="1"/>
        <v>#DIV/0!</v>
      </c>
      <c r="T28" s="83"/>
      <c r="U28" s="84"/>
      <c r="V28" s="4" t="e">
        <f t="shared" si="2"/>
        <v>#DIV/0!</v>
      </c>
      <c r="W28" s="83"/>
      <c r="X28" s="84"/>
      <c r="Y28" s="4" t="e">
        <f t="shared" si="3"/>
        <v>#DIV/0!</v>
      </c>
      <c r="Z28" s="83"/>
      <c r="AA28" s="84"/>
      <c r="AB28" s="4" t="e">
        <f t="shared" si="4"/>
        <v>#DIV/0!</v>
      </c>
      <c r="AC28" s="83"/>
      <c r="AD28" s="84"/>
      <c r="AE28" s="4" t="e">
        <f t="shared" si="5"/>
        <v>#DIV/0!</v>
      </c>
      <c r="AF28" s="83"/>
      <c r="AG28" s="84"/>
      <c r="AH28" s="4" t="e">
        <f t="shared" si="6"/>
        <v>#DIV/0!</v>
      </c>
      <c r="AI28" s="6"/>
      <c r="AJ28" s="6"/>
      <c r="AK28" s="4" t="e">
        <f t="shared" si="11"/>
        <v>#DIV/0!</v>
      </c>
      <c r="AL28" s="95">
        <f t="shared" si="12"/>
        <v>8</v>
      </c>
      <c r="AM28" s="95">
        <f t="shared" si="13"/>
        <v>118</v>
      </c>
      <c r="AN28" s="4">
        <f t="shared" si="14"/>
        <v>6.7796610169491525E-2</v>
      </c>
      <c r="AO28" s="98" t="str">
        <f t="shared" si="15"/>
        <v>1</v>
      </c>
      <c r="AS28" s="2" t="s">
        <v>185</v>
      </c>
    </row>
    <row r="29" spans="1:45" x14ac:dyDescent="0.15">
      <c r="A29" s="77" t="s">
        <v>114</v>
      </c>
      <c r="B29" s="93">
        <f>[4]A07!$U$98+[4]A32!$V$62</f>
        <v>9</v>
      </c>
      <c r="C29" s="93">
        <f>'1,6 CN'!B29</f>
        <v>67</v>
      </c>
      <c r="D29" s="4">
        <f t="shared" si="7"/>
        <v>0.13432835820895522</v>
      </c>
      <c r="E29" s="93">
        <f>[5]A07!$U$98+[5]A32!$V$62</f>
        <v>3</v>
      </c>
      <c r="F29" s="93">
        <f>'1,6 CN'!E29</f>
        <v>32</v>
      </c>
      <c r="G29" s="4">
        <f t="shared" si="8"/>
        <v>9.375E-2</v>
      </c>
      <c r="H29" s="93">
        <f>[6]A07!$U$98+[6]A32!$V$62</f>
        <v>8</v>
      </c>
      <c r="I29" s="93">
        <f>'1,6 CN'!H29</f>
        <v>40</v>
      </c>
      <c r="J29" s="4">
        <f t="shared" si="9"/>
        <v>0.2</v>
      </c>
      <c r="K29" s="93">
        <f>[7]A07!$U$98+[7]A32!$V$62</f>
        <v>0</v>
      </c>
      <c r="L29" s="93">
        <f>'1,6 CN'!K29</f>
        <v>52</v>
      </c>
      <c r="M29" s="4">
        <f t="shared" si="10"/>
        <v>0</v>
      </c>
      <c r="N29" s="93">
        <f>[8]A07!$U$98+[8]A32!$V$62</f>
        <v>0</v>
      </c>
      <c r="O29" s="93">
        <f>'1,6 CN'!N29</f>
        <v>129</v>
      </c>
      <c r="P29" s="4">
        <f t="shared" si="0"/>
        <v>0</v>
      </c>
      <c r="Q29" s="83"/>
      <c r="R29" s="84"/>
      <c r="S29" s="4" t="e">
        <f t="shared" si="1"/>
        <v>#DIV/0!</v>
      </c>
      <c r="T29" s="83"/>
      <c r="U29" s="84"/>
      <c r="V29" s="4" t="e">
        <f t="shared" si="2"/>
        <v>#DIV/0!</v>
      </c>
      <c r="W29" s="83"/>
      <c r="X29" s="84"/>
      <c r="Y29" s="4" t="e">
        <f t="shared" si="3"/>
        <v>#DIV/0!</v>
      </c>
      <c r="Z29" s="83"/>
      <c r="AA29" s="84"/>
      <c r="AB29" s="4" t="e">
        <f t="shared" si="4"/>
        <v>#DIV/0!</v>
      </c>
      <c r="AC29" s="83"/>
      <c r="AD29" s="84"/>
      <c r="AE29" s="4" t="e">
        <f t="shared" si="5"/>
        <v>#DIV/0!</v>
      </c>
      <c r="AF29" s="83"/>
      <c r="AG29" s="84"/>
      <c r="AH29" s="4" t="e">
        <f t="shared" si="6"/>
        <v>#DIV/0!</v>
      </c>
      <c r="AI29" s="6"/>
      <c r="AJ29" s="6"/>
      <c r="AK29" s="4" t="e">
        <f t="shared" si="11"/>
        <v>#DIV/0!</v>
      </c>
      <c r="AL29" s="95">
        <f t="shared" si="12"/>
        <v>20</v>
      </c>
      <c r="AM29" s="95">
        <f t="shared" si="13"/>
        <v>320</v>
      </c>
      <c r="AN29" s="4">
        <f t="shared" si="14"/>
        <v>6.25E-2</v>
      </c>
      <c r="AO29" s="98" t="str">
        <f t="shared" si="15"/>
        <v>1</v>
      </c>
      <c r="AS29" s="2" t="s">
        <v>185</v>
      </c>
    </row>
    <row r="30" spans="1:45" x14ac:dyDescent="0.15">
      <c r="A30" s="77" t="s">
        <v>115</v>
      </c>
      <c r="B30" s="93">
        <f>[4]A07!$U$99+[4]A32!$V$63</f>
        <v>0</v>
      </c>
      <c r="C30" s="93">
        <f>'1,6 CN'!B30</f>
        <v>0</v>
      </c>
      <c r="D30" s="4" t="str">
        <f t="shared" si="7"/>
        <v/>
      </c>
      <c r="E30" s="93">
        <f>[5]A07!$U$99+[5]A32!$V$63</f>
        <v>0</v>
      </c>
      <c r="F30" s="93">
        <f>'1,6 CN'!E30</f>
        <v>0</v>
      </c>
      <c r="G30" s="4" t="str">
        <f t="shared" si="8"/>
        <v/>
      </c>
      <c r="H30" s="93">
        <f>[6]A07!$U$99+[6]A32!$V$63</f>
        <v>0</v>
      </c>
      <c r="I30" s="93">
        <f>'1,6 CN'!H30</f>
        <v>0</v>
      </c>
      <c r="J30" s="4" t="str">
        <f t="shared" si="9"/>
        <v/>
      </c>
      <c r="K30" s="93">
        <f>[7]A07!$U$99+[7]A32!$V$63</f>
        <v>0</v>
      </c>
      <c r="L30" s="93">
        <f>'1,6 CN'!K30</f>
        <v>0</v>
      </c>
      <c r="M30" s="4" t="str">
        <f t="shared" si="10"/>
        <v/>
      </c>
      <c r="N30" s="93">
        <f>[8]A07!$U$99+[8]A32!$V$63</f>
        <v>0</v>
      </c>
      <c r="O30" s="93">
        <f>'1,6 CN'!N30</f>
        <v>0</v>
      </c>
      <c r="P30" s="4" t="e">
        <f t="shared" si="0"/>
        <v>#DIV/0!</v>
      </c>
      <c r="Q30" s="83"/>
      <c r="R30" s="84"/>
      <c r="S30" s="4" t="e">
        <f t="shared" si="1"/>
        <v>#DIV/0!</v>
      </c>
      <c r="T30" s="83"/>
      <c r="U30" s="84"/>
      <c r="V30" s="4" t="e">
        <f t="shared" si="2"/>
        <v>#DIV/0!</v>
      </c>
      <c r="W30" s="83"/>
      <c r="X30" s="84"/>
      <c r="Y30" s="4" t="e">
        <f t="shared" si="3"/>
        <v>#DIV/0!</v>
      </c>
      <c r="Z30" s="83"/>
      <c r="AA30" s="84"/>
      <c r="AB30" s="4" t="e">
        <f t="shared" si="4"/>
        <v>#DIV/0!</v>
      </c>
      <c r="AC30" s="83"/>
      <c r="AD30" s="84"/>
      <c r="AE30" s="4" t="e">
        <f t="shared" si="5"/>
        <v>#DIV/0!</v>
      </c>
      <c r="AF30" s="83"/>
      <c r="AG30" s="84"/>
      <c r="AH30" s="4" t="e">
        <f t="shared" si="6"/>
        <v>#DIV/0!</v>
      </c>
      <c r="AI30" s="6"/>
      <c r="AJ30" s="6"/>
      <c r="AK30" s="4" t="e">
        <f t="shared" si="11"/>
        <v>#DIV/0!</v>
      </c>
      <c r="AL30" s="95">
        <f t="shared" si="12"/>
        <v>0</v>
      </c>
      <c r="AM30" s="95">
        <f t="shared" si="13"/>
        <v>0</v>
      </c>
      <c r="AN30" s="4" t="str">
        <f t="shared" si="14"/>
        <v/>
      </c>
      <c r="AO30" s="98" t="str">
        <f t="shared" si="15"/>
        <v>0</v>
      </c>
      <c r="AS30" s="2" t="s">
        <v>185</v>
      </c>
    </row>
    <row r="31" spans="1:45" x14ac:dyDescent="0.15">
      <c r="A31" s="77" t="s">
        <v>116</v>
      </c>
      <c r="B31" s="93">
        <f>[4]A07!$U$100+[4]A32!$V$64</f>
        <v>5</v>
      </c>
      <c r="C31" s="93">
        <f>'1,6 CN'!B31</f>
        <v>0</v>
      </c>
      <c r="D31" s="4" t="str">
        <f t="shared" si="7"/>
        <v/>
      </c>
      <c r="E31" s="93">
        <f>[5]A07!$U$100+[5]A32!$V$64</f>
        <v>3</v>
      </c>
      <c r="F31" s="93">
        <f>'1,6 CN'!E31</f>
        <v>1</v>
      </c>
      <c r="G31" s="4">
        <f t="shared" si="8"/>
        <v>3</v>
      </c>
      <c r="H31" s="93">
        <f>[6]A07!$U$100+[6]A32!$V$64</f>
        <v>4</v>
      </c>
      <c r="I31" s="93">
        <f>'1,6 CN'!H31</f>
        <v>11</v>
      </c>
      <c r="J31" s="4">
        <f t="shared" si="9"/>
        <v>0.36363636363636365</v>
      </c>
      <c r="K31" s="93">
        <f>[7]A07!$U$100+[7]A32!$V$64</f>
        <v>2</v>
      </c>
      <c r="L31" s="93">
        <f>'1,6 CN'!K31</f>
        <v>6</v>
      </c>
      <c r="M31" s="4">
        <f t="shared" si="10"/>
        <v>0.33333333333333331</v>
      </c>
      <c r="N31" s="93">
        <f>[8]A07!$U$100+[8]A32!$V$64</f>
        <v>4</v>
      </c>
      <c r="O31" s="93">
        <f>'1,6 CN'!N31</f>
        <v>8</v>
      </c>
      <c r="P31" s="4">
        <f t="shared" si="0"/>
        <v>0.5</v>
      </c>
      <c r="Q31" s="83"/>
      <c r="R31" s="84"/>
      <c r="S31" s="4" t="e">
        <f t="shared" si="1"/>
        <v>#DIV/0!</v>
      </c>
      <c r="T31" s="83"/>
      <c r="U31" s="84"/>
      <c r="V31" s="4" t="e">
        <f t="shared" si="2"/>
        <v>#DIV/0!</v>
      </c>
      <c r="W31" s="83"/>
      <c r="X31" s="84"/>
      <c r="Y31" s="4" t="e">
        <f t="shared" si="3"/>
        <v>#DIV/0!</v>
      </c>
      <c r="Z31" s="83"/>
      <c r="AA31" s="84"/>
      <c r="AB31" s="4" t="e">
        <f t="shared" si="4"/>
        <v>#DIV/0!</v>
      </c>
      <c r="AC31" s="83"/>
      <c r="AD31" s="84"/>
      <c r="AE31" s="4" t="e">
        <f t="shared" si="5"/>
        <v>#DIV/0!</v>
      </c>
      <c r="AF31" s="83"/>
      <c r="AG31" s="84"/>
      <c r="AH31" s="4" t="e">
        <f t="shared" si="6"/>
        <v>#DIV/0!</v>
      </c>
      <c r="AI31" s="6"/>
      <c r="AJ31" s="6"/>
      <c r="AK31" s="4" t="e">
        <f t="shared" si="11"/>
        <v>#DIV/0!</v>
      </c>
      <c r="AL31" s="95">
        <f t="shared" si="12"/>
        <v>18</v>
      </c>
      <c r="AM31" s="95">
        <f t="shared" si="13"/>
        <v>26</v>
      </c>
      <c r="AN31" s="4">
        <f t="shared" si="14"/>
        <v>0.69230769230769229</v>
      </c>
      <c r="AO31" s="98" t="str">
        <f t="shared" si="15"/>
        <v>0</v>
      </c>
      <c r="AS31" s="2" t="s">
        <v>185</v>
      </c>
    </row>
    <row r="32" spans="1:45" x14ac:dyDescent="0.15">
      <c r="A32" s="77" t="s">
        <v>117</v>
      </c>
      <c r="B32" s="93">
        <f>[4]A07!$U$101+[4]A32!$V$65</f>
        <v>4</v>
      </c>
      <c r="C32" s="93">
        <f>'1,6 CN'!B32</f>
        <v>5</v>
      </c>
      <c r="D32" s="4">
        <f t="shared" si="7"/>
        <v>0.8</v>
      </c>
      <c r="E32" s="93">
        <f>[5]A07!$U$101+[5]A32!$V$65</f>
        <v>3</v>
      </c>
      <c r="F32" s="93">
        <f>'1,6 CN'!E32</f>
        <v>4</v>
      </c>
      <c r="G32" s="4">
        <f t="shared" si="8"/>
        <v>0.75</v>
      </c>
      <c r="H32" s="93">
        <f>[6]A07!$U$101+[6]A32!$V$65</f>
        <v>4</v>
      </c>
      <c r="I32" s="93">
        <f>'1,6 CN'!H32</f>
        <v>19</v>
      </c>
      <c r="J32" s="4">
        <f t="shared" si="9"/>
        <v>0.21052631578947367</v>
      </c>
      <c r="K32" s="93">
        <f>[7]A07!$U$101+[7]A32!$V$65</f>
        <v>2</v>
      </c>
      <c r="L32" s="93">
        <f>'1,6 CN'!K32</f>
        <v>15</v>
      </c>
      <c r="M32" s="4">
        <f t="shared" si="10"/>
        <v>0.13333333333333333</v>
      </c>
      <c r="N32" s="93">
        <f>[8]A07!$U$101+[8]A32!$V$65</f>
        <v>1</v>
      </c>
      <c r="O32" s="93">
        <f>'1,6 CN'!N32</f>
        <v>16</v>
      </c>
      <c r="P32" s="4">
        <f t="shared" si="0"/>
        <v>6.25E-2</v>
      </c>
      <c r="Q32" s="83"/>
      <c r="R32" s="84"/>
      <c r="S32" s="4" t="e">
        <f t="shared" si="1"/>
        <v>#DIV/0!</v>
      </c>
      <c r="T32" s="83"/>
      <c r="U32" s="84"/>
      <c r="V32" s="4" t="e">
        <f t="shared" si="2"/>
        <v>#DIV/0!</v>
      </c>
      <c r="W32" s="83"/>
      <c r="X32" s="84"/>
      <c r="Y32" s="4" t="e">
        <f t="shared" si="3"/>
        <v>#DIV/0!</v>
      </c>
      <c r="Z32" s="83"/>
      <c r="AA32" s="84"/>
      <c r="AB32" s="4" t="e">
        <f t="shared" si="4"/>
        <v>#DIV/0!</v>
      </c>
      <c r="AC32" s="83"/>
      <c r="AD32" s="84"/>
      <c r="AE32" s="4" t="e">
        <f t="shared" si="5"/>
        <v>#DIV/0!</v>
      </c>
      <c r="AF32" s="83"/>
      <c r="AG32" s="84"/>
      <c r="AH32" s="4" t="e">
        <f t="shared" si="6"/>
        <v>#DIV/0!</v>
      </c>
      <c r="AI32" s="6"/>
      <c r="AJ32" s="6"/>
      <c r="AK32" s="4" t="e">
        <f t="shared" si="11"/>
        <v>#DIV/0!</v>
      </c>
      <c r="AL32" s="95">
        <f t="shared" si="12"/>
        <v>14</v>
      </c>
      <c r="AM32" s="95">
        <f t="shared" si="13"/>
        <v>59</v>
      </c>
      <c r="AN32" s="4">
        <f t="shared" si="14"/>
        <v>0.23728813559322035</v>
      </c>
      <c r="AO32" s="98" t="str">
        <f t="shared" si="15"/>
        <v>0</v>
      </c>
      <c r="AS32" s="2" t="s">
        <v>185</v>
      </c>
    </row>
    <row r="33" spans="1:45" x14ac:dyDescent="0.15">
      <c r="A33" s="80" t="s">
        <v>118</v>
      </c>
      <c r="B33" s="93">
        <f>[4]A07!$U$102+[4]A32!$V$66</f>
        <v>1</v>
      </c>
      <c r="C33" s="93">
        <f>'1,6 CN'!B33</f>
        <v>35</v>
      </c>
      <c r="D33" s="4">
        <f t="shared" si="7"/>
        <v>2.8571428571428571E-2</v>
      </c>
      <c r="E33" s="93">
        <f>[5]A07!$U$102+[5]A32!$V$66</f>
        <v>3</v>
      </c>
      <c r="F33" s="93">
        <f>'1,6 CN'!E33</f>
        <v>26</v>
      </c>
      <c r="G33" s="4">
        <f t="shared" si="8"/>
        <v>0.11538461538461539</v>
      </c>
      <c r="H33" s="93">
        <f>[6]A07!$U$102+[6]A32!$V$66</f>
        <v>4</v>
      </c>
      <c r="I33" s="93">
        <f>'1,6 CN'!H33</f>
        <v>31</v>
      </c>
      <c r="J33" s="4">
        <f t="shared" si="9"/>
        <v>0.12903225806451613</v>
      </c>
      <c r="K33" s="93">
        <f>[7]A07!$U$102+[7]A32!$V$66</f>
        <v>3</v>
      </c>
      <c r="L33" s="93">
        <f>'1,6 CN'!K33</f>
        <v>59</v>
      </c>
      <c r="M33" s="4">
        <f t="shared" si="10"/>
        <v>5.0847457627118647E-2</v>
      </c>
      <c r="N33" s="93">
        <f>[8]A07!$U$102+[8]A32!$V$66</f>
        <v>1</v>
      </c>
      <c r="O33" s="93">
        <f>'1,6 CN'!N33</f>
        <v>22</v>
      </c>
      <c r="P33" s="4">
        <f t="shared" si="0"/>
        <v>4.5454545454545456E-2</v>
      </c>
      <c r="Q33" s="83"/>
      <c r="R33" s="84"/>
      <c r="S33" s="4" t="e">
        <f t="shared" si="1"/>
        <v>#DIV/0!</v>
      </c>
      <c r="T33" s="83"/>
      <c r="U33" s="84"/>
      <c r="V33" s="4" t="e">
        <f t="shared" si="2"/>
        <v>#DIV/0!</v>
      </c>
      <c r="W33" s="83"/>
      <c r="X33" s="84"/>
      <c r="Y33" s="4" t="e">
        <f t="shared" si="3"/>
        <v>#DIV/0!</v>
      </c>
      <c r="Z33" s="83"/>
      <c r="AA33" s="84"/>
      <c r="AB33" s="4" t="e">
        <f t="shared" si="4"/>
        <v>#DIV/0!</v>
      </c>
      <c r="AC33" s="83"/>
      <c r="AD33" s="84"/>
      <c r="AE33" s="4" t="e">
        <f t="shared" si="5"/>
        <v>#DIV/0!</v>
      </c>
      <c r="AF33" s="83"/>
      <c r="AG33" s="84"/>
      <c r="AH33" s="4" t="e">
        <f t="shared" si="6"/>
        <v>#DIV/0!</v>
      </c>
      <c r="AI33" s="6"/>
      <c r="AJ33" s="6"/>
      <c r="AK33" s="4" t="e">
        <f t="shared" si="11"/>
        <v>#DIV/0!</v>
      </c>
      <c r="AL33" s="95">
        <f t="shared" si="12"/>
        <v>12</v>
      </c>
      <c r="AM33" s="95">
        <f t="shared" si="13"/>
        <v>173</v>
      </c>
      <c r="AN33" s="4">
        <f t="shared" si="14"/>
        <v>6.9364161849710976E-2</v>
      </c>
      <c r="AO33" s="98" t="str">
        <f t="shared" si="15"/>
        <v>1</v>
      </c>
      <c r="AS33" s="2" t="s">
        <v>185</v>
      </c>
    </row>
    <row r="34" spans="1:45" ht="14.45" customHeight="1" x14ac:dyDescent="0.15">
      <c r="A34" s="77" t="s">
        <v>119</v>
      </c>
      <c r="B34" s="93">
        <f>[4]A07!$U$103+[4]A32!$V$67</f>
        <v>15</v>
      </c>
      <c r="C34" s="93">
        <f>'1,6 CN'!B34</f>
        <v>141</v>
      </c>
      <c r="D34" s="4">
        <f t="shared" si="7"/>
        <v>0.10638297872340426</v>
      </c>
      <c r="E34" s="93">
        <f>[5]A07!$U$103+[5]A32!$V$67</f>
        <v>10</v>
      </c>
      <c r="F34" s="93">
        <f>'1,6 CN'!E34</f>
        <v>75</v>
      </c>
      <c r="G34" s="4">
        <f t="shared" si="8"/>
        <v>0.13333333333333333</v>
      </c>
      <c r="H34" s="93">
        <f>[6]A07!$U$103+[6]A32!$V$67</f>
        <v>24</v>
      </c>
      <c r="I34" s="93">
        <f>'1,6 CN'!H34</f>
        <v>174</v>
      </c>
      <c r="J34" s="4">
        <f t="shared" si="9"/>
        <v>0.13793103448275862</v>
      </c>
      <c r="K34" s="93">
        <f>[7]A07!$U$103+[7]A32!$V$67</f>
        <v>10</v>
      </c>
      <c r="L34" s="93">
        <f>'1,6 CN'!K34</f>
        <v>116</v>
      </c>
      <c r="M34" s="4">
        <f t="shared" si="10"/>
        <v>8.6206896551724144E-2</v>
      </c>
      <c r="N34" s="93">
        <f>[8]A07!$U$103+[8]A32!$V$67</f>
        <v>7</v>
      </c>
      <c r="O34" s="93">
        <f>'1,6 CN'!N34</f>
        <v>91</v>
      </c>
      <c r="P34" s="4">
        <f t="shared" si="0"/>
        <v>7.6923076923076927E-2</v>
      </c>
      <c r="Q34" s="83"/>
      <c r="R34" s="84"/>
      <c r="S34" s="4" t="e">
        <f t="shared" si="1"/>
        <v>#DIV/0!</v>
      </c>
      <c r="T34" s="83"/>
      <c r="U34" s="84"/>
      <c r="V34" s="4" t="e">
        <f t="shared" si="2"/>
        <v>#DIV/0!</v>
      </c>
      <c r="W34" s="83"/>
      <c r="X34" s="84"/>
      <c r="Y34" s="4" t="e">
        <f t="shared" si="3"/>
        <v>#DIV/0!</v>
      </c>
      <c r="Z34" s="83"/>
      <c r="AA34" s="84"/>
      <c r="AB34" s="4" t="e">
        <f t="shared" si="4"/>
        <v>#DIV/0!</v>
      </c>
      <c r="AC34" s="83"/>
      <c r="AD34" s="84"/>
      <c r="AE34" s="4" t="e">
        <f t="shared" si="5"/>
        <v>#DIV/0!</v>
      </c>
      <c r="AF34" s="83"/>
      <c r="AG34" s="84"/>
      <c r="AH34" s="4" t="e">
        <f t="shared" si="6"/>
        <v>#DIV/0!</v>
      </c>
      <c r="AI34" s="6"/>
      <c r="AJ34" s="6"/>
      <c r="AK34" s="4" t="e">
        <f t="shared" si="11"/>
        <v>#DIV/0!</v>
      </c>
      <c r="AL34" s="95">
        <f t="shared" si="12"/>
        <v>66</v>
      </c>
      <c r="AM34" s="95">
        <f t="shared" si="13"/>
        <v>597</v>
      </c>
      <c r="AN34" s="4">
        <f t="shared" si="14"/>
        <v>0.11055276381909548</v>
      </c>
      <c r="AO34" s="98" t="str">
        <f t="shared" si="15"/>
        <v>1</v>
      </c>
      <c r="AS34" s="2" t="s">
        <v>185</v>
      </c>
    </row>
    <row r="35" spans="1:45" x14ac:dyDescent="0.15">
      <c r="A35" s="81" t="s">
        <v>120</v>
      </c>
      <c r="B35" s="93">
        <f>[4]A07!$U$104+[4]A32!$V$68</f>
        <v>0</v>
      </c>
      <c r="C35" s="93">
        <f>'1,6 CN'!B35</f>
        <v>0</v>
      </c>
      <c r="D35" s="4" t="str">
        <f t="shared" si="7"/>
        <v/>
      </c>
      <c r="E35" s="93">
        <f>[5]A07!$U$104+[5]A32!$V$68</f>
        <v>1</v>
      </c>
      <c r="F35" s="93">
        <f>'1,6 CN'!E35</f>
        <v>4</v>
      </c>
      <c r="G35" s="4">
        <f t="shared" si="8"/>
        <v>0.25</v>
      </c>
      <c r="H35" s="93">
        <f>[6]A07!$U$104+[6]A32!$V$68</f>
        <v>0</v>
      </c>
      <c r="I35" s="93">
        <f>'1,6 CN'!H35</f>
        <v>7</v>
      </c>
      <c r="J35" s="4">
        <f t="shared" si="9"/>
        <v>0</v>
      </c>
      <c r="K35" s="93">
        <f>[7]A07!$U$104+[7]A32!$V$68</f>
        <v>1</v>
      </c>
      <c r="L35" s="93">
        <f>'1,6 CN'!K35</f>
        <v>8</v>
      </c>
      <c r="M35" s="4">
        <f t="shared" si="10"/>
        <v>0.125</v>
      </c>
      <c r="N35" s="93">
        <f>[8]A07!$U$104+[8]A32!$V$68</f>
        <v>0</v>
      </c>
      <c r="O35" s="93">
        <f>'1,6 CN'!N35</f>
        <v>5</v>
      </c>
      <c r="P35" s="4">
        <f t="shared" si="0"/>
        <v>0</v>
      </c>
      <c r="Q35" s="83"/>
      <c r="R35" s="84"/>
      <c r="S35" s="4" t="e">
        <f t="shared" si="1"/>
        <v>#DIV/0!</v>
      </c>
      <c r="T35" s="83"/>
      <c r="U35" s="84"/>
      <c r="V35" s="4" t="e">
        <f t="shared" si="2"/>
        <v>#DIV/0!</v>
      </c>
      <c r="W35" s="83"/>
      <c r="X35" s="84"/>
      <c r="Y35" s="4" t="e">
        <f t="shared" si="3"/>
        <v>#DIV/0!</v>
      </c>
      <c r="Z35" s="83"/>
      <c r="AA35" s="84"/>
      <c r="AB35" s="4" t="e">
        <f t="shared" si="4"/>
        <v>#DIV/0!</v>
      </c>
      <c r="AC35" s="83"/>
      <c r="AD35" s="84"/>
      <c r="AE35" s="4" t="e">
        <f t="shared" si="5"/>
        <v>#DIV/0!</v>
      </c>
      <c r="AF35" s="83"/>
      <c r="AG35" s="84"/>
      <c r="AH35" s="4" t="e">
        <f t="shared" si="6"/>
        <v>#DIV/0!</v>
      </c>
      <c r="AI35" s="6"/>
      <c r="AJ35" s="6"/>
      <c r="AK35" s="4" t="e">
        <f t="shared" si="11"/>
        <v>#DIV/0!</v>
      </c>
      <c r="AL35" s="95">
        <f t="shared" si="12"/>
        <v>2</v>
      </c>
      <c r="AM35" s="95">
        <f t="shared" si="13"/>
        <v>24</v>
      </c>
      <c r="AN35" s="4">
        <f t="shared" si="14"/>
        <v>8.3333333333333329E-2</v>
      </c>
      <c r="AO35" s="98" t="str">
        <f t="shared" si="15"/>
        <v>1</v>
      </c>
      <c r="AS35" s="2" t="s">
        <v>185</v>
      </c>
    </row>
    <row r="36" spans="1:45" x14ac:dyDescent="0.15">
      <c r="A36" s="82" t="s">
        <v>121</v>
      </c>
      <c r="B36" s="93">
        <f>[4]A07!$U$105+[4]A32!$V$69</f>
        <v>0</v>
      </c>
      <c r="C36" s="93">
        <f>'1,6 CN'!B36</f>
        <v>0</v>
      </c>
      <c r="D36" s="4" t="str">
        <f t="shared" si="7"/>
        <v/>
      </c>
      <c r="E36" s="93">
        <f>[5]A07!$U$105+[5]A32!$V$69</f>
        <v>0</v>
      </c>
      <c r="F36" s="93">
        <f>'1,6 CN'!E36</f>
        <v>0</v>
      </c>
      <c r="G36" s="4" t="str">
        <f t="shared" si="8"/>
        <v/>
      </c>
      <c r="H36" s="93">
        <f>[6]A07!$U$105+[6]A32!$V$69</f>
        <v>0</v>
      </c>
      <c r="I36" s="93">
        <f>'1,6 CN'!H36</f>
        <v>0</v>
      </c>
      <c r="J36" s="4" t="str">
        <f t="shared" si="9"/>
        <v/>
      </c>
      <c r="K36" s="93">
        <f>[7]A07!$U$105+[7]A32!$V$69</f>
        <v>0</v>
      </c>
      <c r="L36" s="93">
        <f>'1,6 CN'!K36</f>
        <v>0</v>
      </c>
      <c r="M36" s="4" t="str">
        <f t="shared" si="10"/>
        <v/>
      </c>
      <c r="N36" s="93">
        <f>[8]A07!$U$105+[8]A32!$V$69</f>
        <v>0</v>
      </c>
      <c r="O36" s="93">
        <f>'1,6 CN'!N36</f>
        <v>0</v>
      </c>
      <c r="P36" s="4" t="e">
        <f t="shared" si="0"/>
        <v>#DIV/0!</v>
      </c>
      <c r="Q36" s="83"/>
      <c r="R36" s="84"/>
      <c r="S36" s="4" t="e">
        <f t="shared" si="1"/>
        <v>#DIV/0!</v>
      </c>
      <c r="T36" s="83"/>
      <c r="U36" s="84"/>
      <c r="V36" s="4" t="e">
        <f t="shared" si="2"/>
        <v>#DIV/0!</v>
      </c>
      <c r="W36" s="83"/>
      <c r="X36" s="84"/>
      <c r="Y36" s="4" t="e">
        <f t="shared" si="3"/>
        <v>#DIV/0!</v>
      </c>
      <c r="Z36" s="83"/>
      <c r="AA36" s="84"/>
      <c r="AB36" s="4" t="e">
        <f t="shared" si="4"/>
        <v>#DIV/0!</v>
      </c>
      <c r="AC36" s="83"/>
      <c r="AD36" s="84"/>
      <c r="AE36" s="4" t="e">
        <f t="shared" si="5"/>
        <v>#DIV/0!</v>
      </c>
      <c r="AF36" s="83"/>
      <c r="AG36" s="84"/>
      <c r="AH36" s="4" t="e">
        <f t="shared" si="6"/>
        <v>#DIV/0!</v>
      </c>
      <c r="AI36" s="6"/>
      <c r="AJ36" s="6"/>
      <c r="AK36" s="4" t="e">
        <f t="shared" si="11"/>
        <v>#DIV/0!</v>
      </c>
      <c r="AL36" s="95">
        <f t="shared" si="12"/>
        <v>0</v>
      </c>
      <c r="AM36" s="95">
        <f t="shared" si="13"/>
        <v>0</v>
      </c>
      <c r="AN36" s="4" t="str">
        <f t="shared" si="14"/>
        <v/>
      </c>
      <c r="AO36" s="98" t="str">
        <f t="shared" si="15"/>
        <v>0</v>
      </c>
      <c r="AS36" s="2" t="s">
        <v>185</v>
      </c>
    </row>
    <row r="37" spans="1:45" x14ac:dyDescent="0.15">
      <c r="A37" s="77" t="s">
        <v>122</v>
      </c>
      <c r="B37" s="93">
        <f>[4]A07!$U$106+[4]A32!$V$70</f>
        <v>0</v>
      </c>
      <c r="C37" s="93">
        <f>'1,6 CN'!B37</f>
        <v>0</v>
      </c>
      <c r="D37" s="4" t="str">
        <f t="shared" si="7"/>
        <v/>
      </c>
      <c r="E37" s="93">
        <f>[5]A07!$U$106+[5]A32!$V$70</f>
        <v>0</v>
      </c>
      <c r="F37" s="93">
        <f>'1,6 CN'!E37</f>
        <v>0</v>
      </c>
      <c r="G37" s="4" t="str">
        <f t="shared" si="8"/>
        <v/>
      </c>
      <c r="H37" s="93">
        <f>[6]A07!$U$106+[6]A32!$V$70</f>
        <v>0</v>
      </c>
      <c r="I37" s="93">
        <f>'1,6 CN'!H37</f>
        <v>0</v>
      </c>
      <c r="J37" s="4" t="str">
        <f t="shared" si="9"/>
        <v/>
      </c>
      <c r="K37" s="93">
        <f>[7]A07!$U$106+[7]A32!$V$70</f>
        <v>0</v>
      </c>
      <c r="L37" s="93">
        <f>'1,6 CN'!K37</f>
        <v>0</v>
      </c>
      <c r="M37" s="4" t="str">
        <f t="shared" si="10"/>
        <v/>
      </c>
      <c r="N37" s="93">
        <f>[8]A07!$U$106+[8]A32!$V$70</f>
        <v>0</v>
      </c>
      <c r="O37" s="93">
        <f>'1,6 CN'!N37</f>
        <v>0</v>
      </c>
      <c r="P37" s="4" t="e">
        <f t="shared" si="0"/>
        <v>#DIV/0!</v>
      </c>
      <c r="Q37" s="83"/>
      <c r="R37" s="84"/>
      <c r="S37" s="4" t="e">
        <f t="shared" si="1"/>
        <v>#DIV/0!</v>
      </c>
      <c r="T37" s="83"/>
      <c r="U37" s="84"/>
      <c r="V37" s="4" t="e">
        <f t="shared" si="2"/>
        <v>#DIV/0!</v>
      </c>
      <c r="W37" s="83"/>
      <c r="X37" s="84"/>
      <c r="Y37" s="4" t="e">
        <f t="shared" si="3"/>
        <v>#DIV/0!</v>
      </c>
      <c r="Z37" s="83"/>
      <c r="AA37" s="84"/>
      <c r="AB37" s="4" t="e">
        <f t="shared" si="4"/>
        <v>#DIV/0!</v>
      </c>
      <c r="AC37" s="83"/>
      <c r="AD37" s="84"/>
      <c r="AE37" s="4" t="e">
        <f t="shared" si="5"/>
        <v>#DIV/0!</v>
      </c>
      <c r="AF37" s="83"/>
      <c r="AG37" s="84"/>
      <c r="AH37" s="4" t="e">
        <f t="shared" si="6"/>
        <v>#DIV/0!</v>
      </c>
      <c r="AI37" s="6"/>
      <c r="AJ37" s="6"/>
      <c r="AK37" s="4" t="e">
        <f t="shared" si="11"/>
        <v>#DIV/0!</v>
      </c>
      <c r="AL37" s="95">
        <f t="shared" si="12"/>
        <v>0</v>
      </c>
      <c r="AM37" s="95">
        <f t="shared" si="13"/>
        <v>0</v>
      </c>
      <c r="AN37" s="4" t="str">
        <f t="shared" si="14"/>
        <v/>
      </c>
      <c r="AO37" s="98" t="str">
        <f t="shared" si="15"/>
        <v>0</v>
      </c>
      <c r="AS37" s="2" t="s">
        <v>185</v>
      </c>
    </row>
    <row r="38" spans="1:45" x14ac:dyDescent="0.15">
      <c r="A38" s="77" t="s">
        <v>123</v>
      </c>
      <c r="B38" s="93">
        <f>[4]A07!$U$107+[4]A32!$V$71</f>
        <v>0</v>
      </c>
      <c r="C38" s="93">
        <f>'1,6 CN'!B38</f>
        <v>0</v>
      </c>
      <c r="D38" s="4" t="str">
        <f t="shared" si="7"/>
        <v/>
      </c>
      <c r="E38" s="93">
        <f>[5]A07!$U$107+[5]A32!$V$71</f>
        <v>0</v>
      </c>
      <c r="F38" s="93">
        <f>'1,6 CN'!E38</f>
        <v>0</v>
      </c>
      <c r="G38" s="4" t="str">
        <f t="shared" si="8"/>
        <v/>
      </c>
      <c r="H38" s="93">
        <f>[6]A07!$U$107+[6]A32!$V$71</f>
        <v>0</v>
      </c>
      <c r="I38" s="93">
        <f>'1,6 CN'!H38</f>
        <v>0</v>
      </c>
      <c r="J38" s="4" t="str">
        <f t="shared" si="9"/>
        <v/>
      </c>
      <c r="K38" s="93">
        <f>[7]A07!$U$107+[7]A32!$V$71</f>
        <v>0</v>
      </c>
      <c r="L38" s="93">
        <f>'1,6 CN'!K38</f>
        <v>0</v>
      </c>
      <c r="M38" s="4" t="str">
        <f t="shared" si="10"/>
        <v/>
      </c>
      <c r="N38" s="93">
        <f>[8]A07!$U$107+[8]A32!$V$71</f>
        <v>0</v>
      </c>
      <c r="O38" s="93">
        <f>'1,6 CN'!N38</f>
        <v>0</v>
      </c>
      <c r="P38" s="4" t="e">
        <f t="shared" si="0"/>
        <v>#DIV/0!</v>
      </c>
      <c r="Q38" s="83"/>
      <c r="R38" s="84"/>
      <c r="S38" s="4" t="e">
        <f t="shared" si="1"/>
        <v>#DIV/0!</v>
      </c>
      <c r="T38" s="83"/>
      <c r="U38" s="84"/>
      <c r="V38" s="4" t="e">
        <f t="shared" si="2"/>
        <v>#DIV/0!</v>
      </c>
      <c r="W38" s="83"/>
      <c r="X38" s="84"/>
      <c r="Y38" s="4" t="e">
        <f t="shared" si="3"/>
        <v>#DIV/0!</v>
      </c>
      <c r="Z38" s="83"/>
      <c r="AA38" s="84"/>
      <c r="AB38" s="4" t="e">
        <f t="shared" si="4"/>
        <v>#DIV/0!</v>
      </c>
      <c r="AC38" s="83"/>
      <c r="AD38" s="84"/>
      <c r="AE38" s="4" t="e">
        <f t="shared" si="5"/>
        <v>#DIV/0!</v>
      </c>
      <c r="AF38" s="83"/>
      <c r="AG38" s="84"/>
      <c r="AH38" s="4" t="e">
        <f t="shared" si="6"/>
        <v>#DIV/0!</v>
      </c>
      <c r="AI38" s="6"/>
      <c r="AJ38" s="6"/>
      <c r="AK38" s="4" t="e">
        <f t="shared" si="11"/>
        <v>#DIV/0!</v>
      </c>
      <c r="AL38" s="95">
        <f t="shared" si="12"/>
        <v>0</v>
      </c>
      <c r="AM38" s="95">
        <f t="shared" si="13"/>
        <v>0</v>
      </c>
      <c r="AN38" s="4" t="str">
        <f t="shared" si="14"/>
        <v/>
      </c>
      <c r="AO38" s="98" t="str">
        <f t="shared" si="15"/>
        <v>0</v>
      </c>
      <c r="AS38" s="2" t="s">
        <v>185</v>
      </c>
    </row>
    <row r="39" spans="1:45" x14ac:dyDescent="0.15">
      <c r="A39" s="77" t="s">
        <v>124</v>
      </c>
      <c r="B39" s="93">
        <f>[4]A07!$U$108+[4]A32!$V$72</f>
        <v>0</v>
      </c>
      <c r="C39" s="93">
        <f>'1,6 CN'!B39</f>
        <v>10</v>
      </c>
      <c r="D39" s="4">
        <f t="shared" si="7"/>
        <v>0</v>
      </c>
      <c r="E39" s="93">
        <f>[5]A07!$U$108+[5]A32!$V$72</f>
        <v>0</v>
      </c>
      <c r="F39" s="93">
        <f>'1,6 CN'!E39</f>
        <v>7</v>
      </c>
      <c r="G39" s="4">
        <f t="shared" si="8"/>
        <v>0</v>
      </c>
      <c r="H39" s="93">
        <f>[6]A07!$U$108+[6]A32!$V$72</f>
        <v>0</v>
      </c>
      <c r="I39" s="93">
        <f>'1,6 CN'!H39</f>
        <v>7</v>
      </c>
      <c r="J39" s="4">
        <f t="shared" si="9"/>
        <v>0</v>
      </c>
      <c r="K39" s="93">
        <f>[7]A07!$U$108+[7]A32!$V$72</f>
        <v>1</v>
      </c>
      <c r="L39" s="93">
        <f>'1,6 CN'!K39</f>
        <v>13</v>
      </c>
      <c r="M39" s="4">
        <f t="shared" si="10"/>
        <v>7.6923076923076927E-2</v>
      </c>
      <c r="N39" s="93">
        <f>[8]A07!$U$108+[8]A32!$V$72</f>
        <v>0</v>
      </c>
      <c r="O39" s="93">
        <f>'1,6 CN'!N39</f>
        <v>10</v>
      </c>
      <c r="P39" s="4">
        <f t="shared" si="0"/>
        <v>0</v>
      </c>
      <c r="Q39" s="83"/>
      <c r="R39" s="84"/>
      <c r="S39" s="4" t="e">
        <f t="shared" si="1"/>
        <v>#DIV/0!</v>
      </c>
      <c r="T39" s="83"/>
      <c r="U39" s="84"/>
      <c r="V39" s="4" t="e">
        <f t="shared" si="2"/>
        <v>#DIV/0!</v>
      </c>
      <c r="W39" s="83"/>
      <c r="X39" s="84"/>
      <c r="Y39" s="4" t="e">
        <f t="shared" si="3"/>
        <v>#DIV/0!</v>
      </c>
      <c r="Z39" s="83"/>
      <c r="AA39" s="84"/>
      <c r="AB39" s="4" t="e">
        <f t="shared" si="4"/>
        <v>#DIV/0!</v>
      </c>
      <c r="AC39" s="83"/>
      <c r="AD39" s="84"/>
      <c r="AE39" s="4" t="e">
        <f t="shared" si="5"/>
        <v>#DIV/0!</v>
      </c>
      <c r="AF39" s="83"/>
      <c r="AG39" s="84"/>
      <c r="AH39" s="4" t="e">
        <f t="shared" si="6"/>
        <v>#DIV/0!</v>
      </c>
      <c r="AI39" s="6"/>
      <c r="AJ39" s="6"/>
      <c r="AK39" s="4" t="e">
        <f t="shared" si="11"/>
        <v>#DIV/0!</v>
      </c>
      <c r="AL39" s="95">
        <f t="shared" si="12"/>
        <v>1</v>
      </c>
      <c r="AM39" s="95">
        <f t="shared" si="13"/>
        <v>47</v>
      </c>
      <c r="AN39" s="4">
        <f t="shared" si="14"/>
        <v>2.1276595744680851E-2</v>
      </c>
      <c r="AO39" s="98" t="str">
        <f t="shared" si="15"/>
        <v>1</v>
      </c>
      <c r="AS39" s="2" t="s">
        <v>185</v>
      </c>
    </row>
    <row r="40" spans="1:45" x14ac:dyDescent="0.15">
      <c r="A40" s="77" t="s">
        <v>125</v>
      </c>
      <c r="B40" s="93">
        <f>[4]A07!$U$109+[4]A32!$V$73</f>
        <v>0</v>
      </c>
      <c r="C40" s="93">
        <f>'1,6 CN'!B40</f>
        <v>0</v>
      </c>
      <c r="D40" s="4" t="str">
        <f t="shared" si="7"/>
        <v/>
      </c>
      <c r="E40" s="93">
        <f>[5]A07!$U$109+[5]A32!$V$73</f>
        <v>0</v>
      </c>
      <c r="F40" s="93">
        <f>'1,6 CN'!E40</f>
        <v>0</v>
      </c>
      <c r="G40" s="4" t="str">
        <f t="shared" si="8"/>
        <v/>
      </c>
      <c r="H40" s="93">
        <f>[6]A07!$U$109+[6]A32!$V$73</f>
        <v>0</v>
      </c>
      <c r="I40" s="93">
        <f>'1,6 CN'!H40</f>
        <v>0</v>
      </c>
      <c r="J40" s="4" t="str">
        <f t="shared" si="9"/>
        <v/>
      </c>
      <c r="K40" s="93">
        <f>[7]A07!$U$109+[7]A32!$V$73</f>
        <v>0</v>
      </c>
      <c r="L40" s="93">
        <f>'1,6 CN'!K40</f>
        <v>0</v>
      </c>
      <c r="M40" s="4" t="str">
        <f t="shared" si="10"/>
        <v/>
      </c>
      <c r="N40" s="93">
        <f>[8]A07!$U$109+[8]A32!$V$73</f>
        <v>0</v>
      </c>
      <c r="O40" s="93">
        <f>'1,6 CN'!N40</f>
        <v>0</v>
      </c>
      <c r="P40" s="4" t="e">
        <f t="shared" si="0"/>
        <v>#DIV/0!</v>
      </c>
      <c r="Q40" s="83"/>
      <c r="R40" s="84"/>
      <c r="S40" s="4" t="e">
        <f t="shared" si="1"/>
        <v>#DIV/0!</v>
      </c>
      <c r="T40" s="83"/>
      <c r="U40" s="84"/>
      <c r="V40" s="4" t="e">
        <f t="shared" si="2"/>
        <v>#DIV/0!</v>
      </c>
      <c r="W40" s="83"/>
      <c r="X40" s="84"/>
      <c r="Y40" s="4" t="e">
        <f t="shared" si="3"/>
        <v>#DIV/0!</v>
      </c>
      <c r="Z40" s="83"/>
      <c r="AA40" s="84"/>
      <c r="AB40" s="4" t="e">
        <f t="shared" si="4"/>
        <v>#DIV/0!</v>
      </c>
      <c r="AC40" s="83"/>
      <c r="AD40" s="84"/>
      <c r="AE40" s="4" t="e">
        <f t="shared" si="5"/>
        <v>#DIV/0!</v>
      </c>
      <c r="AF40" s="83"/>
      <c r="AG40" s="84"/>
      <c r="AH40" s="4" t="e">
        <f t="shared" si="6"/>
        <v>#DIV/0!</v>
      </c>
      <c r="AI40" s="6"/>
      <c r="AJ40" s="6"/>
      <c r="AK40" s="4" t="e">
        <f t="shared" si="11"/>
        <v>#DIV/0!</v>
      </c>
      <c r="AL40" s="95">
        <f t="shared" si="12"/>
        <v>0</v>
      </c>
      <c r="AM40" s="95">
        <f t="shared" si="13"/>
        <v>0</v>
      </c>
      <c r="AN40" s="4" t="str">
        <f t="shared" si="14"/>
        <v/>
      </c>
      <c r="AO40" s="98" t="str">
        <f t="shared" si="15"/>
        <v>0</v>
      </c>
      <c r="AS40" s="2" t="s">
        <v>185</v>
      </c>
    </row>
    <row r="41" spans="1:45" x14ac:dyDescent="0.15">
      <c r="A41" s="77" t="s">
        <v>126</v>
      </c>
      <c r="B41" s="93">
        <f>[4]A07!U110+[4]A32!V74</f>
        <v>0</v>
      </c>
      <c r="C41" s="93">
        <f>'1,6 CN'!B41</f>
        <v>0</v>
      </c>
      <c r="D41" s="4" t="str">
        <f t="shared" si="7"/>
        <v/>
      </c>
      <c r="E41" s="93">
        <f>[5]A07!X110+[5]A32!Y74</f>
        <v>0</v>
      </c>
      <c r="F41" s="93">
        <f>'1,6 CN'!E41</f>
        <v>0</v>
      </c>
      <c r="G41" s="4" t="str">
        <f t="shared" si="8"/>
        <v/>
      </c>
      <c r="H41" s="93">
        <f>[6]A07!AA110+[6]A32!AB74</f>
        <v>0</v>
      </c>
      <c r="I41" s="93">
        <f>'1,6 CN'!H41</f>
        <v>0</v>
      </c>
      <c r="J41" s="4" t="str">
        <f t="shared" si="9"/>
        <v/>
      </c>
      <c r="K41" s="93">
        <f>[7]A07!AD110+[7]A32!AE74</f>
        <v>0</v>
      </c>
      <c r="L41" s="93">
        <f>'1,6 CN'!K41</f>
        <v>0</v>
      </c>
      <c r="M41" s="4" t="str">
        <f t="shared" si="10"/>
        <v/>
      </c>
      <c r="N41" s="93">
        <f>[8]A07!AG110+[8]A32!AH74</f>
        <v>0</v>
      </c>
      <c r="O41" s="93">
        <f>'1,6 CN'!N41</f>
        <v>0</v>
      </c>
      <c r="P41" s="4" t="e">
        <f t="shared" si="0"/>
        <v>#DIV/0!</v>
      </c>
      <c r="Q41" s="83"/>
      <c r="R41" s="84"/>
      <c r="S41" s="4" t="e">
        <f t="shared" si="1"/>
        <v>#DIV/0!</v>
      </c>
      <c r="T41" s="83"/>
      <c r="U41" s="84"/>
      <c r="V41" s="4" t="e">
        <f t="shared" si="2"/>
        <v>#DIV/0!</v>
      </c>
      <c r="W41" s="83"/>
      <c r="X41" s="84"/>
      <c r="Y41" s="4" t="e">
        <f t="shared" si="3"/>
        <v>#DIV/0!</v>
      </c>
      <c r="Z41" s="83"/>
      <c r="AA41" s="84"/>
      <c r="AB41" s="4" t="e">
        <f t="shared" si="4"/>
        <v>#DIV/0!</v>
      </c>
      <c r="AC41" s="83"/>
      <c r="AD41" s="84"/>
      <c r="AE41" s="4" t="e">
        <f t="shared" si="5"/>
        <v>#DIV/0!</v>
      </c>
      <c r="AF41" s="83"/>
      <c r="AG41" s="84"/>
      <c r="AH41" s="4" t="e">
        <f t="shared" si="6"/>
        <v>#DIV/0!</v>
      </c>
      <c r="AI41" s="6"/>
      <c r="AJ41" s="6"/>
      <c r="AK41" s="4" t="e">
        <f t="shared" si="11"/>
        <v>#DIV/0!</v>
      </c>
      <c r="AL41" s="95">
        <f t="shared" si="12"/>
        <v>0</v>
      </c>
      <c r="AM41" s="95">
        <f t="shared" si="13"/>
        <v>0</v>
      </c>
      <c r="AN41" s="4" t="str">
        <f t="shared" si="14"/>
        <v/>
      </c>
      <c r="AO41" s="98" t="str">
        <f t="shared" si="15"/>
        <v>0</v>
      </c>
      <c r="AS41" s="2" t="s">
        <v>185</v>
      </c>
    </row>
    <row r="42" spans="1:45" x14ac:dyDescent="0.15">
      <c r="A42" s="77" t="s">
        <v>127</v>
      </c>
      <c r="B42" s="93">
        <f>[4]A07!$U$111+[4]A32!$V$75</f>
        <v>0</v>
      </c>
      <c r="C42" s="93">
        <f>'1,6 CN'!B42</f>
        <v>0</v>
      </c>
      <c r="D42" s="4" t="str">
        <f t="shared" si="7"/>
        <v/>
      </c>
      <c r="E42" s="93">
        <f>[5]A07!$U$111+[5]A32!$V$75</f>
        <v>0</v>
      </c>
      <c r="F42" s="93">
        <f>'1,6 CN'!E42</f>
        <v>0</v>
      </c>
      <c r="G42" s="4" t="str">
        <f t="shared" si="8"/>
        <v/>
      </c>
      <c r="H42" s="93">
        <f>[6]A07!$U$111+[6]A32!$V$75</f>
        <v>0</v>
      </c>
      <c r="I42" s="93">
        <f>'1,6 CN'!H42</f>
        <v>0</v>
      </c>
      <c r="J42" s="4" t="str">
        <f t="shared" si="9"/>
        <v/>
      </c>
      <c r="K42" s="93">
        <f>[7]A07!$U$111+[7]A32!$V$75</f>
        <v>0</v>
      </c>
      <c r="L42" s="93">
        <f>'1,6 CN'!K42</f>
        <v>0</v>
      </c>
      <c r="M42" s="4" t="str">
        <f t="shared" si="10"/>
        <v/>
      </c>
      <c r="N42" s="93">
        <f>[8]A07!$U$111+[8]A32!$V$75</f>
        <v>0</v>
      </c>
      <c r="O42" s="93">
        <f>'1,6 CN'!N42</f>
        <v>0</v>
      </c>
      <c r="P42" s="4" t="e">
        <f t="shared" si="0"/>
        <v>#DIV/0!</v>
      </c>
      <c r="Q42" s="83"/>
      <c r="R42" s="84"/>
      <c r="S42" s="4" t="e">
        <f t="shared" si="1"/>
        <v>#DIV/0!</v>
      </c>
      <c r="T42" s="83"/>
      <c r="U42" s="84"/>
      <c r="V42" s="4" t="e">
        <f t="shared" si="2"/>
        <v>#DIV/0!</v>
      </c>
      <c r="W42" s="83"/>
      <c r="X42" s="84"/>
      <c r="Y42" s="4" t="e">
        <f t="shared" si="3"/>
        <v>#DIV/0!</v>
      </c>
      <c r="Z42" s="83"/>
      <c r="AA42" s="84"/>
      <c r="AB42" s="4" t="e">
        <f t="shared" si="4"/>
        <v>#DIV/0!</v>
      </c>
      <c r="AC42" s="83"/>
      <c r="AD42" s="84"/>
      <c r="AE42" s="4" t="e">
        <f t="shared" si="5"/>
        <v>#DIV/0!</v>
      </c>
      <c r="AF42" s="83"/>
      <c r="AG42" s="84"/>
      <c r="AH42" s="4" t="e">
        <f t="shared" si="6"/>
        <v>#DIV/0!</v>
      </c>
      <c r="AI42" s="6"/>
      <c r="AJ42" s="6"/>
      <c r="AK42" s="4" t="e">
        <f t="shared" si="11"/>
        <v>#DIV/0!</v>
      </c>
      <c r="AL42" s="95">
        <f t="shared" si="12"/>
        <v>0</v>
      </c>
      <c r="AM42" s="95">
        <f t="shared" si="13"/>
        <v>0</v>
      </c>
      <c r="AN42" s="4" t="str">
        <f t="shared" si="14"/>
        <v/>
      </c>
      <c r="AO42" s="98" t="str">
        <f t="shared" si="15"/>
        <v>0</v>
      </c>
      <c r="AS42" s="2" t="s">
        <v>185</v>
      </c>
    </row>
    <row r="43" spans="1:45" x14ac:dyDescent="0.15">
      <c r="A43" s="77" t="s">
        <v>128</v>
      </c>
      <c r="B43" s="93">
        <f>[4]A07!$U$112+[4]A32!$V$76</f>
        <v>0</v>
      </c>
      <c r="C43" s="93">
        <f>'1,6 CN'!B43</f>
        <v>0</v>
      </c>
      <c r="D43" s="4" t="str">
        <f t="shared" si="7"/>
        <v/>
      </c>
      <c r="E43" s="93">
        <f>[5]A07!$U$112+[5]A32!$V$76</f>
        <v>0</v>
      </c>
      <c r="F43" s="93">
        <f>'1,6 CN'!E43</f>
        <v>0</v>
      </c>
      <c r="G43" s="4" t="str">
        <f t="shared" si="8"/>
        <v/>
      </c>
      <c r="H43" s="93">
        <f>[6]A07!$U$112+[6]A32!$V$76</f>
        <v>0</v>
      </c>
      <c r="I43" s="93">
        <f>'1,6 CN'!H43</f>
        <v>0</v>
      </c>
      <c r="J43" s="4" t="str">
        <f t="shared" si="9"/>
        <v/>
      </c>
      <c r="K43" s="93">
        <f>[7]A07!$U$112+[7]A32!$V$76</f>
        <v>0</v>
      </c>
      <c r="L43" s="93">
        <f>'1,6 CN'!K43</f>
        <v>0</v>
      </c>
      <c r="M43" s="4" t="str">
        <f t="shared" si="10"/>
        <v/>
      </c>
      <c r="N43" s="93">
        <f>[8]A07!$U$112+[8]A32!$V$76</f>
        <v>0</v>
      </c>
      <c r="O43" s="93">
        <f>'1,6 CN'!N43</f>
        <v>0</v>
      </c>
      <c r="P43" s="4" t="e">
        <f t="shared" si="0"/>
        <v>#DIV/0!</v>
      </c>
      <c r="Q43" s="83"/>
      <c r="R43" s="84"/>
      <c r="S43" s="4" t="e">
        <f t="shared" si="1"/>
        <v>#DIV/0!</v>
      </c>
      <c r="T43" s="83"/>
      <c r="U43" s="84"/>
      <c r="V43" s="4" t="e">
        <f t="shared" si="2"/>
        <v>#DIV/0!</v>
      </c>
      <c r="W43" s="83"/>
      <c r="X43" s="84"/>
      <c r="Y43" s="4" t="e">
        <f t="shared" si="3"/>
        <v>#DIV/0!</v>
      </c>
      <c r="Z43" s="83"/>
      <c r="AA43" s="84"/>
      <c r="AB43" s="4" t="e">
        <f t="shared" si="4"/>
        <v>#DIV/0!</v>
      </c>
      <c r="AC43" s="83"/>
      <c r="AD43" s="84"/>
      <c r="AE43" s="4" t="e">
        <f t="shared" si="5"/>
        <v>#DIV/0!</v>
      </c>
      <c r="AF43" s="83"/>
      <c r="AG43" s="84"/>
      <c r="AH43" s="4" t="e">
        <f t="shared" si="6"/>
        <v>#DIV/0!</v>
      </c>
      <c r="AI43" s="6"/>
      <c r="AJ43" s="6"/>
      <c r="AK43" s="4" t="e">
        <f t="shared" si="11"/>
        <v>#DIV/0!</v>
      </c>
      <c r="AL43" s="95">
        <f t="shared" si="12"/>
        <v>0</v>
      </c>
      <c r="AM43" s="95">
        <f t="shared" si="13"/>
        <v>0</v>
      </c>
      <c r="AN43" s="4" t="str">
        <f t="shared" si="14"/>
        <v/>
      </c>
      <c r="AO43" s="98" t="str">
        <f t="shared" si="15"/>
        <v>0</v>
      </c>
      <c r="AS43" s="2" t="s">
        <v>185</v>
      </c>
    </row>
    <row r="44" spans="1:45" x14ac:dyDescent="0.15">
      <c r="A44" s="76" t="s">
        <v>129</v>
      </c>
      <c r="B44" s="93">
        <f>[4]A07!$U$113+[4]A32!$V$77</f>
        <v>7</v>
      </c>
      <c r="C44" s="93">
        <f>'1,6 CN'!B44</f>
        <v>72</v>
      </c>
      <c r="D44" s="4">
        <f t="shared" si="7"/>
        <v>9.7222222222222224E-2</v>
      </c>
      <c r="E44" s="93">
        <f>[5]A07!$U$113+[5]A32!$V$77</f>
        <v>4</v>
      </c>
      <c r="F44" s="93">
        <f>'1,6 CN'!E44</f>
        <v>43</v>
      </c>
      <c r="G44" s="4">
        <f t="shared" si="8"/>
        <v>9.3023255813953487E-2</v>
      </c>
      <c r="H44" s="93">
        <f>[6]A07!$U$113+[6]A32!$V$77</f>
        <v>7</v>
      </c>
      <c r="I44" s="93">
        <f>'1,6 CN'!H44</f>
        <v>64</v>
      </c>
      <c r="J44" s="4">
        <f t="shared" si="9"/>
        <v>0.109375</v>
      </c>
      <c r="K44" s="93">
        <f>[7]A07!$U$113+[7]A32!$V$77</f>
        <v>1</v>
      </c>
      <c r="L44" s="93">
        <f>'1,6 CN'!K44</f>
        <v>30</v>
      </c>
      <c r="M44" s="4">
        <f t="shared" si="10"/>
        <v>3.3333333333333333E-2</v>
      </c>
      <c r="N44" s="93">
        <f>[8]A07!$U$113+[8]A32!$V$77</f>
        <v>1</v>
      </c>
      <c r="O44" s="93">
        <f>'1,6 CN'!N44</f>
        <v>40</v>
      </c>
      <c r="P44" s="4">
        <f t="shared" si="0"/>
        <v>2.5000000000000001E-2</v>
      </c>
      <c r="Q44" s="83"/>
      <c r="R44" s="84"/>
      <c r="S44" s="4" t="e">
        <f t="shared" si="1"/>
        <v>#DIV/0!</v>
      </c>
      <c r="T44" s="83"/>
      <c r="U44" s="84"/>
      <c r="V44" s="4" t="e">
        <f t="shared" si="2"/>
        <v>#DIV/0!</v>
      </c>
      <c r="W44" s="83"/>
      <c r="X44" s="84"/>
      <c r="Y44" s="4" t="e">
        <f t="shared" si="3"/>
        <v>#DIV/0!</v>
      </c>
      <c r="Z44" s="83"/>
      <c r="AA44" s="84"/>
      <c r="AB44" s="4" t="e">
        <f t="shared" si="4"/>
        <v>#DIV/0!</v>
      </c>
      <c r="AC44" s="83"/>
      <c r="AD44" s="84"/>
      <c r="AE44" s="4" t="e">
        <f t="shared" si="5"/>
        <v>#DIV/0!</v>
      </c>
      <c r="AF44" s="83"/>
      <c r="AG44" s="84"/>
      <c r="AH44" s="4" t="e">
        <f t="shared" si="6"/>
        <v>#DIV/0!</v>
      </c>
      <c r="AI44" s="6"/>
      <c r="AJ44" s="6"/>
      <c r="AK44" s="4" t="e">
        <f t="shared" si="11"/>
        <v>#DIV/0!</v>
      </c>
      <c r="AL44" s="95">
        <f t="shared" si="12"/>
        <v>20</v>
      </c>
      <c r="AM44" s="95">
        <f t="shared" si="13"/>
        <v>249</v>
      </c>
      <c r="AN44" s="4">
        <f t="shared" si="14"/>
        <v>8.0321285140562249E-2</v>
      </c>
      <c r="AO44" s="98" t="str">
        <f t="shared" si="15"/>
        <v>1</v>
      </c>
      <c r="AS44" s="2" t="s">
        <v>185</v>
      </c>
    </row>
    <row r="45" spans="1:45" x14ac:dyDescent="0.15">
      <c r="A45" s="82" t="s">
        <v>130</v>
      </c>
      <c r="B45" s="93">
        <f>[4]A07!$U$114+[4]A32!$V$78</f>
        <v>69</v>
      </c>
      <c r="C45" s="93">
        <f>'1,6 CN'!B45</f>
        <v>258</v>
      </c>
      <c r="D45" s="4">
        <f t="shared" si="7"/>
        <v>0.26744186046511625</v>
      </c>
      <c r="E45" s="93">
        <f>[5]A07!$U$114+[5]A32!$V$78</f>
        <v>39</v>
      </c>
      <c r="F45" s="93">
        <f>'1,6 CN'!E45</f>
        <v>162</v>
      </c>
      <c r="G45" s="4">
        <f t="shared" si="8"/>
        <v>0.24074074074074073</v>
      </c>
      <c r="H45" s="93">
        <f>[6]A07!$U$114+[6]A32!$V$78</f>
        <v>35</v>
      </c>
      <c r="I45" s="93">
        <f>'1,6 CN'!H45</f>
        <v>241</v>
      </c>
      <c r="J45" s="4">
        <f t="shared" si="9"/>
        <v>0.14522821576763487</v>
      </c>
      <c r="K45" s="93">
        <f>[7]A07!$U$114+[7]A32!$V$78</f>
        <v>29</v>
      </c>
      <c r="L45" s="93">
        <f>'1,6 CN'!K45</f>
        <v>211</v>
      </c>
      <c r="M45" s="4">
        <f t="shared" si="10"/>
        <v>0.13744075829383887</v>
      </c>
      <c r="N45" s="93">
        <f>[8]A07!$U$114+[8]A32!$V$78</f>
        <v>18</v>
      </c>
      <c r="O45" s="93">
        <f>'1,6 CN'!N45</f>
        <v>195</v>
      </c>
      <c r="P45" s="4">
        <f t="shared" si="0"/>
        <v>9.2307692307692313E-2</v>
      </c>
      <c r="Q45" s="83"/>
      <c r="R45" s="84"/>
      <c r="S45" s="4" t="e">
        <f t="shared" si="1"/>
        <v>#DIV/0!</v>
      </c>
      <c r="T45" s="83"/>
      <c r="U45" s="84"/>
      <c r="V45" s="4" t="e">
        <f t="shared" si="2"/>
        <v>#DIV/0!</v>
      </c>
      <c r="W45" s="83"/>
      <c r="X45" s="84"/>
      <c r="Y45" s="4" t="e">
        <f t="shared" si="3"/>
        <v>#DIV/0!</v>
      </c>
      <c r="Z45" s="83"/>
      <c r="AA45" s="84"/>
      <c r="AB45" s="4" t="e">
        <f t="shared" si="4"/>
        <v>#DIV/0!</v>
      </c>
      <c r="AC45" s="83"/>
      <c r="AD45" s="84"/>
      <c r="AE45" s="4" t="e">
        <f t="shared" si="5"/>
        <v>#DIV/0!</v>
      </c>
      <c r="AF45" s="83"/>
      <c r="AG45" s="84"/>
      <c r="AH45" s="4" t="e">
        <f t="shared" si="6"/>
        <v>#DIV/0!</v>
      </c>
      <c r="AI45" s="6"/>
      <c r="AJ45" s="6"/>
      <c r="AK45" s="4" t="e">
        <f t="shared" si="11"/>
        <v>#DIV/0!</v>
      </c>
      <c r="AL45" s="95">
        <f t="shared" si="12"/>
        <v>190</v>
      </c>
      <c r="AM45" s="95">
        <f t="shared" si="13"/>
        <v>1067</v>
      </c>
      <c r="AN45" s="4">
        <f t="shared" si="14"/>
        <v>0.17806935332708529</v>
      </c>
      <c r="AO45" s="98" t="str">
        <f t="shared" si="15"/>
        <v>0</v>
      </c>
      <c r="AS45" s="2" t="s">
        <v>185</v>
      </c>
    </row>
    <row r="46" spans="1:45" x14ac:dyDescent="0.15">
      <c r="A46" s="82" t="s">
        <v>131</v>
      </c>
      <c r="B46" s="93">
        <f>[4]A07!$U$115+[4]A32!$V$79</f>
        <v>0</v>
      </c>
      <c r="C46" s="93">
        <f>'1,6 CN'!B46</f>
        <v>0</v>
      </c>
      <c r="D46" s="4" t="str">
        <f t="shared" si="7"/>
        <v/>
      </c>
      <c r="E46" s="93">
        <f>[5]A07!$U$115+[5]A32!$V$79</f>
        <v>0</v>
      </c>
      <c r="F46" s="93">
        <f>'1,6 CN'!E46</f>
        <v>0</v>
      </c>
      <c r="G46" s="4" t="str">
        <f t="shared" si="8"/>
        <v/>
      </c>
      <c r="H46" s="93">
        <f>[6]A07!$U$115+[6]A32!$V$79</f>
        <v>0</v>
      </c>
      <c r="I46" s="93">
        <f>'1,6 CN'!H46</f>
        <v>0</v>
      </c>
      <c r="J46" s="4" t="str">
        <f t="shared" si="9"/>
        <v/>
      </c>
      <c r="K46" s="93">
        <f>[7]A07!$U$115+[7]A32!$V$79</f>
        <v>0</v>
      </c>
      <c r="L46" s="93">
        <f>'1,6 CN'!K46</f>
        <v>0</v>
      </c>
      <c r="M46" s="4" t="str">
        <f t="shared" si="10"/>
        <v/>
      </c>
      <c r="N46" s="93">
        <f>[8]A07!$U$115+[8]A32!$V$79</f>
        <v>0</v>
      </c>
      <c r="O46" s="93">
        <f>'1,6 CN'!N46</f>
        <v>0</v>
      </c>
      <c r="P46" s="4" t="e">
        <f t="shared" si="0"/>
        <v>#DIV/0!</v>
      </c>
      <c r="Q46" s="83"/>
      <c r="R46" s="84"/>
      <c r="S46" s="4" t="e">
        <f t="shared" si="1"/>
        <v>#DIV/0!</v>
      </c>
      <c r="T46" s="83"/>
      <c r="U46" s="84"/>
      <c r="V46" s="4" t="e">
        <f t="shared" si="2"/>
        <v>#DIV/0!</v>
      </c>
      <c r="W46" s="83"/>
      <c r="X46" s="84"/>
      <c r="Y46" s="4" t="e">
        <f t="shared" si="3"/>
        <v>#DIV/0!</v>
      </c>
      <c r="Z46" s="83"/>
      <c r="AA46" s="84"/>
      <c r="AB46" s="4" t="e">
        <f t="shared" si="4"/>
        <v>#DIV/0!</v>
      </c>
      <c r="AC46" s="83"/>
      <c r="AD46" s="84"/>
      <c r="AE46" s="4" t="e">
        <f t="shared" si="5"/>
        <v>#DIV/0!</v>
      </c>
      <c r="AF46" s="83"/>
      <c r="AG46" s="84"/>
      <c r="AH46" s="4" t="e">
        <f t="shared" si="6"/>
        <v>#DIV/0!</v>
      </c>
      <c r="AI46" s="6"/>
      <c r="AJ46" s="6"/>
      <c r="AK46" s="4" t="e">
        <f t="shared" si="11"/>
        <v>#DIV/0!</v>
      </c>
      <c r="AL46" s="95">
        <f t="shared" si="12"/>
        <v>0</v>
      </c>
      <c r="AM46" s="95">
        <f t="shared" si="13"/>
        <v>0</v>
      </c>
      <c r="AN46" s="4" t="str">
        <f t="shared" si="14"/>
        <v/>
      </c>
      <c r="AO46" s="98" t="str">
        <f t="shared" si="15"/>
        <v>0</v>
      </c>
      <c r="AS46" s="2" t="s">
        <v>185</v>
      </c>
    </row>
    <row r="47" spans="1:45" x14ac:dyDescent="0.2">
      <c r="A47" s="79" t="s">
        <v>132</v>
      </c>
      <c r="B47" s="93">
        <f>[4]A07!$U$116+[4]A32!$V$80</f>
        <v>0</v>
      </c>
      <c r="C47" s="93">
        <f>'1,6 CN'!B47</f>
        <v>0</v>
      </c>
      <c r="D47" s="4" t="str">
        <f t="shared" si="7"/>
        <v/>
      </c>
      <c r="E47" s="93">
        <f>[5]A07!$U$116+[5]A32!$V$80</f>
        <v>0</v>
      </c>
      <c r="F47" s="93">
        <f>'1,6 CN'!E47</f>
        <v>0</v>
      </c>
      <c r="G47" s="4" t="str">
        <f t="shared" si="8"/>
        <v/>
      </c>
      <c r="H47" s="93">
        <f>[6]A07!$U$116+[6]A32!$V$80</f>
        <v>0</v>
      </c>
      <c r="I47" s="93">
        <f>'1,6 CN'!H47</f>
        <v>0</v>
      </c>
      <c r="J47" s="4" t="str">
        <f t="shared" si="9"/>
        <v/>
      </c>
      <c r="K47" s="93">
        <f>[7]A07!$U$116+[7]A32!$V$80</f>
        <v>0</v>
      </c>
      <c r="L47" s="93">
        <f>'1,6 CN'!K47</f>
        <v>0</v>
      </c>
      <c r="M47" s="4" t="str">
        <f t="shared" si="10"/>
        <v/>
      </c>
      <c r="N47" s="93">
        <f>[8]A07!$U$116+[8]A32!$V$80</f>
        <v>0</v>
      </c>
      <c r="O47" s="93">
        <f>'1,6 CN'!N47</f>
        <v>0</v>
      </c>
      <c r="P47" s="4" t="e">
        <f t="shared" si="0"/>
        <v>#DIV/0!</v>
      </c>
      <c r="Q47" s="83"/>
      <c r="R47" s="84"/>
      <c r="S47" s="4" t="e">
        <f t="shared" si="1"/>
        <v>#DIV/0!</v>
      </c>
      <c r="T47" s="83"/>
      <c r="U47" s="84"/>
      <c r="V47" s="4" t="e">
        <f t="shared" si="2"/>
        <v>#DIV/0!</v>
      </c>
      <c r="W47" s="83"/>
      <c r="X47" s="84"/>
      <c r="Y47" s="4" t="e">
        <f t="shared" si="3"/>
        <v>#DIV/0!</v>
      </c>
      <c r="Z47" s="83"/>
      <c r="AA47" s="84"/>
      <c r="AB47" s="4" t="e">
        <f t="shared" si="4"/>
        <v>#DIV/0!</v>
      </c>
      <c r="AC47" s="83"/>
      <c r="AD47" s="84"/>
      <c r="AE47" s="4" t="e">
        <f t="shared" si="5"/>
        <v>#DIV/0!</v>
      </c>
      <c r="AF47" s="83"/>
      <c r="AG47" s="84"/>
      <c r="AH47" s="4" t="e">
        <f t="shared" si="6"/>
        <v>#DIV/0!</v>
      </c>
      <c r="AI47" s="6"/>
      <c r="AJ47" s="6"/>
      <c r="AK47" s="4" t="e">
        <f t="shared" si="11"/>
        <v>#DIV/0!</v>
      </c>
      <c r="AL47" s="95">
        <f t="shared" si="12"/>
        <v>0</v>
      </c>
      <c r="AM47" s="95">
        <f t="shared" si="13"/>
        <v>0</v>
      </c>
      <c r="AN47" s="4" t="str">
        <f t="shared" si="14"/>
        <v/>
      </c>
      <c r="AO47" s="98" t="str">
        <f t="shared" si="15"/>
        <v>0</v>
      </c>
      <c r="AS47" s="2" t="s">
        <v>185</v>
      </c>
    </row>
    <row r="48" spans="1:45" x14ac:dyDescent="0.15">
      <c r="A48" s="77" t="s">
        <v>133</v>
      </c>
      <c r="B48" s="93">
        <f>[4]A07!$U$117+[4]A32!$V$81</f>
        <v>73</v>
      </c>
      <c r="C48" s="93">
        <f>'1,6 CN'!B48</f>
        <v>378</v>
      </c>
      <c r="D48" s="4">
        <f t="shared" si="7"/>
        <v>0.19312169312169311</v>
      </c>
      <c r="E48" s="93">
        <f>[5]A07!$U$117+[5]A32!$V$81</f>
        <v>51</v>
      </c>
      <c r="F48" s="93">
        <f>'1,6 CN'!E48</f>
        <v>327</v>
      </c>
      <c r="G48" s="4">
        <f t="shared" si="8"/>
        <v>0.15596330275229359</v>
      </c>
      <c r="H48" s="93">
        <f>[6]A07!$U$117+[6]A32!$V$81</f>
        <v>51</v>
      </c>
      <c r="I48" s="93">
        <f>'1,6 CN'!H48</f>
        <v>324</v>
      </c>
      <c r="J48" s="4">
        <f t="shared" si="9"/>
        <v>0.15740740740740741</v>
      </c>
      <c r="K48" s="93">
        <f>[7]A07!$U$117+[7]A32!$V$81</f>
        <v>21</v>
      </c>
      <c r="L48" s="93">
        <f>'1,6 CN'!K48</f>
        <v>244</v>
      </c>
      <c r="M48" s="4">
        <f t="shared" si="10"/>
        <v>8.6065573770491802E-2</v>
      </c>
      <c r="N48" s="93">
        <f>[8]A07!$U$117+[8]A32!$V$81</f>
        <v>14</v>
      </c>
      <c r="O48" s="93">
        <f>'1,6 CN'!N48</f>
        <v>120</v>
      </c>
      <c r="P48" s="4">
        <f t="shared" si="0"/>
        <v>0.11666666666666667</v>
      </c>
      <c r="Q48" s="83"/>
      <c r="R48" s="84"/>
      <c r="S48" s="4" t="e">
        <f t="shared" si="1"/>
        <v>#DIV/0!</v>
      </c>
      <c r="T48" s="83"/>
      <c r="U48" s="84"/>
      <c r="V48" s="4" t="e">
        <f t="shared" si="2"/>
        <v>#DIV/0!</v>
      </c>
      <c r="W48" s="83"/>
      <c r="X48" s="84"/>
      <c r="Y48" s="4" t="e">
        <f t="shared" si="3"/>
        <v>#DIV/0!</v>
      </c>
      <c r="Z48" s="83"/>
      <c r="AA48" s="84"/>
      <c r="AB48" s="4" t="e">
        <f t="shared" si="4"/>
        <v>#DIV/0!</v>
      </c>
      <c r="AC48" s="83"/>
      <c r="AD48" s="84"/>
      <c r="AE48" s="4" t="e">
        <f t="shared" si="5"/>
        <v>#DIV/0!</v>
      </c>
      <c r="AF48" s="83"/>
      <c r="AG48" s="84"/>
      <c r="AH48" s="4" t="e">
        <f t="shared" si="6"/>
        <v>#DIV/0!</v>
      </c>
      <c r="AI48" s="6"/>
      <c r="AJ48" s="6"/>
      <c r="AK48" s="4" t="e">
        <f t="shared" si="11"/>
        <v>#DIV/0!</v>
      </c>
      <c r="AL48" s="95">
        <f t="shared" si="12"/>
        <v>210</v>
      </c>
      <c r="AM48" s="95">
        <f t="shared" si="13"/>
        <v>1393</v>
      </c>
      <c r="AN48" s="4">
        <f t="shared" si="14"/>
        <v>0.15075376884422109</v>
      </c>
      <c r="AO48" s="98" t="str">
        <f t="shared" si="15"/>
        <v>0</v>
      </c>
      <c r="AS48" s="2" t="s">
        <v>185</v>
      </c>
    </row>
    <row r="49" spans="1:46" x14ac:dyDescent="0.15">
      <c r="A49" s="77" t="s">
        <v>134</v>
      </c>
      <c r="B49" s="93">
        <f>[4]A07!$U$118+[4]A32!$V$82</f>
        <v>8</v>
      </c>
      <c r="C49" s="93">
        <f>'1,6 CN'!B49</f>
        <v>43</v>
      </c>
      <c r="D49" s="4">
        <f t="shared" si="7"/>
        <v>0.18604651162790697</v>
      </c>
      <c r="E49" s="93">
        <f>[5]A07!$U$118+[5]A32!$V$82</f>
        <v>7</v>
      </c>
      <c r="F49" s="93">
        <f>'1,6 CN'!E49</f>
        <v>43</v>
      </c>
      <c r="G49" s="4">
        <f t="shared" si="8"/>
        <v>0.16279069767441862</v>
      </c>
      <c r="H49" s="93">
        <f>[6]A07!$U$118+[6]A32!$V$82</f>
        <v>9</v>
      </c>
      <c r="I49" s="93">
        <f>'1,6 CN'!H49</f>
        <v>60</v>
      </c>
      <c r="J49" s="4">
        <f t="shared" si="9"/>
        <v>0.15</v>
      </c>
      <c r="K49" s="93">
        <f>[7]A07!$U$118+[7]A32!$V$82</f>
        <v>10</v>
      </c>
      <c r="L49" s="93">
        <f>'1,6 CN'!K49</f>
        <v>57</v>
      </c>
      <c r="M49" s="4">
        <f t="shared" si="10"/>
        <v>0.17543859649122806</v>
      </c>
      <c r="N49" s="93">
        <f>[8]A07!$U$118+[8]A32!$V$82</f>
        <v>4</v>
      </c>
      <c r="O49" s="93">
        <f>'1,6 CN'!N49</f>
        <v>53</v>
      </c>
      <c r="P49" s="4">
        <f t="shared" si="0"/>
        <v>7.5471698113207544E-2</v>
      </c>
      <c r="Q49" s="83"/>
      <c r="R49" s="84"/>
      <c r="S49" s="4" t="e">
        <f t="shared" si="1"/>
        <v>#DIV/0!</v>
      </c>
      <c r="T49" s="83"/>
      <c r="U49" s="84"/>
      <c r="V49" s="4" t="e">
        <f t="shared" si="2"/>
        <v>#DIV/0!</v>
      </c>
      <c r="W49" s="83"/>
      <c r="X49" s="84"/>
      <c r="Y49" s="4" t="e">
        <f t="shared" si="3"/>
        <v>#DIV/0!</v>
      </c>
      <c r="Z49" s="83"/>
      <c r="AA49" s="84"/>
      <c r="AB49" s="4" t="e">
        <f t="shared" si="4"/>
        <v>#DIV/0!</v>
      </c>
      <c r="AC49" s="83"/>
      <c r="AD49" s="84"/>
      <c r="AE49" s="4" t="e">
        <f t="shared" si="5"/>
        <v>#DIV/0!</v>
      </c>
      <c r="AF49" s="83"/>
      <c r="AG49" s="84"/>
      <c r="AH49" s="4" t="e">
        <f t="shared" si="6"/>
        <v>#DIV/0!</v>
      </c>
      <c r="AI49" s="6"/>
      <c r="AJ49" s="6"/>
      <c r="AK49" s="4" t="e">
        <f t="shared" si="11"/>
        <v>#DIV/0!</v>
      </c>
      <c r="AL49" s="95">
        <f t="shared" si="12"/>
        <v>38</v>
      </c>
      <c r="AM49" s="95">
        <f t="shared" si="13"/>
        <v>256</v>
      </c>
      <c r="AN49" s="4">
        <f t="shared" si="14"/>
        <v>0.1484375</v>
      </c>
      <c r="AO49" s="98" t="str">
        <f t="shared" si="15"/>
        <v>0</v>
      </c>
      <c r="AS49" s="2" t="s">
        <v>185</v>
      </c>
    </row>
    <row r="50" spans="1:46" x14ac:dyDescent="0.15">
      <c r="A50" s="77" t="s">
        <v>135</v>
      </c>
      <c r="B50" s="93">
        <f>[4]A07!$U$119+[4]A32!$V$83</f>
        <v>28</v>
      </c>
      <c r="C50" s="93">
        <f>'1,6 CN'!B50</f>
        <v>132</v>
      </c>
      <c r="D50" s="4">
        <f t="shared" si="7"/>
        <v>0.21212121212121213</v>
      </c>
      <c r="E50" s="93">
        <f>[5]A07!$U$119+[5]A32!$V$83</f>
        <v>21</v>
      </c>
      <c r="F50" s="93">
        <f>'1,6 CN'!E50</f>
        <v>100</v>
      </c>
      <c r="G50" s="4">
        <f t="shared" si="8"/>
        <v>0.21</v>
      </c>
      <c r="H50" s="93">
        <f>[6]A07!$U$119+[6]A32!$V$83</f>
        <v>20</v>
      </c>
      <c r="I50" s="93">
        <f>'1,6 CN'!H50</f>
        <v>160</v>
      </c>
      <c r="J50" s="4">
        <f t="shared" si="9"/>
        <v>0.125</v>
      </c>
      <c r="K50" s="93">
        <f>[7]A07!$U$119+[7]A32!$V$83</f>
        <v>10</v>
      </c>
      <c r="L50" s="93">
        <f>'1,6 CN'!K50</f>
        <v>118</v>
      </c>
      <c r="M50" s="4">
        <f t="shared" si="10"/>
        <v>8.4745762711864403E-2</v>
      </c>
      <c r="N50" s="93">
        <f>[8]A07!$U$119+[8]A32!$V$83</f>
        <v>13</v>
      </c>
      <c r="O50" s="93">
        <f>'1,6 CN'!N50</f>
        <v>100</v>
      </c>
      <c r="P50" s="4">
        <f t="shared" si="0"/>
        <v>0.13</v>
      </c>
      <c r="Q50" s="83"/>
      <c r="R50" s="84"/>
      <c r="S50" s="4" t="e">
        <f t="shared" si="1"/>
        <v>#DIV/0!</v>
      </c>
      <c r="T50" s="83"/>
      <c r="U50" s="84"/>
      <c r="V50" s="4" t="e">
        <f t="shared" si="2"/>
        <v>#DIV/0!</v>
      </c>
      <c r="W50" s="83"/>
      <c r="X50" s="84"/>
      <c r="Y50" s="4" t="e">
        <f t="shared" si="3"/>
        <v>#DIV/0!</v>
      </c>
      <c r="Z50" s="83"/>
      <c r="AA50" s="84"/>
      <c r="AB50" s="4" t="e">
        <f t="shared" si="4"/>
        <v>#DIV/0!</v>
      </c>
      <c r="AC50" s="83"/>
      <c r="AD50" s="84"/>
      <c r="AE50" s="4" t="e">
        <f t="shared" si="5"/>
        <v>#DIV/0!</v>
      </c>
      <c r="AF50" s="83"/>
      <c r="AG50" s="84"/>
      <c r="AH50" s="4" t="e">
        <f t="shared" si="6"/>
        <v>#DIV/0!</v>
      </c>
      <c r="AI50" s="6"/>
      <c r="AJ50" s="6"/>
      <c r="AK50" s="4" t="e">
        <f t="shared" si="11"/>
        <v>#DIV/0!</v>
      </c>
      <c r="AL50" s="95">
        <f t="shared" si="12"/>
        <v>92</v>
      </c>
      <c r="AM50" s="95">
        <f t="shared" si="13"/>
        <v>610</v>
      </c>
      <c r="AN50" s="4">
        <f t="shared" si="14"/>
        <v>0.15081967213114755</v>
      </c>
      <c r="AO50" s="98" t="str">
        <f t="shared" si="15"/>
        <v>0</v>
      </c>
      <c r="AS50" s="2" t="s">
        <v>185</v>
      </c>
    </row>
    <row r="51" spans="1:46" x14ac:dyDescent="0.15">
      <c r="A51" s="77" t="s">
        <v>136</v>
      </c>
      <c r="B51" s="93">
        <f>[4]A07!$U$120+[4]A32!$V$84</f>
        <v>10</v>
      </c>
      <c r="C51" s="93">
        <f>'1,6 CN'!B51</f>
        <v>59</v>
      </c>
      <c r="D51" s="4">
        <f t="shared" si="7"/>
        <v>0.16949152542372881</v>
      </c>
      <c r="E51" s="93">
        <f>[5]A07!$U$120+[5]A32!$V$84</f>
        <v>9</v>
      </c>
      <c r="F51" s="93">
        <f>'1,6 CN'!E51</f>
        <v>29</v>
      </c>
      <c r="G51" s="4">
        <f t="shared" si="8"/>
        <v>0.31034482758620691</v>
      </c>
      <c r="H51" s="93">
        <f>[6]A07!$U$120+[6]A32!$V$84</f>
        <v>2</v>
      </c>
      <c r="I51" s="93">
        <f>'1,6 CN'!H51</f>
        <v>38</v>
      </c>
      <c r="J51" s="4">
        <f t="shared" si="9"/>
        <v>5.2631578947368418E-2</v>
      </c>
      <c r="K51" s="93">
        <f>[7]A07!$U$120+[7]A32!$V$84</f>
        <v>5</v>
      </c>
      <c r="L51" s="93">
        <f>'1,6 CN'!K51</f>
        <v>28</v>
      </c>
      <c r="M51" s="4">
        <f t="shared" si="10"/>
        <v>0.17857142857142858</v>
      </c>
      <c r="N51" s="93">
        <f>[8]A07!$U$120+[8]A32!$V$84</f>
        <v>4</v>
      </c>
      <c r="O51" s="93">
        <f>'1,6 CN'!N51</f>
        <v>34</v>
      </c>
      <c r="P51" s="4">
        <f t="shared" si="0"/>
        <v>0.11764705882352941</v>
      </c>
      <c r="Q51" s="83"/>
      <c r="R51" s="84"/>
      <c r="S51" s="4" t="e">
        <f t="shared" si="1"/>
        <v>#DIV/0!</v>
      </c>
      <c r="T51" s="83"/>
      <c r="U51" s="84"/>
      <c r="V51" s="4" t="e">
        <f t="shared" si="2"/>
        <v>#DIV/0!</v>
      </c>
      <c r="W51" s="83"/>
      <c r="X51" s="84"/>
      <c r="Y51" s="4" t="e">
        <f t="shared" si="3"/>
        <v>#DIV/0!</v>
      </c>
      <c r="Z51" s="83"/>
      <c r="AA51" s="84"/>
      <c r="AB51" s="4" t="e">
        <f t="shared" si="4"/>
        <v>#DIV/0!</v>
      </c>
      <c r="AC51" s="83"/>
      <c r="AD51" s="84"/>
      <c r="AE51" s="4" t="e">
        <f t="shared" si="5"/>
        <v>#DIV/0!</v>
      </c>
      <c r="AF51" s="83"/>
      <c r="AG51" s="84"/>
      <c r="AH51" s="4" t="e">
        <f t="shared" si="6"/>
        <v>#DIV/0!</v>
      </c>
      <c r="AI51" s="6"/>
      <c r="AJ51" s="6"/>
      <c r="AK51" s="4" t="e">
        <f t="shared" si="11"/>
        <v>#DIV/0!</v>
      </c>
      <c r="AL51" s="95">
        <f t="shared" si="12"/>
        <v>30</v>
      </c>
      <c r="AM51" s="95">
        <f t="shared" si="13"/>
        <v>188</v>
      </c>
      <c r="AN51" s="4">
        <f t="shared" si="14"/>
        <v>0.15957446808510639</v>
      </c>
      <c r="AO51" s="98" t="str">
        <f t="shared" si="15"/>
        <v>0</v>
      </c>
      <c r="AS51" s="2" t="s">
        <v>185</v>
      </c>
    </row>
    <row r="52" spans="1:46" x14ac:dyDescent="0.15">
      <c r="A52" s="77" t="s">
        <v>137</v>
      </c>
      <c r="B52" s="93">
        <f>[4]A07!$U$121+[4]A32!$V$85</f>
        <v>0</v>
      </c>
      <c r="C52" s="93">
        <f>'1,6 CN'!B52</f>
        <v>0</v>
      </c>
      <c r="D52" s="4" t="str">
        <f t="shared" si="7"/>
        <v/>
      </c>
      <c r="E52" s="93">
        <f>[5]A07!$U$121+[5]A32!$V$85</f>
        <v>0</v>
      </c>
      <c r="F52" s="93">
        <f>'1,6 CN'!E52</f>
        <v>0</v>
      </c>
      <c r="G52" s="4" t="str">
        <f t="shared" si="8"/>
        <v/>
      </c>
      <c r="H52" s="93">
        <f>[6]A07!$U$121+[6]A32!$V$85</f>
        <v>0</v>
      </c>
      <c r="I52" s="93">
        <f>'1,6 CN'!H52</f>
        <v>0</v>
      </c>
      <c r="J52" s="4" t="str">
        <f t="shared" si="9"/>
        <v/>
      </c>
      <c r="K52" s="93">
        <f>[7]A07!$U$121+[7]A32!$V$85</f>
        <v>0</v>
      </c>
      <c r="L52" s="93">
        <f>'1,6 CN'!K52</f>
        <v>0</v>
      </c>
      <c r="M52" s="4" t="str">
        <f t="shared" si="10"/>
        <v/>
      </c>
      <c r="N52" s="93">
        <f>[8]A07!$U$121+[8]A32!$V$85</f>
        <v>0</v>
      </c>
      <c r="O52" s="93">
        <f>'1,6 CN'!N52</f>
        <v>0</v>
      </c>
      <c r="P52" s="4" t="e">
        <f t="shared" si="0"/>
        <v>#DIV/0!</v>
      </c>
      <c r="Q52" s="83"/>
      <c r="R52" s="84"/>
      <c r="S52" s="4" t="e">
        <f t="shared" si="1"/>
        <v>#DIV/0!</v>
      </c>
      <c r="T52" s="83"/>
      <c r="U52" s="84"/>
      <c r="V52" s="4" t="e">
        <f t="shared" si="2"/>
        <v>#DIV/0!</v>
      </c>
      <c r="W52" s="83"/>
      <c r="X52" s="84"/>
      <c r="Y52" s="4" t="e">
        <f t="shared" si="3"/>
        <v>#DIV/0!</v>
      </c>
      <c r="Z52" s="83"/>
      <c r="AA52" s="84"/>
      <c r="AB52" s="4" t="e">
        <f t="shared" si="4"/>
        <v>#DIV/0!</v>
      </c>
      <c r="AC52" s="83"/>
      <c r="AD52" s="84"/>
      <c r="AE52" s="4" t="e">
        <f t="shared" si="5"/>
        <v>#DIV/0!</v>
      </c>
      <c r="AF52" s="83"/>
      <c r="AG52" s="84"/>
      <c r="AH52" s="4" t="e">
        <f t="shared" si="6"/>
        <v>#DIV/0!</v>
      </c>
      <c r="AI52" s="6"/>
      <c r="AJ52" s="6"/>
      <c r="AK52" s="4" t="e">
        <f t="shared" si="11"/>
        <v>#DIV/0!</v>
      </c>
      <c r="AL52" s="95">
        <f t="shared" si="12"/>
        <v>0</v>
      </c>
      <c r="AM52" s="95">
        <f t="shared" si="13"/>
        <v>0</v>
      </c>
      <c r="AN52" s="4" t="str">
        <f t="shared" si="14"/>
        <v/>
      </c>
      <c r="AO52" s="98" t="str">
        <f t="shared" si="15"/>
        <v>0</v>
      </c>
      <c r="AS52" s="2" t="s">
        <v>185</v>
      </c>
    </row>
    <row r="53" spans="1:46" x14ac:dyDescent="0.15">
      <c r="A53" s="77" t="s">
        <v>138</v>
      </c>
      <c r="B53" s="93">
        <f>[4]A07!$U$122+[4]A32!$V$86</f>
        <v>0</v>
      </c>
      <c r="C53" s="93">
        <f>'1,6 CN'!B53</f>
        <v>0</v>
      </c>
      <c r="D53" s="4" t="str">
        <f t="shared" si="7"/>
        <v/>
      </c>
      <c r="E53" s="93">
        <f>[5]A07!$U$122+[5]A32!$V$86</f>
        <v>0</v>
      </c>
      <c r="F53" s="93">
        <f>'1,6 CN'!E53</f>
        <v>0</v>
      </c>
      <c r="G53" s="4" t="str">
        <f t="shared" si="8"/>
        <v/>
      </c>
      <c r="H53" s="93">
        <f>[6]A07!$U$122+[6]A32!$V$86</f>
        <v>0</v>
      </c>
      <c r="I53" s="93">
        <f>'1,6 CN'!H53</f>
        <v>0</v>
      </c>
      <c r="J53" s="4" t="str">
        <f t="shared" si="9"/>
        <v/>
      </c>
      <c r="K53" s="93">
        <f>[7]A07!$U$122+[7]A32!$V$86</f>
        <v>0</v>
      </c>
      <c r="L53" s="93">
        <f>'1,6 CN'!K53</f>
        <v>0</v>
      </c>
      <c r="M53" s="4" t="str">
        <f t="shared" si="10"/>
        <v/>
      </c>
      <c r="N53" s="93">
        <f>[8]A07!$U$122+[8]A32!$V$86</f>
        <v>0</v>
      </c>
      <c r="O53" s="93">
        <f>'1,6 CN'!N53</f>
        <v>0</v>
      </c>
      <c r="P53" s="4" t="e">
        <f t="shared" si="0"/>
        <v>#DIV/0!</v>
      </c>
      <c r="Q53" s="83"/>
      <c r="R53" s="84"/>
      <c r="S53" s="4" t="e">
        <f t="shared" si="1"/>
        <v>#DIV/0!</v>
      </c>
      <c r="T53" s="83"/>
      <c r="U53" s="84"/>
      <c r="V53" s="4" t="e">
        <f t="shared" si="2"/>
        <v>#DIV/0!</v>
      </c>
      <c r="W53" s="83"/>
      <c r="X53" s="84"/>
      <c r="Y53" s="4" t="e">
        <f t="shared" si="3"/>
        <v>#DIV/0!</v>
      </c>
      <c r="Z53" s="83"/>
      <c r="AA53" s="84"/>
      <c r="AB53" s="4" t="e">
        <f t="shared" si="4"/>
        <v>#DIV/0!</v>
      </c>
      <c r="AC53" s="83"/>
      <c r="AD53" s="84"/>
      <c r="AE53" s="4" t="e">
        <f t="shared" si="5"/>
        <v>#DIV/0!</v>
      </c>
      <c r="AF53" s="83"/>
      <c r="AG53" s="84"/>
      <c r="AH53" s="4" t="e">
        <f t="shared" si="6"/>
        <v>#DIV/0!</v>
      </c>
      <c r="AI53" s="6"/>
      <c r="AJ53" s="6"/>
      <c r="AK53" s="4" t="e">
        <f t="shared" si="11"/>
        <v>#DIV/0!</v>
      </c>
      <c r="AL53" s="95">
        <f t="shared" si="12"/>
        <v>0</v>
      </c>
      <c r="AM53" s="95">
        <f t="shared" si="13"/>
        <v>0</v>
      </c>
      <c r="AN53" s="4" t="str">
        <f t="shared" si="14"/>
        <v/>
      </c>
      <c r="AO53" s="98" t="str">
        <f t="shared" si="15"/>
        <v>0</v>
      </c>
      <c r="AS53" s="2" t="s">
        <v>185</v>
      </c>
    </row>
    <row r="54" spans="1:46" x14ac:dyDescent="0.15">
      <c r="A54" s="77" t="s">
        <v>139</v>
      </c>
      <c r="B54" s="93">
        <f>[4]A07!$U$123+[4]A32!$V$87</f>
        <v>0</v>
      </c>
      <c r="C54" s="93">
        <f>'1,6 CN'!B54</f>
        <v>0</v>
      </c>
      <c r="D54" s="4" t="str">
        <f t="shared" si="7"/>
        <v/>
      </c>
      <c r="E54" s="93">
        <f>[5]A07!$U$123+[5]A32!$V$87</f>
        <v>0</v>
      </c>
      <c r="F54" s="93">
        <f>'1,6 CN'!E54</f>
        <v>0</v>
      </c>
      <c r="G54" s="4" t="str">
        <f t="shared" si="8"/>
        <v/>
      </c>
      <c r="H54" s="93">
        <f>[6]A07!$U$123+[6]A32!$V$87</f>
        <v>0</v>
      </c>
      <c r="I54" s="93">
        <f>'1,6 CN'!H54</f>
        <v>0</v>
      </c>
      <c r="J54" s="4" t="str">
        <f t="shared" si="9"/>
        <v/>
      </c>
      <c r="K54" s="93">
        <f>[7]A07!$U$123+[7]A32!$V$87</f>
        <v>0</v>
      </c>
      <c r="L54" s="93">
        <f>'1,6 CN'!K54</f>
        <v>0</v>
      </c>
      <c r="M54" s="4" t="str">
        <f t="shared" si="10"/>
        <v/>
      </c>
      <c r="N54" s="93">
        <f>[8]A07!$U$123+[8]A32!$V$87</f>
        <v>0</v>
      </c>
      <c r="O54" s="93">
        <f>'1,6 CN'!N54</f>
        <v>0</v>
      </c>
      <c r="P54" s="4" t="e">
        <f t="shared" si="0"/>
        <v>#DIV/0!</v>
      </c>
      <c r="Q54" s="83"/>
      <c r="R54" s="84"/>
      <c r="S54" s="4" t="e">
        <f t="shared" si="1"/>
        <v>#DIV/0!</v>
      </c>
      <c r="T54" s="83"/>
      <c r="U54" s="84"/>
      <c r="V54" s="4" t="e">
        <f t="shared" si="2"/>
        <v>#DIV/0!</v>
      </c>
      <c r="W54" s="83"/>
      <c r="X54" s="84"/>
      <c r="Y54" s="4" t="e">
        <f t="shared" si="3"/>
        <v>#DIV/0!</v>
      </c>
      <c r="Z54" s="83"/>
      <c r="AA54" s="84"/>
      <c r="AB54" s="4" t="e">
        <f t="shared" si="4"/>
        <v>#DIV/0!</v>
      </c>
      <c r="AC54" s="83"/>
      <c r="AD54" s="84"/>
      <c r="AE54" s="4" t="e">
        <f t="shared" si="5"/>
        <v>#DIV/0!</v>
      </c>
      <c r="AF54" s="83"/>
      <c r="AG54" s="84"/>
      <c r="AH54" s="4" t="e">
        <f t="shared" si="6"/>
        <v>#DIV/0!</v>
      </c>
      <c r="AI54" s="6"/>
      <c r="AJ54" s="6"/>
      <c r="AK54" s="4" t="e">
        <f t="shared" si="11"/>
        <v>#DIV/0!</v>
      </c>
      <c r="AL54" s="95">
        <f t="shared" si="12"/>
        <v>0</v>
      </c>
      <c r="AM54" s="95">
        <f t="shared" si="13"/>
        <v>0</v>
      </c>
      <c r="AN54" s="4" t="str">
        <f t="shared" si="14"/>
        <v/>
      </c>
      <c r="AO54" s="98" t="str">
        <f t="shared" si="15"/>
        <v>0</v>
      </c>
      <c r="AS54" s="2" t="s">
        <v>185</v>
      </c>
    </row>
    <row r="55" spans="1:46" x14ac:dyDescent="0.15">
      <c r="A55" s="76" t="s">
        <v>140</v>
      </c>
      <c r="B55" s="93">
        <f>[4]A07!$U$124+[4]A32!$V$88</f>
        <v>0</v>
      </c>
      <c r="C55" s="93">
        <f>'1,6 CN'!B55</f>
        <v>0</v>
      </c>
      <c r="D55" s="4" t="str">
        <f t="shared" si="7"/>
        <v/>
      </c>
      <c r="E55" s="93">
        <f>[5]A07!$U$124+[5]A32!$V$88</f>
        <v>0</v>
      </c>
      <c r="F55" s="93">
        <f>'1,6 CN'!E55</f>
        <v>0</v>
      </c>
      <c r="G55" s="4" t="str">
        <f t="shared" si="8"/>
        <v/>
      </c>
      <c r="H55" s="93">
        <f>[6]A07!$U$124+[6]A32!$V$88</f>
        <v>0</v>
      </c>
      <c r="I55" s="93">
        <f>'1,6 CN'!H55</f>
        <v>0</v>
      </c>
      <c r="J55" s="4" t="str">
        <f t="shared" si="9"/>
        <v/>
      </c>
      <c r="K55" s="93">
        <f>[7]A07!$U$124+[7]A32!$V$88</f>
        <v>0</v>
      </c>
      <c r="L55" s="93">
        <f>'1,6 CN'!K55</f>
        <v>0</v>
      </c>
      <c r="M55" s="4" t="str">
        <f t="shared" si="10"/>
        <v/>
      </c>
      <c r="N55" s="93">
        <f>[8]A07!$U$124+[8]A32!$V$88</f>
        <v>0</v>
      </c>
      <c r="O55" s="93">
        <f>'1,6 CN'!N55</f>
        <v>0</v>
      </c>
      <c r="P55" s="4" t="e">
        <f t="shared" si="0"/>
        <v>#DIV/0!</v>
      </c>
      <c r="Q55" s="83"/>
      <c r="R55" s="84"/>
      <c r="S55" s="4" t="e">
        <f t="shared" si="1"/>
        <v>#DIV/0!</v>
      </c>
      <c r="T55" s="83"/>
      <c r="U55" s="84"/>
      <c r="V55" s="4" t="e">
        <f t="shared" si="2"/>
        <v>#DIV/0!</v>
      </c>
      <c r="W55" s="83"/>
      <c r="X55" s="84"/>
      <c r="Y55" s="4" t="e">
        <f t="shared" si="3"/>
        <v>#DIV/0!</v>
      </c>
      <c r="Z55" s="83"/>
      <c r="AA55" s="84"/>
      <c r="AB55" s="4" t="e">
        <f t="shared" si="4"/>
        <v>#DIV/0!</v>
      </c>
      <c r="AC55" s="83"/>
      <c r="AD55" s="84"/>
      <c r="AE55" s="4" t="e">
        <f t="shared" si="5"/>
        <v>#DIV/0!</v>
      </c>
      <c r="AF55" s="83"/>
      <c r="AG55" s="84"/>
      <c r="AH55" s="4" t="e">
        <f t="shared" si="6"/>
        <v>#DIV/0!</v>
      </c>
      <c r="AI55" s="6"/>
      <c r="AJ55" s="6"/>
      <c r="AK55" s="4" t="e">
        <f t="shared" si="11"/>
        <v>#DIV/0!</v>
      </c>
      <c r="AL55" s="95">
        <f t="shared" si="12"/>
        <v>0</v>
      </c>
      <c r="AM55" s="95">
        <f t="shared" si="13"/>
        <v>0</v>
      </c>
      <c r="AN55" s="4" t="str">
        <f t="shared" si="14"/>
        <v/>
      </c>
      <c r="AO55" s="98" t="str">
        <f t="shared" si="15"/>
        <v>0</v>
      </c>
      <c r="AS55" s="2" t="s">
        <v>185</v>
      </c>
    </row>
    <row r="56" spans="1:46" x14ac:dyDescent="0.15">
      <c r="A56" s="78" t="s">
        <v>141</v>
      </c>
      <c r="B56" s="93">
        <f>[4]A07!$U$125+[4]A32!$V$89</f>
        <v>0</v>
      </c>
      <c r="C56" s="93">
        <f>'1,6 CN'!B56</f>
        <v>0</v>
      </c>
      <c r="D56" s="4" t="str">
        <f t="shared" si="7"/>
        <v/>
      </c>
      <c r="E56" s="93">
        <f>[5]A07!$U$125+[5]A32!$V$89</f>
        <v>0</v>
      </c>
      <c r="F56" s="93">
        <f>'1,6 CN'!E56</f>
        <v>0</v>
      </c>
      <c r="G56" s="4" t="str">
        <f t="shared" si="8"/>
        <v/>
      </c>
      <c r="H56" s="93">
        <f>[6]A07!$U$125+[6]A32!$V$89</f>
        <v>0</v>
      </c>
      <c r="I56" s="93">
        <f>'1,6 CN'!H56</f>
        <v>0</v>
      </c>
      <c r="J56" s="4" t="str">
        <f t="shared" si="9"/>
        <v/>
      </c>
      <c r="K56" s="93">
        <f>[7]A07!$U$125+[7]A32!$V$89</f>
        <v>0</v>
      </c>
      <c r="L56" s="93">
        <f>'1,6 CN'!K56</f>
        <v>0</v>
      </c>
      <c r="M56" s="4" t="str">
        <f t="shared" si="10"/>
        <v/>
      </c>
      <c r="N56" s="93">
        <f>[8]A07!$U$125+[8]A32!$V$89</f>
        <v>0</v>
      </c>
      <c r="O56" s="93">
        <f>'1,6 CN'!N56</f>
        <v>0</v>
      </c>
      <c r="P56" s="4" t="e">
        <f t="shared" si="0"/>
        <v>#DIV/0!</v>
      </c>
      <c r="Q56" s="83"/>
      <c r="R56" s="84"/>
      <c r="S56" s="4" t="e">
        <f t="shared" si="1"/>
        <v>#DIV/0!</v>
      </c>
      <c r="T56" s="83"/>
      <c r="U56" s="84"/>
      <c r="V56" s="4" t="e">
        <f t="shared" si="2"/>
        <v>#DIV/0!</v>
      </c>
      <c r="W56" s="83"/>
      <c r="X56" s="84"/>
      <c r="Y56" s="4" t="e">
        <f t="shared" si="3"/>
        <v>#DIV/0!</v>
      </c>
      <c r="Z56" s="83"/>
      <c r="AA56" s="84"/>
      <c r="AB56" s="4" t="e">
        <f t="shared" si="4"/>
        <v>#DIV/0!</v>
      </c>
      <c r="AC56" s="83"/>
      <c r="AD56" s="84"/>
      <c r="AE56" s="4" t="e">
        <f t="shared" si="5"/>
        <v>#DIV/0!</v>
      </c>
      <c r="AF56" s="83"/>
      <c r="AG56" s="84"/>
      <c r="AH56" s="4" t="e">
        <f t="shared" si="6"/>
        <v>#DIV/0!</v>
      </c>
      <c r="AI56" s="6"/>
      <c r="AJ56" s="6"/>
      <c r="AK56" s="4" t="e">
        <f t="shared" si="11"/>
        <v>#DIV/0!</v>
      </c>
      <c r="AL56" s="95">
        <f t="shared" si="12"/>
        <v>0</v>
      </c>
      <c r="AM56" s="95">
        <f t="shared" si="13"/>
        <v>0</v>
      </c>
      <c r="AN56" s="4" t="str">
        <f t="shared" si="14"/>
        <v/>
      </c>
      <c r="AO56" s="98" t="str">
        <f t="shared" si="15"/>
        <v>0</v>
      </c>
      <c r="AS56" s="2" t="s">
        <v>185</v>
      </c>
    </row>
    <row r="57" spans="1:46" ht="19.5" x14ac:dyDescent="0.25">
      <c r="B57" s="1">
        <f>SUM(B2:B56)</f>
        <v>274</v>
      </c>
      <c r="C57" s="1">
        <f>SUM(C2:C56)</f>
        <v>1551</v>
      </c>
      <c r="D57" s="4">
        <f t="shared" si="7"/>
        <v>0.17666021921341071</v>
      </c>
      <c r="E57" s="1">
        <f>SUM(E2:E56)</f>
        <v>192</v>
      </c>
      <c r="F57" s="1">
        <f>SUM(F2:F56)</f>
        <v>1147</v>
      </c>
      <c r="G57" s="4">
        <f t="shared" ref="G57" si="16">E57/F57</f>
        <v>0.16739319965126417</v>
      </c>
      <c r="H57" s="1">
        <f>SUM(H2:H56)</f>
        <v>220</v>
      </c>
      <c r="I57" s="1">
        <f>SUM(I2:I56)</f>
        <v>1517</v>
      </c>
      <c r="J57" s="4">
        <f t="shared" ref="J57" si="17">H57/I57</f>
        <v>0.14502307185234015</v>
      </c>
      <c r="K57" s="1">
        <f>SUM(K2:K56)</f>
        <v>140</v>
      </c>
      <c r="L57" s="1">
        <f>SUM(L2:L56)</f>
        <v>1382</v>
      </c>
      <c r="M57" s="4">
        <f t="shared" si="10"/>
        <v>0.10130246020260492</v>
      </c>
      <c r="N57" s="1">
        <f>SUM(N2:N56)</f>
        <v>92</v>
      </c>
      <c r="O57" s="1">
        <f>SUM(O2:O56)</f>
        <v>1170</v>
      </c>
      <c r="P57" s="4">
        <f t="shared" si="0"/>
        <v>7.8632478632478631E-2</v>
      </c>
      <c r="Q57" s="1">
        <f>SUM(Q2:Q56)</f>
        <v>0</v>
      </c>
      <c r="R57" s="1">
        <f>SUM(R2:R56)</f>
        <v>0</v>
      </c>
      <c r="S57" s="4" t="e">
        <f t="shared" si="1"/>
        <v>#DIV/0!</v>
      </c>
      <c r="T57" s="1">
        <f>SUM(T2:T56)</f>
        <v>0</v>
      </c>
      <c r="U57" s="1">
        <f>SUM(U2:U56)</f>
        <v>0</v>
      </c>
      <c r="V57" s="4" t="e">
        <f t="shared" si="2"/>
        <v>#DIV/0!</v>
      </c>
      <c r="W57" s="1">
        <f>SUM(W2:W56)</f>
        <v>0</v>
      </c>
      <c r="X57" s="1">
        <f>SUM(X2:X56)</f>
        <v>0</v>
      </c>
      <c r="Y57" s="4" t="e">
        <f t="shared" si="3"/>
        <v>#DIV/0!</v>
      </c>
      <c r="Z57" s="1">
        <f>SUM(Z2:Z56)</f>
        <v>0</v>
      </c>
      <c r="AA57" s="1">
        <f>SUM(AA2:AA56)</f>
        <v>0</v>
      </c>
      <c r="AB57" s="4" t="e">
        <f t="shared" si="4"/>
        <v>#DIV/0!</v>
      </c>
      <c r="AC57" s="1">
        <f>SUM(AC2:AC56)</f>
        <v>0</v>
      </c>
      <c r="AD57" s="1">
        <f>SUM(AD2:AD56)</f>
        <v>0</v>
      </c>
      <c r="AE57" s="4" t="e">
        <f t="shared" si="5"/>
        <v>#DIV/0!</v>
      </c>
      <c r="AF57" s="1">
        <f>SUM(AF2:AF56)</f>
        <v>0</v>
      </c>
      <c r="AG57" s="1">
        <f>SUM(AG2:AG56)</f>
        <v>0</v>
      </c>
      <c r="AH57" s="4" t="e">
        <f t="shared" si="6"/>
        <v>#DIV/0!</v>
      </c>
      <c r="AI57" s="1">
        <f>SUM(AI2:AI56)</f>
        <v>0</v>
      </c>
      <c r="AJ57" s="1">
        <f>SUM(AJ2:AJ56)</f>
        <v>0</v>
      </c>
      <c r="AK57" s="4" t="e">
        <f>AI57/AJ57</f>
        <v>#DIV/0!</v>
      </c>
      <c r="AL57" s="91">
        <f>SUM(AL2:AL56)</f>
        <v>918</v>
      </c>
      <c r="AM57" s="91">
        <f>SUM(AM2:AM56)</f>
        <v>6767</v>
      </c>
      <c r="AN57" s="4">
        <f t="shared" si="14"/>
        <v>0.13565834195359835</v>
      </c>
      <c r="AO57" s="106">
        <f>AO2+AO3+AO7+AO8+AO9+AO12+AO17+AO22+AO24+AO28+AO29+AO31+AO32+AO33+AO34+AO35+AO39+AO44+AO45+AO48+AO49+AO50+AO51+AO52</f>
        <v>13</v>
      </c>
      <c r="AP57" s="109">
        <v>24</v>
      </c>
      <c r="AQ57" s="4">
        <f>AO57/AP57</f>
        <v>0.54166666666666663</v>
      </c>
      <c r="AR57" s="155">
        <v>0.3</v>
      </c>
      <c r="AS57" s="96">
        <f>AQ57*AR57</f>
        <v>0.16249999999999998</v>
      </c>
      <c r="AT57" s="156">
        <f>AS57+'1,8 NSP CONTROL'!AS57</f>
        <v>0.5708333333333333</v>
      </c>
    </row>
    <row r="58" spans="1:46" x14ac:dyDescent="0.25">
      <c r="C58" s="2">
        <f>C57-B57</f>
        <v>1277</v>
      </c>
      <c r="AO58" s="99"/>
    </row>
    <row r="59" spans="1:46" x14ac:dyDescent="0.25">
      <c r="B59" s="83">
        <f>[10]A07!$U$71+[10]A07!$V$71+[10]A32!$V$35+[10]A32!$W$35</f>
        <v>32</v>
      </c>
    </row>
  </sheetData>
  <autoFilter ref="A1:AS59" xr:uid="{12484C8B-5E0E-4FD7-950C-87BAD47273E6}"/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A218-D84F-4BEA-A8ED-1CC0CF1A235A}">
  <dimension ref="A1:AS59"/>
  <sheetViews>
    <sheetView showGridLines="0" zoomScale="90" zoomScaleNormal="90" workbookViewId="0">
      <pane xSplit="1" ySplit="1" topLeftCell="AE18" activePane="bottomRight" state="frozen"/>
      <selection pane="topRight" activeCell="B1" sqref="B1"/>
      <selection pane="bottomLeft" activeCell="A2" sqref="A2"/>
      <selection pane="bottomRight" activeCell="AO59" sqref="AO59"/>
    </sheetView>
  </sheetViews>
  <sheetFormatPr baseColWidth="10" defaultColWidth="11.42578125" defaultRowHeight="13.5" x14ac:dyDescent="0.25"/>
  <cols>
    <col min="1" max="1" width="51.42578125" style="2" customWidth="1"/>
    <col min="2" max="12" width="9.140625" style="2" customWidth="1"/>
    <col min="13" max="13" width="11.42578125" style="2" customWidth="1"/>
    <col min="14" max="38" width="11.42578125" style="2"/>
    <col min="39" max="39" width="12.42578125" style="2" customWidth="1"/>
    <col min="40" max="16384" width="11.42578125" style="2"/>
  </cols>
  <sheetData>
    <row r="1" spans="1:45" ht="33.6" customHeight="1" x14ac:dyDescent="0.25">
      <c r="A1" s="17" t="s">
        <v>169</v>
      </c>
      <c r="B1" s="1" t="s">
        <v>49</v>
      </c>
      <c r="C1" s="5" t="s">
        <v>50</v>
      </c>
      <c r="D1" s="5" t="s">
        <v>48</v>
      </c>
      <c r="E1" s="1" t="s">
        <v>51</v>
      </c>
      <c r="F1" s="5" t="s">
        <v>52</v>
      </c>
      <c r="G1" s="5" t="s">
        <v>53</v>
      </c>
      <c r="H1" s="1" t="s">
        <v>56</v>
      </c>
      <c r="I1" s="5" t="s">
        <v>54</v>
      </c>
      <c r="J1" s="5" t="s">
        <v>55</v>
      </c>
      <c r="K1" s="1" t="s">
        <v>57</v>
      </c>
      <c r="L1" s="5" t="s">
        <v>58</v>
      </c>
      <c r="M1" s="5" t="s">
        <v>59</v>
      </c>
      <c r="N1" s="1" t="s">
        <v>60</v>
      </c>
      <c r="O1" s="5" t="s">
        <v>61</v>
      </c>
      <c r="P1" s="5" t="s">
        <v>62</v>
      </c>
      <c r="Q1" s="1" t="s">
        <v>63</v>
      </c>
      <c r="R1" s="5" t="s">
        <v>64</v>
      </c>
      <c r="S1" s="5" t="s">
        <v>65</v>
      </c>
      <c r="T1" s="1" t="s">
        <v>66</v>
      </c>
      <c r="U1" s="5" t="s">
        <v>67</v>
      </c>
      <c r="V1" s="5" t="s">
        <v>68</v>
      </c>
      <c r="W1" s="1" t="s">
        <v>69</v>
      </c>
      <c r="X1" s="5" t="s">
        <v>70</v>
      </c>
      <c r="Y1" s="5" t="s">
        <v>71</v>
      </c>
      <c r="Z1" s="1" t="s">
        <v>72</v>
      </c>
      <c r="AA1" s="5" t="s">
        <v>73</v>
      </c>
      <c r="AB1" s="5" t="s">
        <v>74</v>
      </c>
      <c r="AC1" s="1" t="s">
        <v>75</v>
      </c>
      <c r="AD1" s="5" t="s">
        <v>76</v>
      </c>
      <c r="AE1" s="5" t="s">
        <v>77</v>
      </c>
      <c r="AF1" s="1" t="s">
        <v>78</v>
      </c>
      <c r="AG1" s="5" t="s">
        <v>79</v>
      </c>
      <c r="AH1" s="5" t="s">
        <v>80</v>
      </c>
      <c r="AI1" s="1" t="s">
        <v>81</v>
      </c>
      <c r="AJ1" s="5" t="s">
        <v>82</v>
      </c>
      <c r="AK1" s="5" t="s">
        <v>83</v>
      </c>
      <c r="AL1" s="91" t="s">
        <v>84</v>
      </c>
      <c r="AM1" s="92" t="s">
        <v>85</v>
      </c>
      <c r="AN1" s="5" t="s">
        <v>86</v>
      </c>
      <c r="AO1" s="3" t="s">
        <v>4</v>
      </c>
      <c r="AP1" s="3" t="s">
        <v>1</v>
      </c>
      <c r="AQ1" s="97" t="s">
        <v>162</v>
      </c>
      <c r="AR1" s="2" t="s">
        <v>163</v>
      </c>
      <c r="AS1" s="101" t="s">
        <v>171</v>
      </c>
    </row>
    <row r="2" spans="1:45" x14ac:dyDescent="0.15">
      <c r="A2" s="76" t="s">
        <v>87</v>
      </c>
      <c r="B2" s="106">
        <f>[4]A07!S71+[4]A07!T71+[4]A32!X35+[4]A32!Y35</f>
        <v>31</v>
      </c>
      <c r="C2" s="106">
        <f>'1,6 CN'!C2</f>
        <v>217</v>
      </c>
      <c r="D2" s="4">
        <f>IFERROR(B2/C2,"")</f>
        <v>0.14285714285714285</v>
      </c>
      <c r="E2" s="106">
        <f>[5]A07!$S$71+[5]A07!$T$71+[5]A32!$X$35+[5]A32!$Y$35</f>
        <v>40</v>
      </c>
      <c r="F2" s="106">
        <f>'1,6 CN'!F2</f>
        <v>268</v>
      </c>
      <c r="G2" s="4">
        <f>IFERROR(E2/F2,"")</f>
        <v>0.14925373134328357</v>
      </c>
      <c r="H2" s="106">
        <f>[6]A07!$S$71+[6]A07!$T$71+[6]A32!$X$35+[6]A32!$Y$35</f>
        <v>44</v>
      </c>
      <c r="I2" s="106">
        <f>'1,6 CN'!I2</f>
        <v>370</v>
      </c>
      <c r="J2" s="4">
        <f>IFERROR(H2/I2,"")</f>
        <v>0.11891891891891893</v>
      </c>
      <c r="K2" s="106">
        <f>[7]A07!S71+[7]A07!T71+[7]A32!X35+[7]A32!Y35</f>
        <v>40</v>
      </c>
      <c r="L2" s="106">
        <f>'1,6 CN'!L2</f>
        <v>342</v>
      </c>
      <c r="M2" s="4">
        <f t="shared" ref="M2:M57" si="0">K2/L2</f>
        <v>0.11695906432748537</v>
      </c>
      <c r="N2" s="106">
        <f>[8]A07!V71+[8]A07!W71+[8]A32!AA35+[8]A32!AB35</f>
        <v>53</v>
      </c>
      <c r="O2" s="106">
        <f>'1,6 CN'!O2</f>
        <v>298</v>
      </c>
      <c r="P2" s="4">
        <f t="shared" ref="P2:P57" si="1">N2/O2</f>
        <v>0.17785234899328858</v>
      </c>
      <c r="Q2" s="106">
        <f>[9]A07!$V$71+[9]A07!$W$71+[9]A32!$AA$35+[9]A32!$AB$35</f>
        <v>84</v>
      </c>
      <c r="R2" s="106">
        <f>'1,6 CN'!R2</f>
        <v>149</v>
      </c>
      <c r="S2" s="4">
        <f t="shared" ref="S2:S57" si="2">Q2/R2</f>
        <v>0.56375838926174493</v>
      </c>
      <c r="T2" s="83">
        <f>[10]A07!V71+[10]A07!W71+[10]A32!AA35+[10]A32!AB35</f>
        <v>42</v>
      </c>
      <c r="U2" s="83">
        <f>'1,6 CN'!U2</f>
        <v>187</v>
      </c>
      <c r="V2" s="4">
        <f t="shared" ref="V2:V57" si="3">T2/U2</f>
        <v>0.22459893048128343</v>
      </c>
      <c r="W2" s="83">
        <f>[11]A07!V71+[11]A07!W71+[11]A32!AA35+[11]A32!AB35</f>
        <v>17</v>
      </c>
      <c r="X2" s="83">
        <f>'1,6 CN'!X2</f>
        <v>167</v>
      </c>
      <c r="Y2" s="4">
        <f t="shared" ref="Y2:Y57" si="4">W2/X2</f>
        <v>0.10179640718562874</v>
      </c>
      <c r="Z2" s="83">
        <f>[12]A07!V71+[12]A07!W71+[12]A32!AA35+[12]A32!AB35</f>
        <v>44</v>
      </c>
      <c r="AA2" s="83">
        <f>'1,6 CN'!AA2</f>
        <v>202</v>
      </c>
      <c r="AB2" s="4">
        <f t="shared" ref="AB2:AB57" si="5">Z2/AA2</f>
        <v>0.21782178217821782</v>
      </c>
      <c r="AC2" s="83">
        <f>[13]A07!V71+[13]A07!W71+[13]A32!AA35+[13]A32!AB35</f>
        <v>34</v>
      </c>
      <c r="AD2" s="83">
        <f>'1,6 CN'!AD2</f>
        <v>208</v>
      </c>
      <c r="AE2" s="4">
        <f t="shared" ref="AE2:AE57" si="6">AC2/AD2</f>
        <v>0.16346153846153846</v>
      </c>
      <c r="AF2" s="83">
        <f>[14]A07!V71+[14]A07!W71+[14]A32!AA35+[14]A32!AB35</f>
        <v>31</v>
      </c>
      <c r="AG2" s="83">
        <f>'1,6 CN'!AG2</f>
        <v>214</v>
      </c>
      <c r="AH2" s="4">
        <f t="shared" ref="AH2:AH57" si="7">AF2/AG2</f>
        <v>0.14485981308411214</v>
      </c>
      <c r="AI2" s="6"/>
      <c r="AJ2" s="6"/>
      <c r="AK2" s="4" t="e">
        <f>+AI2/AJ2</f>
        <v>#DIV/0!</v>
      </c>
      <c r="AL2" s="94">
        <f>B2+E2+H2+K2+N2+Q2</f>
        <v>292</v>
      </c>
      <c r="AM2" s="94">
        <f>C2+F2+I2+L2+O2+R2</f>
        <v>1644</v>
      </c>
      <c r="AN2" s="4">
        <f>IFERROR(AL2/AM2,"")</f>
        <v>0.17761557177615572</v>
      </c>
      <c r="AO2" s="98" t="str">
        <f>IF(AN2&gt;14%,"1","0")</f>
        <v>1</v>
      </c>
      <c r="AS2" s="152" t="s">
        <v>181</v>
      </c>
    </row>
    <row r="3" spans="1:45" x14ac:dyDescent="0.15">
      <c r="A3" s="77" t="s">
        <v>88</v>
      </c>
      <c r="B3" s="106">
        <f>[4]A07!S72+[4]A07!T72+[4]A32!X36+[4]A32!Y36</f>
        <v>43</v>
      </c>
      <c r="C3" s="106">
        <f>'1,6 CN'!C3</f>
        <v>610</v>
      </c>
      <c r="D3" s="4">
        <f t="shared" ref="D3:D56" si="8">IFERROR(B3/C3,"")</f>
        <v>7.0491803278688522E-2</v>
      </c>
      <c r="E3" s="106">
        <f>[5]A07!S72+[5]A07!T72+[5]A32!X36+[5]A32!Y36</f>
        <v>32</v>
      </c>
      <c r="F3" s="106">
        <f>'1,6 CN'!F3</f>
        <v>445</v>
      </c>
      <c r="G3" s="4">
        <f t="shared" ref="G3:G56" si="9">IFERROR(E3/F3,"")</f>
        <v>7.1910112359550568E-2</v>
      </c>
      <c r="H3" s="106">
        <f>[6]A07!S72+[6]A07!T72+[6]A32!X36+[6]A32!Y36</f>
        <v>17</v>
      </c>
      <c r="I3" s="106">
        <f>'1,6 CN'!I3</f>
        <v>341</v>
      </c>
      <c r="J3" s="4">
        <f t="shared" ref="J3:J56" si="10">IFERROR(H3/I3,"")</f>
        <v>4.9853372434017593E-2</v>
      </c>
      <c r="K3" s="106">
        <f>[7]A07!S72+[7]A07!T72+[7]A32!X36+[7]A32!Y36</f>
        <v>58</v>
      </c>
      <c r="L3" s="106">
        <f>'1,6 CN'!L3</f>
        <v>602</v>
      </c>
      <c r="M3" s="4">
        <f t="shared" si="0"/>
        <v>9.634551495016612E-2</v>
      </c>
      <c r="N3" s="106">
        <f>[8]A07!V72+[8]A07!W72+[8]A32!AA36+[8]A32!AB36</f>
        <v>211</v>
      </c>
      <c r="O3" s="106">
        <f>'1,6 CN'!O3</f>
        <v>459</v>
      </c>
      <c r="P3" s="4">
        <f t="shared" si="1"/>
        <v>0.45969498910675383</v>
      </c>
      <c r="Q3" s="106">
        <f>[9]A07!$V$72+[9]A07!$W$72+[9]A32!$AA$36+[9]A32!$AB$36</f>
        <v>288</v>
      </c>
      <c r="R3" s="106">
        <f>'1,6 CN'!R3</f>
        <v>493</v>
      </c>
      <c r="S3" s="4">
        <f t="shared" si="2"/>
        <v>0.58417849898580121</v>
      </c>
      <c r="T3" s="83">
        <f>[10]A07!V72+[10]A07!W72+[10]A32!AA36+[10]A32!AB36</f>
        <v>181</v>
      </c>
      <c r="U3" s="83">
        <f>'1,6 CN'!U3</f>
        <v>714</v>
      </c>
      <c r="V3" s="4">
        <f t="shared" si="3"/>
        <v>0.25350140056022408</v>
      </c>
      <c r="W3" s="83">
        <f>[11]A07!V72+[11]A07!W72+[11]A32!AA36+[11]A32!AB36</f>
        <v>162</v>
      </c>
      <c r="X3" s="83">
        <f>'1,6 CN'!X3</f>
        <v>402</v>
      </c>
      <c r="Y3" s="4">
        <f t="shared" si="4"/>
        <v>0.40298507462686567</v>
      </c>
      <c r="Z3" s="83">
        <f>[12]A07!V72+[12]A07!W72+[12]A32!AA36+[12]A32!AB36</f>
        <v>207</v>
      </c>
      <c r="AA3" s="83">
        <f>'1,6 CN'!AA3</f>
        <v>489</v>
      </c>
      <c r="AB3" s="4">
        <f t="shared" si="5"/>
        <v>0.42331288343558282</v>
      </c>
      <c r="AC3" s="83">
        <f>[13]A07!V72+[13]A07!W72+[13]A32!AA36+[13]A32!AB36</f>
        <v>207</v>
      </c>
      <c r="AD3" s="83">
        <f>'1,6 CN'!AD3</f>
        <v>578</v>
      </c>
      <c r="AE3" s="4">
        <f t="shared" si="6"/>
        <v>0.35813148788927335</v>
      </c>
      <c r="AF3" s="83">
        <f>[14]A07!V72+[14]A07!W72+[14]A32!AA36+[14]A32!AB36</f>
        <v>153</v>
      </c>
      <c r="AG3" s="83">
        <f>'1,6 CN'!AG3</f>
        <v>369</v>
      </c>
      <c r="AH3" s="4">
        <f t="shared" si="7"/>
        <v>0.41463414634146339</v>
      </c>
      <c r="AI3" s="6"/>
      <c r="AJ3" s="6"/>
      <c r="AK3" s="4" t="e">
        <f t="shared" ref="AK3:AK56" si="11">+AI3/AJ3</f>
        <v>#DIV/0!</v>
      </c>
      <c r="AL3" s="94">
        <f t="shared" ref="AL3:AL56" si="12">B3+E3+H3+K3+N3+Q3</f>
        <v>649</v>
      </c>
      <c r="AM3" s="94">
        <f t="shared" ref="AM3:AM56" si="13">C3+F3+I3+L3+O3+R3</f>
        <v>2950</v>
      </c>
      <c r="AN3" s="4">
        <f t="shared" ref="AN3:AN56" si="14">IFERROR(AL3/AM3,"")</f>
        <v>0.22</v>
      </c>
      <c r="AO3" s="98" t="str">
        <f>IF(AN3&gt;14%,"1","0")</f>
        <v>1</v>
      </c>
      <c r="AS3" s="152" t="s">
        <v>181</v>
      </c>
    </row>
    <row r="4" spans="1:45" x14ac:dyDescent="0.15">
      <c r="A4" s="77" t="s">
        <v>89</v>
      </c>
      <c r="B4" s="106">
        <f>[4]A07!S73+[4]A07!T73+[4]A32!X37+[4]A32!Y37</f>
        <v>0</v>
      </c>
      <c r="C4" s="106">
        <f>'1,6 CN'!C4</f>
        <v>0</v>
      </c>
      <c r="D4" s="4" t="str">
        <f t="shared" si="8"/>
        <v/>
      </c>
      <c r="E4" s="106">
        <f>[5]A07!S73+[5]A07!T73+[5]A32!X37+[5]A32!Y37</f>
        <v>0</v>
      </c>
      <c r="F4" s="106">
        <f>'1,6 CN'!F4</f>
        <v>0</v>
      </c>
      <c r="G4" s="4" t="str">
        <f t="shared" si="9"/>
        <v/>
      </c>
      <c r="H4" s="106">
        <f>[6]A07!S73+[6]A07!T73+[6]A32!X37+[6]A32!Y37</f>
        <v>0</v>
      </c>
      <c r="I4" s="106">
        <f>'1,6 CN'!I4</f>
        <v>0</v>
      </c>
      <c r="J4" s="4" t="str">
        <f t="shared" si="10"/>
        <v/>
      </c>
      <c r="K4" s="106">
        <f>[7]A07!S73+[7]A07!T73+[7]A32!X37+[7]A32!Y37</f>
        <v>0</v>
      </c>
      <c r="L4" s="106">
        <f>'1,6 CN'!L4</f>
        <v>0</v>
      </c>
      <c r="M4" s="4" t="e">
        <f t="shared" si="0"/>
        <v>#DIV/0!</v>
      </c>
      <c r="N4" s="106">
        <f>[8]A07!V73+[8]A07!W73+[8]A32!AA37+[8]A32!AB37</f>
        <v>0</v>
      </c>
      <c r="O4" s="106">
        <f>'1,6 CN'!O4</f>
        <v>0</v>
      </c>
      <c r="P4" s="4" t="e">
        <f t="shared" si="1"/>
        <v>#DIV/0!</v>
      </c>
      <c r="Q4" s="106">
        <f>[9]A07!V73+[9]A07!W73+[9]A32!AA37+[9]A32!AB37</f>
        <v>0</v>
      </c>
      <c r="R4" s="106">
        <f>'1,6 CN'!R4</f>
        <v>0</v>
      </c>
      <c r="S4" s="4" t="e">
        <f t="shared" si="2"/>
        <v>#DIV/0!</v>
      </c>
      <c r="T4" s="83">
        <f>[10]A07!V73+[10]A07!W73+[10]A32!AA37+[10]A32!AB37</f>
        <v>0</v>
      </c>
      <c r="U4" s="83">
        <f>'1,6 CN'!U4</f>
        <v>0</v>
      </c>
      <c r="V4" s="4" t="e">
        <f t="shared" si="3"/>
        <v>#DIV/0!</v>
      </c>
      <c r="W4" s="83">
        <f>[11]A07!V73+[11]A07!W73+[11]A32!AA37+[11]A32!AB37</f>
        <v>0</v>
      </c>
      <c r="X4" s="83">
        <f>'1,6 CN'!X4</f>
        <v>0</v>
      </c>
      <c r="Y4" s="4" t="e">
        <f t="shared" si="4"/>
        <v>#DIV/0!</v>
      </c>
      <c r="Z4" s="83">
        <f>[12]A07!V73+[12]A07!W73+[12]A32!AA37+[12]A32!AB37</f>
        <v>0</v>
      </c>
      <c r="AA4" s="83">
        <f>'1,6 CN'!AA4</f>
        <v>0</v>
      </c>
      <c r="AB4" s="4" t="e">
        <f t="shared" si="5"/>
        <v>#DIV/0!</v>
      </c>
      <c r="AC4" s="83">
        <f>[13]A07!V73+[13]A07!W73+[13]A32!AA37+[13]A32!AB37</f>
        <v>0</v>
      </c>
      <c r="AD4" s="83">
        <f>'1,6 CN'!AD4</f>
        <v>0</v>
      </c>
      <c r="AE4" s="4" t="e">
        <f t="shared" si="6"/>
        <v>#DIV/0!</v>
      </c>
      <c r="AF4" s="83">
        <f>[14]A07!V73+[14]A07!W73+[14]A32!AA37+[14]A32!AB37</f>
        <v>0</v>
      </c>
      <c r="AG4" s="83">
        <f>'1,6 CN'!AG4</f>
        <v>0</v>
      </c>
      <c r="AH4" s="4" t="e">
        <f t="shared" si="7"/>
        <v>#DIV/0!</v>
      </c>
      <c r="AI4" s="6"/>
      <c r="AJ4" s="6"/>
      <c r="AK4" s="4" t="e">
        <f t="shared" si="11"/>
        <v>#DIV/0!</v>
      </c>
      <c r="AL4" s="94">
        <f t="shared" si="12"/>
        <v>0</v>
      </c>
      <c r="AM4" s="94">
        <f t="shared" si="13"/>
        <v>0</v>
      </c>
      <c r="AN4" s="4" t="str">
        <f t="shared" si="14"/>
        <v/>
      </c>
      <c r="AO4" s="1"/>
    </row>
    <row r="5" spans="1:45" x14ac:dyDescent="0.15">
      <c r="A5" s="77" t="s">
        <v>90</v>
      </c>
      <c r="B5" s="106">
        <f>[4]A07!S74+[4]A07!T74+[4]A32!X38+[4]A32!Y38</f>
        <v>0</v>
      </c>
      <c r="C5" s="106">
        <f>'1,6 CN'!C5</f>
        <v>0</v>
      </c>
      <c r="D5" s="4" t="str">
        <f t="shared" si="8"/>
        <v/>
      </c>
      <c r="E5" s="106">
        <f>[5]A07!S74+[5]A07!T74+[5]A32!X38+[5]A32!Y38</f>
        <v>0</v>
      </c>
      <c r="F5" s="106">
        <f>'1,6 CN'!F5</f>
        <v>0</v>
      </c>
      <c r="G5" s="4" t="str">
        <f t="shared" si="9"/>
        <v/>
      </c>
      <c r="H5" s="106">
        <f>[6]A07!S74+[6]A07!T74+[6]A32!X38+[6]A32!Y38</f>
        <v>0</v>
      </c>
      <c r="I5" s="106">
        <f>'1,6 CN'!I5</f>
        <v>0</v>
      </c>
      <c r="J5" s="4" t="str">
        <f t="shared" si="10"/>
        <v/>
      </c>
      <c r="K5" s="106">
        <f>[7]A07!S74+[7]A07!T74+[7]A32!X38+[7]A32!Y38</f>
        <v>0</v>
      </c>
      <c r="L5" s="106">
        <f>'1,6 CN'!L5</f>
        <v>0</v>
      </c>
      <c r="M5" s="4" t="e">
        <f t="shared" si="0"/>
        <v>#DIV/0!</v>
      </c>
      <c r="N5" s="106">
        <f>[8]A07!V74+[8]A07!W74+[8]A32!AA38+[8]A32!AB38</f>
        <v>0</v>
      </c>
      <c r="O5" s="106">
        <f>'1,6 CN'!O5</f>
        <v>0</v>
      </c>
      <c r="P5" s="4" t="e">
        <f t="shared" si="1"/>
        <v>#DIV/0!</v>
      </c>
      <c r="Q5" s="106">
        <f>[9]A07!V74+[9]A07!W74+[9]A32!AA38+[9]A32!AB38</f>
        <v>0</v>
      </c>
      <c r="R5" s="106">
        <f>'1,6 CN'!R5</f>
        <v>0</v>
      </c>
      <c r="S5" s="4" t="e">
        <f t="shared" si="2"/>
        <v>#DIV/0!</v>
      </c>
      <c r="T5" s="83">
        <f>[10]A07!V74+[10]A07!W74+[10]A32!AA38+[10]A32!AB38</f>
        <v>0</v>
      </c>
      <c r="U5" s="83">
        <f>'1,6 CN'!U5</f>
        <v>0</v>
      </c>
      <c r="V5" s="4" t="e">
        <f t="shared" si="3"/>
        <v>#DIV/0!</v>
      </c>
      <c r="W5" s="83">
        <f>[11]A07!V74+[11]A07!W74+[11]A32!AA38+[11]A32!AB38</f>
        <v>0</v>
      </c>
      <c r="X5" s="83">
        <f>'1,6 CN'!X5</f>
        <v>0</v>
      </c>
      <c r="Y5" s="4" t="e">
        <f t="shared" si="4"/>
        <v>#DIV/0!</v>
      </c>
      <c r="Z5" s="83">
        <f>[12]A07!V74+[12]A07!W74+[12]A32!AA38+[12]A32!AB38</f>
        <v>0</v>
      </c>
      <c r="AA5" s="83">
        <f>'1,6 CN'!AA5</f>
        <v>0</v>
      </c>
      <c r="AB5" s="4" t="e">
        <f t="shared" si="5"/>
        <v>#DIV/0!</v>
      </c>
      <c r="AC5" s="83">
        <f>[13]A07!V74+[13]A07!W74+[13]A32!AA38+[13]A32!AB38</f>
        <v>0</v>
      </c>
      <c r="AD5" s="83">
        <f>'1,6 CN'!AD5</f>
        <v>0</v>
      </c>
      <c r="AE5" s="4" t="e">
        <f t="shared" si="6"/>
        <v>#DIV/0!</v>
      </c>
      <c r="AF5" s="83">
        <f>[14]A07!V74+[14]A07!W74+[14]A32!AA38+[14]A32!AB38</f>
        <v>0</v>
      </c>
      <c r="AG5" s="83">
        <f>'1,6 CN'!AG5</f>
        <v>0</v>
      </c>
      <c r="AH5" s="4" t="e">
        <f t="shared" si="7"/>
        <v>#DIV/0!</v>
      </c>
      <c r="AI5" s="6"/>
      <c r="AJ5" s="6"/>
      <c r="AK5" s="4" t="e">
        <f t="shared" si="11"/>
        <v>#DIV/0!</v>
      </c>
      <c r="AL5" s="94">
        <f t="shared" si="12"/>
        <v>0</v>
      </c>
      <c r="AM5" s="94">
        <f t="shared" si="13"/>
        <v>0</v>
      </c>
      <c r="AN5" s="4" t="str">
        <f t="shared" si="14"/>
        <v/>
      </c>
      <c r="AO5" s="1"/>
    </row>
    <row r="6" spans="1:45" x14ac:dyDescent="0.15">
      <c r="A6" s="77" t="s">
        <v>91</v>
      </c>
      <c r="B6" s="106">
        <f>[4]A07!S75+[4]A07!T75+[4]A32!X39+[4]A32!Y39</f>
        <v>0</v>
      </c>
      <c r="C6" s="106">
        <f>'1,6 CN'!C6</f>
        <v>0</v>
      </c>
      <c r="D6" s="4" t="str">
        <f t="shared" si="8"/>
        <v/>
      </c>
      <c r="E6" s="106">
        <f>[5]A07!S75+[5]A07!T75+[5]A32!X39+[5]A32!Y39</f>
        <v>0</v>
      </c>
      <c r="F6" s="106">
        <f>'1,6 CN'!F6</f>
        <v>0</v>
      </c>
      <c r="G6" s="4" t="str">
        <f t="shared" si="9"/>
        <v/>
      </c>
      <c r="H6" s="106">
        <f>[6]A07!S75+[6]A07!T75+[6]A32!X39+[6]A32!Y39</f>
        <v>0</v>
      </c>
      <c r="I6" s="106">
        <f>'1,6 CN'!I6</f>
        <v>0</v>
      </c>
      <c r="J6" s="4" t="str">
        <f t="shared" si="10"/>
        <v/>
      </c>
      <c r="K6" s="106">
        <f>[7]A07!S75+[7]A07!T75+[7]A32!X39+[7]A32!Y39</f>
        <v>0</v>
      </c>
      <c r="L6" s="106">
        <f>'1,6 CN'!L6</f>
        <v>0</v>
      </c>
      <c r="M6" s="4" t="e">
        <f t="shared" si="0"/>
        <v>#DIV/0!</v>
      </c>
      <c r="N6" s="106">
        <f>[8]A07!V75+[8]A07!W75+[8]A32!AA39+[8]A32!AB39</f>
        <v>0</v>
      </c>
      <c r="O6" s="106">
        <f>'1,6 CN'!O6</f>
        <v>0</v>
      </c>
      <c r="P6" s="4" t="e">
        <f t="shared" si="1"/>
        <v>#DIV/0!</v>
      </c>
      <c r="Q6" s="106">
        <f>[9]A07!V75+[9]A07!W75+[9]A32!AA39+[9]A32!AB39</f>
        <v>0</v>
      </c>
      <c r="R6" s="106">
        <f>'1,6 CN'!R6</f>
        <v>0</v>
      </c>
      <c r="S6" s="4" t="e">
        <f t="shared" si="2"/>
        <v>#DIV/0!</v>
      </c>
      <c r="T6" s="83">
        <f>[10]A07!V75+[10]A07!W75+[10]A32!AA39+[10]A32!AB39</f>
        <v>0</v>
      </c>
      <c r="U6" s="83">
        <f>'1,6 CN'!U6</f>
        <v>0</v>
      </c>
      <c r="V6" s="4" t="e">
        <f t="shared" si="3"/>
        <v>#DIV/0!</v>
      </c>
      <c r="W6" s="83">
        <f>[11]A07!V75+[11]A07!W75+[11]A32!AA39+[11]A32!AB39</f>
        <v>0</v>
      </c>
      <c r="X6" s="83">
        <f>'1,6 CN'!X6</f>
        <v>0</v>
      </c>
      <c r="Y6" s="4" t="e">
        <f t="shared" si="4"/>
        <v>#DIV/0!</v>
      </c>
      <c r="Z6" s="83">
        <f>[12]A07!V75+[12]A07!W75+[12]A32!AA39+[12]A32!AB39</f>
        <v>0</v>
      </c>
      <c r="AA6" s="83">
        <f>'1,6 CN'!AA6</f>
        <v>0</v>
      </c>
      <c r="AB6" s="4" t="e">
        <f t="shared" si="5"/>
        <v>#DIV/0!</v>
      </c>
      <c r="AC6" s="83">
        <f>[13]A07!V75+[13]A07!W75+[13]A32!AA39+[13]A32!AB39</f>
        <v>0</v>
      </c>
      <c r="AD6" s="83">
        <f>'1,6 CN'!AD6</f>
        <v>0</v>
      </c>
      <c r="AE6" s="4" t="e">
        <f t="shared" si="6"/>
        <v>#DIV/0!</v>
      </c>
      <c r="AF6" s="83">
        <f>[14]A07!V75+[14]A07!W75+[14]A32!AA39+[14]A32!AB39</f>
        <v>0</v>
      </c>
      <c r="AG6" s="83">
        <f>'1,6 CN'!AG6</f>
        <v>0</v>
      </c>
      <c r="AH6" s="4" t="e">
        <f t="shared" si="7"/>
        <v>#DIV/0!</v>
      </c>
      <c r="AI6" s="6"/>
      <c r="AJ6" s="6"/>
      <c r="AK6" s="4" t="e">
        <f t="shared" si="11"/>
        <v>#DIV/0!</v>
      </c>
      <c r="AL6" s="94">
        <f t="shared" si="12"/>
        <v>0</v>
      </c>
      <c r="AM6" s="94">
        <f t="shared" si="13"/>
        <v>0</v>
      </c>
      <c r="AN6" s="4" t="str">
        <f t="shared" si="14"/>
        <v/>
      </c>
      <c r="AO6" s="1"/>
    </row>
    <row r="7" spans="1:45" x14ac:dyDescent="0.15">
      <c r="A7" s="77" t="s">
        <v>92</v>
      </c>
      <c r="B7" s="106">
        <f>[4]A07!S76+[4]A07!T76+[4]A32!X40+[4]A32!Y40</f>
        <v>0</v>
      </c>
      <c r="C7" s="106">
        <f>'1,6 CN'!C7</f>
        <v>42</v>
      </c>
      <c r="D7" s="4">
        <f t="shared" si="8"/>
        <v>0</v>
      </c>
      <c r="E7" s="106">
        <f>[5]A07!S76+[5]A07!T76+[5]A32!X40+[5]A32!Y40</f>
        <v>0</v>
      </c>
      <c r="F7" s="106">
        <f>'1,6 CN'!F7</f>
        <v>27</v>
      </c>
      <c r="G7" s="4">
        <f t="shared" si="9"/>
        <v>0</v>
      </c>
      <c r="H7" s="106">
        <f>[6]A07!S76+[6]A07!T76+[6]A32!X40+[6]A32!Y40</f>
        <v>0</v>
      </c>
      <c r="I7" s="106">
        <f>'1,6 CN'!I7</f>
        <v>56</v>
      </c>
      <c r="J7" s="4">
        <f t="shared" si="10"/>
        <v>0</v>
      </c>
      <c r="K7" s="106">
        <f>[7]A07!S76+[7]A07!T76+[7]A32!X40+[7]A32!Y40</f>
        <v>11</v>
      </c>
      <c r="L7" s="106">
        <f>'1,6 CN'!L7</f>
        <v>68</v>
      </c>
      <c r="M7" s="4">
        <f t="shared" si="0"/>
        <v>0.16176470588235295</v>
      </c>
      <c r="N7" s="106">
        <f>[8]A07!V76+[8]A07!W76+[8]A32!AA40+[8]A32!AB40</f>
        <v>11</v>
      </c>
      <c r="O7" s="106">
        <f>'1,6 CN'!O7</f>
        <v>39</v>
      </c>
      <c r="P7" s="4">
        <f t="shared" si="1"/>
        <v>0.28205128205128205</v>
      </c>
      <c r="Q7" s="106">
        <f>[9]A07!V76+[9]A07!W76+[9]A32!AA40+[9]A32!AB40</f>
        <v>5</v>
      </c>
      <c r="R7" s="106">
        <f>'1,6 CN'!R7</f>
        <v>0</v>
      </c>
      <c r="S7" s="4" t="e">
        <f t="shared" si="2"/>
        <v>#DIV/0!</v>
      </c>
      <c r="T7" s="83">
        <f>[10]A07!V76+[10]A07!W76+[10]A32!AA40+[10]A32!AB40</f>
        <v>0</v>
      </c>
      <c r="U7" s="83">
        <f>'1,6 CN'!U7</f>
        <v>9</v>
      </c>
      <c r="V7" s="4">
        <f t="shared" si="3"/>
        <v>0</v>
      </c>
      <c r="W7" s="83">
        <f>[11]A07!V76+[11]A07!W76+[11]A32!AA40+[11]A32!AB40</f>
        <v>1</v>
      </c>
      <c r="X7" s="83">
        <f>'1,6 CN'!X7</f>
        <v>27</v>
      </c>
      <c r="Y7" s="4">
        <f t="shared" si="4"/>
        <v>3.7037037037037035E-2</v>
      </c>
      <c r="Z7" s="83">
        <f>[12]A07!V76+[12]A07!W76+[12]A32!AA40+[12]A32!AB40</f>
        <v>1</v>
      </c>
      <c r="AA7" s="83">
        <f>'1,6 CN'!AA7</f>
        <v>15</v>
      </c>
      <c r="AB7" s="4">
        <f t="shared" si="5"/>
        <v>6.6666666666666666E-2</v>
      </c>
      <c r="AC7" s="83">
        <f>[13]A07!V76+[13]A07!W76+[13]A32!AA40+[13]A32!AB40</f>
        <v>0</v>
      </c>
      <c r="AD7" s="83">
        <f>'1,6 CN'!AD7</f>
        <v>21</v>
      </c>
      <c r="AE7" s="4">
        <f t="shared" si="6"/>
        <v>0</v>
      </c>
      <c r="AF7" s="83">
        <f>[14]A07!V76+[14]A07!W76+[14]A32!AA40+[14]A32!AB40</f>
        <v>0</v>
      </c>
      <c r="AG7" s="83">
        <f>'1,6 CN'!AG7</f>
        <v>40</v>
      </c>
      <c r="AH7" s="4">
        <f t="shared" si="7"/>
        <v>0</v>
      </c>
      <c r="AI7" s="6"/>
      <c r="AJ7" s="6"/>
      <c r="AK7" s="4" t="e">
        <f t="shared" si="11"/>
        <v>#DIV/0!</v>
      </c>
      <c r="AL7" s="94">
        <f t="shared" si="12"/>
        <v>27</v>
      </c>
      <c r="AM7" s="94">
        <f t="shared" si="13"/>
        <v>232</v>
      </c>
      <c r="AN7" s="4">
        <f t="shared" si="14"/>
        <v>0.11637931034482758</v>
      </c>
      <c r="AO7" s="98" t="str">
        <f>IF(AN7&gt;10%,"1","0")</f>
        <v>1</v>
      </c>
      <c r="AS7" s="153" t="s">
        <v>180</v>
      </c>
    </row>
    <row r="8" spans="1:45" x14ac:dyDescent="0.15">
      <c r="A8" s="77" t="s">
        <v>93</v>
      </c>
      <c r="B8" s="106">
        <f>[4]A07!S77+[4]A07!T77+[4]A32!X41+[4]A32!Y41</f>
        <v>10</v>
      </c>
      <c r="C8" s="106">
        <f>'1,6 CN'!C8</f>
        <v>204</v>
      </c>
      <c r="D8" s="4">
        <f t="shared" si="8"/>
        <v>4.9019607843137254E-2</v>
      </c>
      <c r="E8" s="106">
        <f>[5]A07!S77+[5]A07!T77+[5]A32!X41+[5]A32!Y41</f>
        <v>11</v>
      </c>
      <c r="F8" s="106">
        <f>'1,6 CN'!F8</f>
        <v>166</v>
      </c>
      <c r="G8" s="4">
        <f t="shared" si="9"/>
        <v>6.6265060240963861E-2</v>
      </c>
      <c r="H8" s="106">
        <f>[6]A07!S77+[6]A07!T77+[6]A32!X41+[6]A32!Y41</f>
        <v>10</v>
      </c>
      <c r="I8" s="106">
        <f>'1,6 CN'!I8</f>
        <v>195</v>
      </c>
      <c r="J8" s="4">
        <f t="shared" si="10"/>
        <v>5.128205128205128E-2</v>
      </c>
      <c r="K8" s="106">
        <f>[7]A07!S77+[7]A07!T77+[7]A32!X41+[7]A32!Y41</f>
        <v>12</v>
      </c>
      <c r="L8" s="106">
        <f>'1,6 CN'!L8</f>
        <v>214</v>
      </c>
      <c r="M8" s="4">
        <f t="shared" si="0"/>
        <v>5.6074766355140186E-2</v>
      </c>
      <c r="N8" s="106">
        <f>[8]A07!V77+[8]A07!W77+[8]A32!AA41+[8]A32!AB41</f>
        <v>9</v>
      </c>
      <c r="O8" s="106">
        <f>'1,6 CN'!O8</f>
        <v>219</v>
      </c>
      <c r="P8" s="4">
        <f t="shared" si="1"/>
        <v>4.1095890410958902E-2</v>
      </c>
      <c r="Q8" s="106">
        <f>[9]A07!V77+[9]A07!W77+[9]A32!AA41+[9]A32!AB41</f>
        <v>6</v>
      </c>
      <c r="R8" s="106">
        <f>'1,6 CN'!R8</f>
        <v>0</v>
      </c>
      <c r="S8" s="4" t="e">
        <f t="shared" si="2"/>
        <v>#DIV/0!</v>
      </c>
      <c r="T8" s="83">
        <f>[10]A07!V77+[10]A07!W77+[10]A32!AA41+[10]A32!AB41</f>
        <v>0</v>
      </c>
      <c r="U8" s="83">
        <f>'1,6 CN'!U8</f>
        <v>0</v>
      </c>
      <c r="V8" s="4" t="e">
        <f t="shared" si="3"/>
        <v>#DIV/0!</v>
      </c>
      <c r="W8" s="83">
        <f>[11]A07!V77+[11]A07!W77+[11]A32!AA41+[11]A32!AB41</f>
        <v>0</v>
      </c>
      <c r="X8" s="83">
        <f>'1,6 CN'!X8</f>
        <v>0</v>
      </c>
      <c r="Y8" s="4" t="e">
        <f t="shared" si="4"/>
        <v>#DIV/0!</v>
      </c>
      <c r="Z8" s="83">
        <f>[12]A07!V77+[12]A07!W77+[12]A32!AA41+[12]A32!AB41</f>
        <v>1</v>
      </c>
      <c r="AA8" s="83">
        <f>'1,6 CN'!AA8</f>
        <v>30</v>
      </c>
      <c r="AB8" s="4">
        <f t="shared" si="5"/>
        <v>3.3333333333333333E-2</v>
      </c>
      <c r="AC8" s="83">
        <f>[13]A07!V77+[13]A07!W77+[13]A32!AA41+[13]A32!AB41</f>
        <v>3</v>
      </c>
      <c r="AD8" s="83">
        <f>'1,6 CN'!AD8</f>
        <v>41</v>
      </c>
      <c r="AE8" s="4">
        <f t="shared" si="6"/>
        <v>7.3170731707317069E-2</v>
      </c>
      <c r="AF8" s="83">
        <f>[14]A07!V77+[14]A07!W77+[14]A32!AA41+[14]A32!AB41</f>
        <v>0</v>
      </c>
      <c r="AG8" s="83">
        <f>'1,6 CN'!AG8</f>
        <v>7</v>
      </c>
      <c r="AH8" s="4">
        <f t="shared" si="7"/>
        <v>0</v>
      </c>
      <c r="AI8" s="6"/>
      <c r="AJ8" s="6"/>
      <c r="AK8" s="4" t="e">
        <f t="shared" si="11"/>
        <v>#DIV/0!</v>
      </c>
      <c r="AL8" s="94">
        <f t="shared" si="12"/>
        <v>58</v>
      </c>
      <c r="AM8" s="94">
        <f t="shared" si="13"/>
        <v>998</v>
      </c>
      <c r="AN8" s="4">
        <f t="shared" si="14"/>
        <v>5.8116232464929862E-2</v>
      </c>
      <c r="AO8" s="98" t="str">
        <f>IF(AN8&gt;5%,"1","0")</f>
        <v>1</v>
      </c>
      <c r="AS8" s="152" t="s">
        <v>178</v>
      </c>
    </row>
    <row r="9" spans="1:45" x14ac:dyDescent="0.15">
      <c r="A9" s="77" t="s">
        <v>94</v>
      </c>
      <c r="B9" s="106">
        <f>[4]A07!S78+[4]A07!T78+[4]A32!X42+[4]A32!Y42</f>
        <v>5</v>
      </c>
      <c r="C9" s="106">
        <f>'1,6 CN'!C9</f>
        <v>85</v>
      </c>
      <c r="D9" s="4">
        <f t="shared" si="8"/>
        <v>5.8823529411764705E-2</v>
      </c>
      <c r="E9" s="106">
        <f>[5]A07!S78+[5]A07!T78+[5]A32!X42+[5]A32!Y42</f>
        <v>3</v>
      </c>
      <c r="F9" s="106">
        <f>'1,6 CN'!F9</f>
        <v>87</v>
      </c>
      <c r="G9" s="4">
        <f t="shared" si="9"/>
        <v>3.4482758620689655E-2</v>
      </c>
      <c r="H9" s="106">
        <f>[6]A07!S78+[6]A07!T78+[6]A32!X42+[6]A32!Y42</f>
        <v>1</v>
      </c>
      <c r="I9" s="106">
        <f>'1,6 CN'!I9</f>
        <v>80</v>
      </c>
      <c r="J9" s="4">
        <f t="shared" si="10"/>
        <v>1.2500000000000001E-2</v>
      </c>
      <c r="K9" s="106">
        <f>[7]A07!S78+[7]A07!T78+[7]A32!X42+[7]A32!Y42</f>
        <v>3</v>
      </c>
      <c r="L9" s="106">
        <f>'1,6 CN'!L9</f>
        <v>77</v>
      </c>
      <c r="M9" s="4">
        <f t="shared" si="0"/>
        <v>3.896103896103896E-2</v>
      </c>
      <c r="N9" s="106">
        <f>[8]A07!V78+[8]A07!W78+[8]A32!AA42+[8]A32!AB42</f>
        <v>15</v>
      </c>
      <c r="O9" s="106">
        <f>'1,6 CN'!O9</f>
        <v>74</v>
      </c>
      <c r="P9" s="4">
        <f t="shared" si="1"/>
        <v>0.20270270270270271</v>
      </c>
      <c r="Q9" s="106">
        <f>[9]A07!V78+[9]A07!W78+[9]A32!AA42+[9]A32!AB42</f>
        <v>22</v>
      </c>
      <c r="R9" s="106">
        <f>'1,6 CN'!R9</f>
        <v>59</v>
      </c>
      <c r="S9" s="4">
        <f t="shared" si="2"/>
        <v>0.3728813559322034</v>
      </c>
      <c r="T9" s="83">
        <f>[10]A07!V78+[10]A07!W78+[10]A32!AA42+[10]A32!AB42</f>
        <v>12</v>
      </c>
      <c r="U9" s="83">
        <f>'1,6 CN'!U9</f>
        <v>72</v>
      </c>
      <c r="V9" s="4">
        <f t="shared" si="3"/>
        <v>0.16666666666666666</v>
      </c>
      <c r="W9" s="83">
        <f>[11]A07!V78+[11]A07!W78+[11]A32!AA42+[11]A32!AB42</f>
        <v>6</v>
      </c>
      <c r="X9" s="83">
        <f>'1,6 CN'!X9</f>
        <v>53</v>
      </c>
      <c r="Y9" s="4">
        <f t="shared" si="4"/>
        <v>0.11320754716981132</v>
      </c>
      <c r="Z9" s="83">
        <f>[12]A07!V78+[12]A07!W78+[12]A32!AA42+[12]A32!AB42</f>
        <v>8</v>
      </c>
      <c r="AA9" s="83">
        <f>'1,6 CN'!AA9</f>
        <v>90</v>
      </c>
      <c r="AB9" s="4">
        <f t="shared" si="5"/>
        <v>8.8888888888888892E-2</v>
      </c>
      <c r="AC9" s="83">
        <f>[13]A07!V78+[13]A07!W78+[13]A32!AA42+[13]A32!AB42</f>
        <v>11</v>
      </c>
      <c r="AD9" s="83">
        <f>'1,6 CN'!AD9</f>
        <v>55</v>
      </c>
      <c r="AE9" s="4">
        <f t="shared" si="6"/>
        <v>0.2</v>
      </c>
      <c r="AF9" s="83">
        <f>[14]A07!V78+[14]A07!W78+[14]A32!AA42+[14]A32!AB42</f>
        <v>11</v>
      </c>
      <c r="AG9" s="83">
        <f>'1,6 CN'!AG9</f>
        <v>81</v>
      </c>
      <c r="AH9" s="4">
        <f t="shared" si="7"/>
        <v>0.13580246913580246</v>
      </c>
      <c r="AI9" s="6"/>
      <c r="AJ9" s="6"/>
      <c r="AK9" s="4" t="e">
        <f t="shared" si="11"/>
        <v>#DIV/0!</v>
      </c>
      <c r="AL9" s="94">
        <f t="shared" si="12"/>
        <v>49</v>
      </c>
      <c r="AM9" s="94">
        <f t="shared" si="13"/>
        <v>462</v>
      </c>
      <c r="AN9" s="4">
        <f t="shared" si="14"/>
        <v>0.10606060606060606</v>
      </c>
      <c r="AO9" s="98" t="str">
        <f>IF(AN9&gt;7%,"1","0")</f>
        <v>1</v>
      </c>
      <c r="AS9" s="152" t="s">
        <v>179</v>
      </c>
    </row>
    <row r="10" spans="1:45" x14ac:dyDescent="0.15">
      <c r="A10" s="77" t="s">
        <v>95</v>
      </c>
      <c r="B10" s="106">
        <f>[4]A07!S79+[4]A07!T79+[4]A32!X43+[4]A32!Y43</f>
        <v>0</v>
      </c>
      <c r="C10" s="106">
        <f>'1,6 CN'!C10</f>
        <v>0</v>
      </c>
      <c r="D10" s="4" t="str">
        <f t="shared" si="8"/>
        <v/>
      </c>
      <c r="E10" s="106">
        <f>[5]A07!S79+[5]A07!T79+[5]A32!X43+[5]A32!Y43</f>
        <v>0</v>
      </c>
      <c r="F10" s="106">
        <f>'1,6 CN'!F10</f>
        <v>0</v>
      </c>
      <c r="G10" s="4" t="str">
        <f t="shared" si="9"/>
        <v/>
      </c>
      <c r="H10" s="106">
        <f>[6]A07!S79+[6]A07!T79+[6]A32!X43+[6]A32!Y43</f>
        <v>0</v>
      </c>
      <c r="I10" s="106">
        <f>'1,6 CN'!I10</f>
        <v>0</v>
      </c>
      <c r="J10" s="4" t="str">
        <f t="shared" si="10"/>
        <v/>
      </c>
      <c r="K10" s="106">
        <f>[7]A07!S79+[7]A07!T79+[7]A32!X43+[7]A32!Y43</f>
        <v>0</v>
      </c>
      <c r="L10" s="106">
        <f>'1,6 CN'!L10</f>
        <v>0</v>
      </c>
      <c r="M10" s="4" t="e">
        <f t="shared" si="0"/>
        <v>#DIV/0!</v>
      </c>
      <c r="N10" s="106">
        <f>[8]A07!V79+[8]A07!W79+[8]A32!AA43+[8]A32!AB43</f>
        <v>0</v>
      </c>
      <c r="O10" s="106">
        <f>'1,6 CN'!O10</f>
        <v>0</v>
      </c>
      <c r="P10" s="4" t="e">
        <f t="shared" si="1"/>
        <v>#DIV/0!</v>
      </c>
      <c r="Q10" s="106">
        <f>[9]A07!V79+[9]A07!W79+[9]A32!AA43+[9]A32!AB43</f>
        <v>0</v>
      </c>
      <c r="R10" s="106">
        <f>'1,6 CN'!R10</f>
        <v>0</v>
      </c>
      <c r="S10" s="4" t="e">
        <f t="shared" si="2"/>
        <v>#DIV/0!</v>
      </c>
      <c r="T10" s="83">
        <f>[10]A07!V79+[10]A07!W79+[10]A32!AA43+[10]A32!AB43</f>
        <v>0</v>
      </c>
      <c r="U10" s="83">
        <f>'1,6 CN'!U10</f>
        <v>0</v>
      </c>
      <c r="V10" s="4" t="e">
        <f t="shared" si="3"/>
        <v>#DIV/0!</v>
      </c>
      <c r="W10" s="83">
        <f>[11]A07!V79+[11]A07!W79+[11]A32!AA43+[11]A32!AB43</f>
        <v>0</v>
      </c>
      <c r="X10" s="83">
        <f>'1,6 CN'!X10</f>
        <v>0</v>
      </c>
      <c r="Y10" s="4" t="e">
        <f t="shared" si="4"/>
        <v>#DIV/0!</v>
      </c>
      <c r="Z10" s="83">
        <f>[12]A07!V79+[12]A07!W79+[12]A32!AA43+[12]A32!AB43</f>
        <v>0</v>
      </c>
      <c r="AA10" s="83">
        <f>'1,6 CN'!AA10</f>
        <v>0</v>
      </c>
      <c r="AB10" s="4" t="e">
        <f t="shared" si="5"/>
        <v>#DIV/0!</v>
      </c>
      <c r="AC10" s="83">
        <f>[13]A07!V79+[13]A07!W79+[13]A32!AA43+[13]A32!AB43</f>
        <v>0</v>
      </c>
      <c r="AD10" s="83">
        <f>'1,6 CN'!AD10</f>
        <v>0</v>
      </c>
      <c r="AE10" s="4" t="e">
        <f t="shared" si="6"/>
        <v>#DIV/0!</v>
      </c>
      <c r="AF10" s="83">
        <f>[14]A07!V79+[14]A07!W79+[14]A32!AA43+[14]A32!AB43</f>
        <v>0</v>
      </c>
      <c r="AG10" s="83">
        <f>'1,6 CN'!AG10</f>
        <v>0</v>
      </c>
      <c r="AH10" s="4" t="e">
        <f t="shared" si="7"/>
        <v>#DIV/0!</v>
      </c>
      <c r="AI10" s="6"/>
      <c r="AJ10" s="6"/>
      <c r="AK10" s="4" t="e">
        <f t="shared" si="11"/>
        <v>#DIV/0!</v>
      </c>
      <c r="AL10" s="94">
        <f t="shared" si="12"/>
        <v>0</v>
      </c>
      <c r="AM10" s="94">
        <f t="shared" si="13"/>
        <v>0</v>
      </c>
      <c r="AN10" s="4" t="str">
        <f t="shared" si="14"/>
        <v/>
      </c>
      <c r="AO10" s="6"/>
    </row>
    <row r="11" spans="1:45" x14ac:dyDescent="0.15">
      <c r="A11" s="77" t="s">
        <v>96</v>
      </c>
      <c r="B11" s="106">
        <f>[4]A07!S80+[4]A07!T80+[4]A32!X44+[4]A32!Y44</f>
        <v>0</v>
      </c>
      <c r="C11" s="106">
        <f>'1,6 CN'!C11</f>
        <v>0</v>
      </c>
      <c r="D11" s="4" t="str">
        <f t="shared" si="8"/>
        <v/>
      </c>
      <c r="E11" s="106">
        <f>[5]A07!S80+[5]A07!T80+[5]A32!X44+[5]A32!Y44</f>
        <v>0</v>
      </c>
      <c r="F11" s="106">
        <f>'1,6 CN'!F11</f>
        <v>0</v>
      </c>
      <c r="G11" s="4" t="str">
        <f t="shared" si="9"/>
        <v/>
      </c>
      <c r="H11" s="106">
        <f>[6]A07!S80+[6]A07!T80+[6]A32!X44+[6]A32!Y44</f>
        <v>0</v>
      </c>
      <c r="I11" s="106">
        <f>'1,6 CN'!I11</f>
        <v>0</v>
      </c>
      <c r="J11" s="4" t="str">
        <f t="shared" si="10"/>
        <v/>
      </c>
      <c r="K11" s="106">
        <f>[7]A07!S80+[7]A07!T80+[7]A32!X44+[7]A32!Y44</f>
        <v>0</v>
      </c>
      <c r="L11" s="106">
        <f>'1,6 CN'!L11</f>
        <v>0</v>
      </c>
      <c r="M11" s="4" t="e">
        <f t="shared" si="0"/>
        <v>#DIV/0!</v>
      </c>
      <c r="N11" s="106">
        <f>[8]A07!V80+[8]A07!W80+[8]A32!AA44+[8]A32!AB44</f>
        <v>0</v>
      </c>
      <c r="O11" s="106">
        <f>'1,6 CN'!O11</f>
        <v>0</v>
      </c>
      <c r="P11" s="4" t="e">
        <f t="shared" si="1"/>
        <v>#DIV/0!</v>
      </c>
      <c r="Q11" s="106">
        <f>[9]A07!V80+[9]A07!W80+[9]A32!AA44+[9]A32!AB44</f>
        <v>0</v>
      </c>
      <c r="R11" s="106">
        <f>'1,6 CN'!R11</f>
        <v>0</v>
      </c>
      <c r="S11" s="4" t="e">
        <f t="shared" si="2"/>
        <v>#DIV/0!</v>
      </c>
      <c r="T11" s="83">
        <f>[10]A07!V80+[10]A07!W80+[10]A32!AA44+[10]A32!AB44</f>
        <v>0</v>
      </c>
      <c r="U11" s="83">
        <f>'1,6 CN'!U11</f>
        <v>0</v>
      </c>
      <c r="V11" s="4" t="e">
        <f t="shared" si="3"/>
        <v>#DIV/0!</v>
      </c>
      <c r="W11" s="83">
        <f>[11]A07!V80+[11]A07!W80+[11]A32!AA44+[11]A32!AB44</f>
        <v>0</v>
      </c>
      <c r="X11" s="83">
        <f>'1,6 CN'!X11</f>
        <v>0</v>
      </c>
      <c r="Y11" s="4" t="e">
        <f t="shared" si="4"/>
        <v>#DIV/0!</v>
      </c>
      <c r="Z11" s="83">
        <f>[12]A07!V80+[12]A07!W80+[12]A32!AA44+[12]A32!AB44</f>
        <v>0</v>
      </c>
      <c r="AA11" s="83">
        <f>'1,6 CN'!AA11</f>
        <v>0</v>
      </c>
      <c r="AB11" s="4" t="e">
        <f t="shared" si="5"/>
        <v>#DIV/0!</v>
      </c>
      <c r="AC11" s="83">
        <f>[13]A07!V80+[13]A07!W80+[13]A32!AA44+[13]A32!AB44</f>
        <v>0</v>
      </c>
      <c r="AD11" s="83">
        <f>'1,6 CN'!AD11</f>
        <v>0</v>
      </c>
      <c r="AE11" s="4" t="e">
        <f t="shared" si="6"/>
        <v>#DIV/0!</v>
      </c>
      <c r="AF11" s="83">
        <f>[14]A07!V80+[14]A07!W80+[14]A32!AA44+[14]A32!AB44</f>
        <v>0</v>
      </c>
      <c r="AG11" s="83">
        <f>'1,6 CN'!AG11</f>
        <v>0</v>
      </c>
      <c r="AH11" s="4" t="e">
        <f t="shared" si="7"/>
        <v>#DIV/0!</v>
      </c>
      <c r="AI11" s="6"/>
      <c r="AJ11" s="6"/>
      <c r="AK11" s="4" t="e">
        <f t="shared" si="11"/>
        <v>#DIV/0!</v>
      </c>
      <c r="AL11" s="94">
        <f t="shared" si="12"/>
        <v>0</v>
      </c>
      <c r="AM11" s="94">
        <f t="shared" si="13"/>
        <v>0</v>
      </c>
      <c r="AN11" s="4" t="str">
        <f t="shared" si="14"/>
        <v/>
      </c>
      <c r="AO11" s="6"/>
    </row>
    <row r="12" spans="1:45" x14ac:dyDescent="0.15">
      <c r="A12" s="77" t="s">
        <v>97</v>
      </c>
      <c r="B12" s="106">
        <f>[4]A07!S81+[4]A07!T81+[4]A32!X45+[4]A32!Y45</f>
        <v>0</v>
      </c>
      <c r="C12" s="106">
        <f>'1,6 CN'!C12</f>
        <v>8</v>
      </c>
      <c r="D12" s="4">
        <f t="shared" si="8"/>
        <v>0</v>
      </c>
      <c r="E12" s="106">
        <f>[5]A07!S81+[5]A07!T81+[5]A32!X45+[5]A32!Y45</f>
        <v>0</v>
      </c>
      <c r="F12" s="106">
        <f>'1,6 CN'!F12</f>
        <v>0</v>
      </c>
      <c r="G12" s="4" t="str">
        <f t="shared" si="9"/>
        <v/>
      </c>
      <c r="H12" s="106">
        <f>[6]A07!S81+[6]A07!T81+[6]A32!X45+[6]A32!Y45</f>
        <v>3</v>
      </c>
      <c r="I12" s="106">
        <f>'1,6 CN'!I12</f>
        <v>44</v>
      </c>
      <c r="J12" s="4">
        <f t="shared" si="10"/>
        <v>6.8181818181818177E-2</v>
      </c>
      <c r="K12" s="106">
        <f>[7]A07!S81+[7]A07!T81+[7]A32!X45+[7]A32!Y45</f>
        <v>4</v>
      </c>
      <c r="L12" s="106">
        <f>'1,6 CN'!L12</f>
        <v>40</v>
      </c>
      <c r="M12" s="4">
        <f t="shared" si="0"/>
        <v>0.1</v>
      </c>
      <c r="N12" s="106">
        <f>[8]A07!V81+[8]A07!W81+[8]A32!AA45+[8]A32!AB45</f>
        <v>1</v>
      </c>
      <c r="O12" s="106">
        <f>'1,6 CN'!O12</f>
        <v>23</v>
      </c>
      <c r="P12" s="4">
        <f t="shared" si="1"/>
        <v>4.3478260869565216E-2</v>
      </c>
      <c r="Q12" s="106">
        <f>[9]A07!V81+[9]A07!W81+[9]A32!AA45+[9]A32!AB45</f>
        <v>0</v>
      </c>
      <c r="R12" s="106">
        <f>'1,6 CN'!R12</f>
        <v>17</v>
      </c>
      <c r="S12" s="4">
        <f t="shared" si="2"/>
        <v>0</v>
      </c>
      <c r="T12" s="83">
        <f>[10]A07!V81+[10]A07!W81+[10]A32!AA45+[10]A32!AB45</f>
        <v>42</v>
      </c>
      <c r="U12" s="83">
        <f>'1,6 CN'!U12</f>
        <v>23</v>
      </c>
      <c r="V12" s="4">
        <f t="shared" si="3"/>
        <v>1.826086956521739</v>
      </c>
      <c r="W12" s="83">
        <f>[11]A07!V81+[11]A07!W81+[11]A32!AA45+[11]A32!AB45</f>
        <v>20</v>
      </c>
      <c r="X12" s="83">
        <f>'1,6 CN'!X12</f>
        <v>56</v>
      </c>
      <c r="Y12" s="4">
        <f t="shared" si="4"/>
        <v>0.35714285714285715</v>
      </c>
      <c r="Z12" s="83">
        <f>[12]A07!V81+[12]A07!W81+[12]A32!AA45+[12]A32!AB45</f>
        <v>10</v>
      </c>
      <c r="AA12" s="83">
        <f>'1,6 CN'!AA12</f>
        <v>50</v>
      </c>
      <c r="AB12" s="4">
        <f t="shared" si="5"/>
        <v>0.2</v>
      </c>
      <c r="AC12" s="83">
        <f>[13]A07!V81+[13]A07!W81+[13]A32!AA45+[13]A32!AB45</f>
        <v>8</v>
      </c>
      <c r="AD12" s="83">
        <f>'1,6 CN'!AD12</f>
        <v>44</v>
      </c>
      <c r="AE12" s="4">
        <f t="shared" si="6"/>
        <v>0.18181818181818182</v>
      </c>
      <c r="AF12" s="83">
        <f>[14]A07!V81+[14]A07!W81+[14]A32!AA45+[14]A32!AB45</f>
        <v>27</v>
      </c>
      <c r="AG12" s="83">
        <f>'1,6 CN'!AG12</f>
        <v>49</v>
      </c>
      <c r="AH12" s="4">
        <f t="shared" si="7"/>
        <v>0.55102040816326525</v>
      </c>
      <c r="AI12" s="6"/>
      <c r="AJ12" s="6"/>
      <c r="AK12" s="4" t="e">
        <f t="shared" si="11"/>
        <v>#DIV/0!</v>
      </c>
      <c r="AL12" s="94">
        <f t="shared" si="12"/>
        <v>8</v>
      </c>
      <c r="AM12" s="94">
        <f t="shared" si="13"/>
        <v>132</v>
      </c>
      <c r="AN12" s="4">
        <f t="shared" si="14"/>
        <v>6.0606060606060608E-2</v>
      </c>
      <c r="AO12" s="98" t="str">
        <f>IF(AN12&gt;10%,"1","0")</f>
        <v>0</v>
      </c>
      <c r="AS12" s="152" t="s">
        <v>180</v>
      </c>
    </row>
    <row r="13" spans="1:45" x14ac:dyDescent="0.15">
      <c r="A13" s="77" t="s">
        <v>98</v>
      </c>
      <c r="B13" s="106">
        <f>[4]A07!S82+[4]A07!T82+[4]A32!X46+[4]A32!Y46</f>
        <v>0</v>
      </c>
      <c r="C13" s="106">
        <f>'1,6 CN'!C13</f>
        <v>0</v>
      </c>
      <c r="D13" s="4" t="str">
        <f t="shared" si="8"/>
        <v/>
      </c>
      <c r="E13" s="106">
        <f>[5]A07!S82+[5]A07!T82+[5]A32!X46+[5]A32!Y46</f>
        <v>0</v>
      </c>
      <c r="F13" s="106">
        <f>'1,6 CN'!F13</f>
        <v>0</v>
      </c>
      <c r="G13" s="4" t="str">
        <f t="shared" si="9"/>
        <v/>
      </c>
      <c r="H13" s="106">
        <f>[6]A07!S82+[6]A07!T82+[6]A32!X46+[6]A32!Y46</f>
        <v>0</v>
      </c>
      <c r="I13" s="106">
        <f>'1,6 CN'!I13</f>
        <v>0</v>
      </c>
      <c r="J13" s="4" t="str">
        <f t="shared" si="10"/>
        <v/>
      </c>
      <c r="K13" s="106">
        <f>[7]A07!S82+[7]A07!T82+[7]A32!X46+[7]A32!Y46</f>
        <v>0</v>
      </c>
      <c r="L13" s="106">
        <f>'1,6 CN'!L13</f>
        <v>0</v>
      </c>
      <c r="M13" s="4" t="e">
        <f t="shared" si="0"/>
        <v>#DIV/0!</v>
      </c>
      <c r="N13" s="106">
        <f>[8]A07!V82+[8]A07!W82+[8]A32!AA46+[8]A32!AB46</f>
        <v>0</v>
      </c>
      <c r="O13" s="106">
        <f>'1,6 CN'!O13</f>
        <v>0</v>
      </c>
      <c r="P13" s="4" t="e">
        <f t="shared" si="1"/>
        <v>#DIV/0!</v>
      </c>
      <c r="Q13" s="106">
        <f>[9]A07!V82+[9]A07!W82+[9]A32!AA46+[9]A32!AB46</f>
        <v>0</v>
      </c>
      <c r="R13" s="106">
        <f>'1,6 CN'!R13</f>
        <v>0</v>
      </c>
      <c r="S13" s="4" t="e">
        <f t="shared" si="2"/>
        <v>#DIV/0!</v>
      </c>
      <c r="T13" s="83">
        <f>[10]A07!V82+[10]A07!W82+[10]A32!AA46+[10]A32!AB46</f>
        <v>0</v>
      </c>
      <c r="U13" s="83">
        <f>'1,6 CN'!U13</f>
        <v>0</v>
      </c>
      <c r="V13" s="4" t="e">
        <f t="shared" si="3"/>
        <v>#DIV/0!</v>
      </c>
      <c r="W13" s="83">
        <f>[11]A07!V82+[11]A07!W82+[11]A32!AA46+[11]A32!AB46</f>
        <v>0</v>
      </c>
      <c r="X13" s="83">
        <f>'1,6 CN'!X13</f>
        <v>0</v>
      </c>
      <c r="Y13" s="4" t="e">
        <f t="shared" si="4"/>
        <v>#DIV/0!</v>
      </c>
      <c r="Z13" s="83">
        <f>[12]A07!V82+[12]A07!W82+[12]A32!AA46+[12]A32!AB46</f>
        <v>0</v>
      </c>
      <c r="AA13" s="83">
        <f>'1,6 CN'!AA13</f>
        <v>0</v>
      </c>
      <c r="AB13" s="4" t="e">
        <f t="shared" si="5"/>
        <v>#DIV/0!</v>
      </c>
      <c r="AC13" s="83">
        <f>[13]A07!V82+[13]A07!W82+[13]A32!AA46+[13]A32!AB46</f>
        <v>0</v>
      </c>
      <c r="AD13" s="83">
        <f>'1,6 CN'!AD13</f>
        <v>0</v>
      </c>
      <c r="AE13" s="4" t="e">
        <f t="shared" si="6"/>
        <v>#DIV/0!</v>
      </c>
      <c r="AF13" s="83">
        <f>[14]A07!V82+[14]A07!W82+[14]A32!AA46+[14]A32!AB46</f>
        <v>0</v>
      </c>
      <c r="AG13" s="83">
        <f>'1,6 CN'!AG13</f>
        <v>0</v>
      </c>
      <c r="AH13" s="4" t="e">
        <f t="shared" si="7"/>
        <v>#DIV/0!</v>
      </c>
      <c r="AI13" s="6"/>
      <c r="AJ13" s="6"/>
      <c r="AK13" s="4" t="e">
        <f t="shared" si="11"/>
        <v>#DIV/0!</v>
      </c>
      <c r="AL13" s="94">
        <f t="shared" si="12"/>
        <v>0</v>
      </c>
      <c r="AM13" s="94">
        <f t="shared" si="13"/>
        <v>0</v>
      </c>
      <c r="AN13" s="4" t="str">
        <f t="shared" si="14"/>
        <v/>
      </c>
      <c r="AO13" s="1"/>
    </row>
    <row r="14" spans="1:45" x14ac:dyDescent="0.15">
      <c r="A14" s="77" t="s">
        <v>99</v>
      </c>
      <c r="B14" s="106">
        <f>[4]A07!S83+[4]A07!T83+[4]A32!X47+[4]A32!Y47</f>
        <v>0</v>
      </c>
      <c r="C14" s="106">
        <f>'1,6 CN'!C14</f>
        <v>0</v>
      </c>
      <c r="D14" s="4" t="str">
        <f t="shared" si="8"/>
        <v/>
      </c>
      <c r="E14" s="106">
        <f>[5]A07!S83+[5]A07!T83+[5]A32!X47+[5]A32!Y47</f>
        <v>0</v>
      </c>
      <c r="F14" s="106">
        <f>'1,6 CN'!F14</f>
        <v>0</v>
      </c>
      <c r="G14" s="4" t="str">
        <f t="shared" si="9"/>
        <v/>
      </c>
      <c r="H14" s="106">
        <f>[6]A07!S83+[6]A07!T83+[6]A32!X47+[6]A32!Y47</f>
        <v>0</v>
      </c>
      <c r="I14" s="106">
        <f>'1,6 CN'!I14</f>
        <v>0</v>
      </c>
      <c r="J14" s="4" t="str">
        <f t="shared" si="10"/>
        <v/>
      </c>
      <c r="K14" s="106">
        <f>[7]A07!S83+[7]A07!T83+[7]A32!X47+[7]A32!Y47</f>
        <v>0</v>
      </c>
      <c r="L14" s="106">
        <f>'1,6 CN'!L14</f>
        <v>0</v>
      </c>
      <c r="M14" s="4" t="e">
        <f t="shared" si="0"/>
        <v>#DIV/0!</v>
      </c>
      <c r="N14" s="106">
        <f>[8]A07!V83+[8]A07!W83+[8]A32!AA47+[8]A32!AB47</f>
        <v>0</v>
      </c>
      <c r="O14" s="106">
        <f>'1,6 CN'!O14</f>
        <v>0</v>
      </c>
      <c r="P14" s="4" t="e">
        <f t="shared" si="1"/>
        <v>#DIV/0!</v>
      </c>
      <c r="Q14" s="106">
        <f>[9]A07!V83+[9]A07!W83+[9]A32!AA47+[9]A32!AB47</f>
        <v>0</v>
      </c>
      <c r="R14" s="106">
        <f>'1,6 CN'!R14</f>
        <v>0</v>
      </c>
      <c r="S14" s="4" t="e">
        <f t="shared" si="2"/>
        <v>#DIV/0!</v>
      </c>
      <c r="T14" s="83">
        <f>[10]A07!V83+[10]A07!W83+[10]A32!AA47+[10]A32!AB47</f>
        <v>0</v>
      </c>
      <c r="U14" s="83">
        <f>'1,6 CN'!U14</f>
        <v>0</v>
      </c>
      <c r="V14" s="4" t="e">
        <f t="shared" si="3"/>
        <v>#DIV/0!</v>
      </c>
      <c r="W14" s="83">
        <f>[11]A07!V83+[11]A07!W83+[11]A32!AA47+[11]A32!AB47</f>
        <v>0</v>
      </c>
      <c r="X14" s="83">
        <f>'1,6 CN'!X14</f>
        <v>0</v>
      </c>
      <c r="Y14" s="4" t="e">
        <f t="shared" si="4"/>
        <v>#DIV/0!</v>
      </c>
      <c r="Z14" s="83">
        <f>[12]A07!V83+[12]A07!W83+[12]A32!AA47+[12]A32!AB47</f>
        <v>0</v>
      </c>
      <c r="AA14" s="83">
        <f>'1,6 CN'!AA14</f>
        <v>0</v>
      </c>
      <c r="AB14" s="4" t="e">
        <f t="shared" si="5"/>
        <v>#DIV/0!</v>
      </c>
      <c r="AC14" s="83">
        <f>[13]A07!V83+[13]A07!W83+[13]A32!AA47+[13]A32!AB47</f>
        <v>0</v>
      </c>
      <c r="AD14" s="83">
        <f>'1,6 CN'!AD14</f>
        <v>0</v>
      </c>
      <c r="AE14" s="4" t="e">
        <f t="shared" si="6"/>
        <v>#DIV/0!</v>
      </c>
      <c r="AF14" s="83">
        <f>[14]A07!V83+[14]A07!W83+[14]A32!AA47+[14]A32!AB47</f>
        <v>0</v>
      </c>
      <c r="AG14" s="83">
        <f>'1,6 CN'!AG14</f>
        <v>0</v>
      </c>
      <c r="AH14" s="4" t="e">
        <f t="shared" si="7"/>
        <v>#DIV/0!</v>
      </c>
      <c r="AI14" s="6"/>
      <c r="AJ14" s="6"/>
      <c r="AK14" s="4" t="e">
        <f t="shared" si="11"/>
        <v>#DIV/0!</v>
      </c>
      <c r="AL14" s="94">
        <f t="shared" si="12"/>
        <v>0</v>
      </c>
      <c r="AM14" s="94">
        <f t="shared" si="13"/>
        <v>0</v>
      </c>
      <c r="AN14" s="4" t="str">
        <f t="shared" si="14"/>
        <v/>
      </c>
      <c r="AO14" s="1"/>
    </row>
    <row r="15" spans="1:45" x14ac:dyDescent="0.15">
      <c r="A15" s="78" t="s">
        <v>100</v>
      </c>
      <c r="B15" s="106">
        <f>[4]A07!S84+[4]A07!T84+[4]A32!X48+[4]A32!Y48</f>
        <v>0</v>
      </c>
      <c r="C15" s="106">
        <f>'1,6 CN'!C15</f>
        <v>0</v>
      </c>
      <c r="D15" s="4" t="str">
        <f t="shared" si="8"/>
        <v/>
      </c>
      <c r="E15" s="106">
        <f>[5]A07!S84+[5]A07!T84+[5]A32!X48+[5]A32!Y48</f>
        <v>0</v>
      </c>
      <c r="F15" s="106">
        <f>'1,6 CN'!F15</f>
        <v>0</v>
      </c>
      <c r="G15" s="4" t="str">
        <f t="shared" si="9"/>
        <v/>
      </c>
      <c r="H15" s="106">
        <f>[6]A07!S84+[6]A07!T84+[6]A32!X48+[6]A32!Y48</f>
        <v>0</v>
      </c>
      <c r="I15" s="106">
        <f>'1,6 CN'!I15</f>
        <v>0</v>
      </c>
      <c r="J15" s="4" t="str">
        <f t="shared" si="10"/>
        <v/>
      </c>
      <c r="K15" s="106">
        <f>[7]A07!S84+[7]A07!T84+[7]A32!X48+[7]A32!Y48</f>
        <v>0</v>
      </c>
      <c r="L15" s="106">
        <f>'1,6 CN'!L15</f>
        <v>0</v>
      </c>
      <c r="M15" s="4" t="e">
        <f t="shared" si="0"/>
        <v>#DIV/0!</v>
      </c>
      <c r="N15" s="106">
        <f>[8]A07!V84+[8]A07!W84+[8]A32!AA48+[8]A32!AB48</f>
        <v>0</v>
      </c>
      <c r="O15" s="106">
        <f>'1,6 CN'!O15</f>
        <v>0</v>
      </c>
      <c r="P15" s="4" t="e">
        <f t="shared" si="1"/>
        <v>#DIV/0!</v>
      </c>
      <c r="Q15" s="106">
        <f>[9]A07!V84+[9]A07!W84+[9]A32!AA48+[9]A32!AB48</f>
        <v>0</v>
      </c>
      <c r="R15" s="106">
        <f>'1,6 CN'!R15</f>
        <v>0</v>
      </c>
      <c r="S15" s="4" t="e">
        <f t="shared" si="2"/>
        <v>#DIV/0!</v>
      </c>
      <c r="T15" s="83">
        <f>[10]A07!V84+[10]A07!W84+[10]A32!AA48+[10]A32!AB48</f>
        <v>0</v>
      </c>
      <c r="U15" s="83">
        <f>'1,6 CN'!U15</f>
        <v>0</v>
      </c>
      <c r="V15" s="4" t="e">
        <f t="shared" si="3"/>
        <v>#DIV/0!</v>
      </c>
      <c r="W15" s="83">
        <f>[11]A07!V84+[11]A07!W84+[11]A32!AA48+[11]A32!AB48</f>
        <v>0</v>
      </c>
      <c r="X15" s="83">
        <f>'1,6 CN'!X15</f>
        <v>0</v>
      </c>
      <c r="Y15" s="4" t="e">
        <f t="shared" si="4"/>
        <v>#DIV/0!</v>
      </c>
      <c r="Z15" s="83">
        <f>[12]A07!V84+[12]A07!W84+[12]A32!AA48+[12]A32!AB48</f>
        <v>0</v>
      </c>
      <c r="AA15" s="83">
        <f>'1,6 CN'!AA15</f>
        <v>0</v>
      </c>
      <c r="AB15" s="4" t="e">
        <f t="shared" si="5"/>
        <v>#DIV/0!</v>
      </c>
      <c r="AC15" s="83">
        <f>[13]A07!V84+[13]A07!W84+[13]A32!AA48+[13]A32!AB48</f>
        <v>0</v>
      </c>
      <c r="AD15" s="83">
        <f>'1,6 CN'!AD15</f>
        <v>0</v>
      </c>
      <c r="AE15" s="4" t="e">
        <f t="shared" si="6"/>
        <v>#DIV/0!</v>
      </c>
      <c r="AF15" s="83">
        <f>[14]A07!V84+[14]A07!W84+[14]A32!AA48+[14]A32!AB48</f>
        <v>0</v>
      </c>
      <c r="AG15" s="83">
        <f>'1,6 CN'!AG15</f>
        <v>0</v>
      </c>
      <c r="AH15" s="4" t="e">
        <f t="shared" si="7"/>
        <v>#DIV/0!</v>
      </c>
      <c r="AI15" s="6"/>
      <c r="AJ15" s="6"/>
      <c r="AK15" s="4" t="e">
        <f t="shared" si="11"/>
        <v>#DIV/0!</v>
      </c>
      <c r="AL15" s="94">
        <f t="shared" si="12"/>
        <v>0</v>
      </c>
      <c r="AM15" s="94">
        <f t="shared" si="13"/>
        <v>0</v>
      </c>
      <c r="AN15" s="4" t="str">
        <f t="shared" si="14"/>
        <v/>
      </c>
      <c r="AO15" s="1"/>
    </row>
    <row r="16" spans="1:45" x14ac:dyDescent="0.15">
      <c r="A16" s="77" t="s">
        <v>101</v>
      </c>
      <c r="B16" s="106">
        <f>[4]A07!S85+[4]A07!T85+[4]A32!X49+[4]A32!Y49</f>
        <v>0</v>
      </c>
      <c r="C16" s="106">
        <f>'1,6 CN'!C16</f>
        <v>0</v>
      </c>
      <c r="D16" s="4" t="str">
        <f t="shared" si="8"/>
        <v/>
      </c>
      <c r="E16" s="106">
        <f>[5]A07!S85+[5]A07!T85+[5]A32!X49+[5]A32!Y49</f>
        <v>0</v>
      </c>
      <c r="F16" s="106">
        <f>'1,6 CN'!F16</f>
        <v>0</v>
      </c>
      <c r="G16" s="4" t="str">
        <f t="shared" si="9"/>
        <v/>
      </c>
      <c r="H16" s="106">
        <f>[6]A07!S85+[6]A07!T85+[6]A32!X49+[6]A32!Y49</f>
        <v>0</v>
      </c>
      <c r="I16" s="106">
        <f>'1,6 CN'!I16</f>
        <v>0</v>
      </c>
      <c r="J16" s="4" t="str">
        <f t="shared" si="10"/>
        <v/>
      </c>
      <c r="K16" s="106">
        <f>[7]A07!S85+[7]A07!T85+[7]A32!X49+[7]A32!Y49</f>
        <v>0</v>
      </c>
      <c r="L16" s="106">
        <f>'1,6 CN'!L16</f>
        <v>0</v>
      </c>
      <c r="M16" s="4" t="e">
        <f t="shared" si="0"/>
        <v>#DIV/0!</v>
      </c>
      <c r="N16" s="106">
        <f>[8]A07!V85+[8]A07!W85+[8]A32!AA49+[8]A32!AB49</f>
        <v>0</v>
      </c>
      <c r="O16" s="106">
        <f>'1,6 CN'!O16</f>
        <v>0</v>
      </c>
      <c r="P16" s="4" t="e">
        <f t="shared" si="1"/>
        <v>#DIV/0!</v>
      </c>
      <c r="Q16" s="106">
        <f>[9]A07!V85+[9]A07!W85+[9]A32!AA49+[9]A32!AB49</f>
        <v>0</v>
      </c>
      <c r="R16" s="106">
        <f>'1,6 CN'!R16</f>
        <v>0</v>
      </c>
      <c r="S16" s="4" t="e">
        <f t="shared" si="2"/>
        <v>#DIV/0!</v>
      </c>
      <c r="T16" s="83">
        <f>[10]A07!V85+[10]A07!W85+[10]A32!AA49+[10]A32!AB49</f>
        <v>0</v>
      </c>
      <c r="U16" s="83">
        <f>'1,6 CN'!U16</f>
        <v>0</v>
      </c>
      <c r="V16" s="4" t="e">
        <f t="shared" si="3"/>
        <v>#DIV/0!</v>
      </c>
      <c r="W16" s="83">
        <f>[11]A07!V85+[11]A07!W85+[11]A32!AA49+[11]A32!AB49</f>
        <v>0</v>
      </c>
      <c r="X16" s="83">
        <f>'1,6 CN'!X16</f>
        <v>0</v>
      </c>
      <c r="Y16" s="4" t="e">
        <f t="shared" si="4"/>
        <v>#DIV/0!</v>
      </c>
      <c r="Z16" s="83">
        <f>[12]A07!V85+[12]A07!W85+[12]A32!AA49+[12]A32!AB49</f>
        <v>0</v>
      </c>
      <c r="AA16" s="83">
        <f>'1,6 CN'!AA16</f>
        <v>0</v>
      </c>
      <c r="AB16" s="4" t="e">
        <f t="shared" si="5"/>
        <v>#DIV/0!</v>
      </c>
      <c r="AC16" s="83">
        <f>[13]A07!V85+[13]A07!W85+[13]A32!AA49+[13]A32!AB49</f>
        <v>0</v>
      </c>
      <c r="AD16" s="83">
        <f>'1,6 CN'!AD16</f>
        <v>0</v>
      </c>
      <c r="AE16" s="4" t="e">
        <f t="shared" si="6"/>
        <v>#DIV/0!</v>
      </c>
      <c r="AF16" s="83">
        <f>[14]A07!V85+[14]A07!W85+[14]A32!AA49+[14]A32!AB49</f>
        <v>0</v>
      </c>
      <c r="AG16" s="83">
        <f>'1,6 CN'!AG16</f>
        <v>0</v>
      </c>
      <c r="AH16" s="4" t="e">
        <f t="shared" si="7"/>
        <v>#DIV/0!</v>
      </c>
      <c r="AI16" s="6"/>
      <c r="AJ16" s="6"/>
      <c r="AK16" s="4" t="e">
        <f t="shared" si="11"/>
        <v>#DIV/0!</v>
      </c>
      <c r="AL16" s="94">
        <f t="shared" si="12"/>
        <v>0</v>
      </c>
      <c r="AM16" s="94">
        <f t="shared" si="13"/>
        <v>0</v>
      </c>
      <c r="AN16" s="4" t="str">
        <f t="shared" si="14"/>
        <v/>
      </c>
      <c r="AO16" s="1"/>
    </row>
    <row r="17" spans="1:45" x14ac:dyDescent="0.15">
      <c r="A17" s="77" t="s">
        <v>102</v>
      </c>
      <c r="B17" s="106">
        <f>[4]A07!S86+[4]A07!T86+[4]A32!X50+[4]A32!Y50</f>
        <v>0</v>
      </c>
      <c r="C17" s="106">
        <f>'1,6 CN'!C17</f>
        <v>7</v>
      </c>
      <c r="D17" s="4">
        <f t="shared" si="8"/>
        <v>0</v>
      </c>
      <c r="E17" s="106">
        <f>[5]A07!S86+[5]A07!T86+[5]A32!X50+[5]A32!Y50</f>
        <v>0</v>
      </c>
      <c r="F17" s="106">
        <f>'1,6 CN'!F17</f>
        <v>0</v>
      </c>
      <c r="G17" s="4" t="str">
        <f t="shared" si="9"/>
        <v/>
      </c>
      <c r="H17" s="106">
        <f>[6]A07!S86+[6]A07!T86+[6]A32!X50+[6]A32!Y50</f>
        <v>12</v>
      </c>
      <c r="I17" s="106">
        <f>'1,6 CN'!I17</f>
        <v>13</v>
      </c>
      <c r="J17" s="4">
        <f t="shared" si="10"/>
        <v>0.92307692307692313</v>
      </c>
      <c r="K17" s="106">
        <f>[7]A07!S86+[7]A07!T86+[7]A32!X50+[7]A32!Y50</f>
        <v>1</v>
      </c>
      <c r="L17" s="106">
        <f>'1,6 CN'!L17</f>
        <v>21</v>
      </c>
      <c r="M17" s="4">
        <f t="shared" si="0"/>
        <v>4.7619047619047616E-2</v>
      </c>
      <c r="N17" s="106">
        <f>[8]A07!V86+[8]A07!W86+[8]A32!AA50+[8]A32!AB50</f>
        <v>0</v>
      </c>
      <c r="O17" s="106">
        <f>'1,6 CN'!O17</f>
        <v>0</v>
      </c>
      <c r="P17" s="4" t="e">
        <f t="shared" si="1"/>
        <v>#DIV/0!</v>
      </c>
      <c r="Q17" s="106">
        <f>[9]A07!V86+[9]A07!W86+[9]A32!AA50+[9]A32!AB50</f>
        <v>0</v>
      </c>
      <c r="R17" s="106">
        <f>'1,6 CN'!R17</f>
        <v>0</v>
      </c>
      <c r="S17" s="4" t="e">
        <f t="shared" si="2"/>
        <v>#DIV/0!</v>
      </c>
      <c r="T17" s="83">
        <f>[10]A07!V86+[10]A07!W86+[10]A32!AA50+[10]A32!AB50</f>
        <v>0</v>
      </c>
      <c r="U17" s="83">
        <f>'1,6 CN'!U17</f>
        <v>0</v>
      </c>
      <c r="V17" s="4" t="e">
        <f t="shared" si="3"/>
        <v>#DIV/0!</v>
      </c>
      <c r="W17" s="83">
        <f>[11]A07!V86+[11]A07!W86+[11]A32!AA50+[11]A32!AB50</f>
        <v>0</v>
      </c>
      <c r="X17" s="83">
        <f>'1,6 CN'!X17</f>
        <v>0</v>
      </c>
      <c r="Y17" s="4" t="e">
        <f t="shared" si="4"/>
        <v>#DIV/0!</v>
      </c>
      <c r="Z17" s="83">
        <f>[12]A07!V86+[12]A07!W86+[12]A32!AA50+[12]A32!AB50</f>
        <v>2</v>
      </c>
      <c r="AA17" s="83">
        <f>'1,6 CN'!AA17</f>
        <v>7</v>
      </c>
      <c r="AB17" s="4">
        <f t="shared" si="5"/>
        <v>0.2857142857142857</v>
      </c>
      <c r="AC17" s="83">
        <f>[13]A07!V86+[13]A07!W86+[13]A32!AA50+[13]A32!AB50</f>
        <v>1</v>
      </c>
      <c r="AD17" s="83">
        <f>'1,6 CN'!AD17</f>
        <v>17</v>
      </c>
      <c r="AE17" s="4">
        <f t="shared" si="6"/>
        <v>5.8823529411764705E-2</v>
      </c>
      <c r="AF17" s="83">
        <f>[14]A07!V86+[14]A07!W86+[14]A32!AA50+[14]A32!AB50</f>
        <v>1</v>
      </c>
      <c r="AG17" s="83">
        <f>'1,6 CN'!AG17</f>
        <v>56</v>
      </c>
      <c r="AH17" s="4">
        <f t="shared" si="7"/>
        <v>1.7857142857142856E-2</v>
      </c>
      <c r="AI17" s="6"/>
      <c r="AJ17" s="6"/>
      <c r="AK17" s="4" t="e">
        <f t="shared" si="11"/>
        <v>#DIV/0!</v>
      </c>
      <c r="AL17" s="94">
        <f t="shared" si="12"/>
        <v>13</v>
      </c>
      <c r="AM17" s="94">
        <f t="shared" si="13"/>
        <v>41</v>
      </c>
      <c r="AN17" s="4">
        <f t="shared" si="14"/>
        <v>0.31707317073170732</v>
      </c>
      <c r="AO17" s="98" t="str">
        <f>IF(AN17&gt;5%,"1","0")</f>
        <v>1</v>
      </c>
      <c r="AS17" s="153" t="s">
        <v>178</v>
      </c>
    </row>
    <row r="18" spans="1:45" x14ac:dyDescent="0.15">
      <c r="A18" s="77" t="s">
        <v>103</v>
      </c>
      <c r="B18" s="106">
        <f>[4]A07!S87+[4]A07!T87+[4]A32!X51+[4]A32!Y51</f>
        <v>0</v>
      </c>
      <c r="C18" s="106">
        <f>'1,6 CN'!C18</f>
        <v>0</v>
      </c>
      <c r="D18" s="4" t="str">
        <f t="shared" si="8"/>
        <v/>
      </c>
      <c r="E18" s="106">
        <f>[5]A07!S87+[5]A07!T87+[5]A32!X51+[5]A32!Y51</f>
        <v>0</v>
      </c>
      <c r="F18" s="106">
        <f>'1,6 CN'!F18</f>
        <v>0</v>
      </c>
      <c r="G18" s="4" t="str">
        <f t="shared" si="9"/>
        <v/>
      </c>
      <c r="H18" s="106">
        <f>[6]A07!S87+[6]A07!T87+[6]A32!X51+[6]A32!Y51</f>
        <v>0</v>
      </c>
      <c r="I18" s="106">
        <f>'1,6 CN'!I18</f>
        <v>0</v>
      </c>
      <c r="J18" s="4" t="str">
        <f t="shared" si="10"/>
        <v/>
      </c>
      <c r="K18" s="106">
        <f>[7]A07!S87+[7]A07!T87+[7]A32!X51+[7]A32!Y51</f>
        <v>0</v>
      </c>
      <c r="L18" s="106">
        <f>'1,6 CN'!L18</f>
        <v>0</v>
      </c>
      <c r="M18" s="4" t="e">
        <f t="shared" si="0"/>
        <v>#DIV/0!</v>
      </c>
      <c r="N18" s="106">
        <f>[8]A07!V87+[8]A07!W87+[8]A32!AA51+[8]A32!AB51</f>
        <v>0</v>
      </c>
      <c r="O18" s="106">
        <f>'1,6 CN'!O18</f>
        <v>0</v>
      </c>
      <c r="P18" s="4" t="e">
        <f t="shared" si="1"/>
        <v>#DIV/0!</v>
      </c>
      <c r="Q18" s="106">
        <f>[9]A07!V87+[9]A07!W87+[9]A32!AA51+[9]A32!AB51</f>
        <v>0</v>
      </c>
      <c r="R18" s="106">
        <f>'1,6 CN'!R18</f>
        <v>0</v>
      </c>
      <c r="S18" s="4" t="e">
        <f t="shared" si="2"/>
        <v>#DIV/0!</v>
      </c>
      <c r="T18" s="83">
        <f>[10]A07!V87+[10]A07!W87+[10]A32!AA51+[10]A32!AB51</f>
        <v>0</v>
      </c>
      <c r="U18" s="83">
        <f>'1,6 CN'!U18</f>
        <v>0</v>
      </c>
      <c r="V18" s="4" t="e">
        <f t="shared" si="3"/>
        <v>#DIV/0!</v>
      </c>
      <c r="W18" s="83">
        <f>[11]A07!V87+[11]A07!W87+[11]A32!AA51+[11]A32!AB51</f>
        <v>0</v>
      </c>
      <c r="X18" s="83">
        <f>'1,6 CN'!X18</f>
        <v>0</v>
      </c>
      <c r="Y18" s="4" t="e">
        <f t="shared" si="4"/>
        <v>#DIV/0!</v>
      </c>
      <c r="Z18" s="83">
        <f>[12]A07!V87+[12]A07!W87+[12]A32!AA51+[12]A32!AB51</f>
        <v>0</v>
      </c>
      <c r="AA18" s="83">
        <f>'1,6 CN'!AA18</f>
        <v>0</v>
      </c>
      <c r="AB18" s="4" t="e">
        <f t="shared" si="5"/>
        <v>#DIV/0!</v>
      </c>
      <c r="AC18" s="83">
        <f>[13]A07!V87+[13]A07!W87+[13]A32!AA51+[13]A32!AB51</f>
        <v>0</v>
      </c>
      <c r="AD18" s="83">
        <f>'1,6 CN'!AD18</f>
        <v>0</v>
      </c>
      <c r="AE18" s="4" t="e">
        <f t="shared" si="6"/>
        <v>#DIV/0!</v>
      </c>
      <c r="AF18" s="83">
        <f>[14]A07!V87+[14]A07!W87+[14]A32!AA51+[14]A32!AB51</f>
        <v>0</v>
      </c>
      <c r="AG18" s="83">
        <f>'1,6 CN'!AG18</f>
        <v>0</v>
      </c>
      <c r="AH18" s="4" t="e">
        <f t="shared" si="7"/>
        <v>#DIV/0!</v>
      </c>
      <c r="AI18" s="6"/>
      <c r="AJ18" s="6"/>
      <c r="AK18" s="4" t="e">
        <f t="shared" si="11"/>
        <v>#DIV/0!</v>
      </c>
      <c r="AL18" s="94">
        <f t="shared" si="12"/>
        <v>0</v>
      </c>
      <c r="AM18" s="94">
        <f t="shared" si="13"/>
        <v>0</v>
      </c>
      <c r="AN18" s="4" t="str">
        <f t="shared" si="14"/>
        <v/>
      </c>
      <c r="AO18" s="1"/>
    </row>
    <row r="19" spans="1:45" x14ac:dyDescent="0.15">
      <c r="A19" s="77" t="s">
        <v>104</v>
      </c>
      <c r="B19" s="106">
        <f>[4]A07!S88+[4]A07!T88+[4]A32!X52+[4]A32!Y52</f>
        <v>0</v>
      </c>
      <c r="C19" s="106">
        <f>'1,6 CN'!C19</f>
        <v>0</v>
      </c>
      <c r="D19" s="4" t="str">
        <f t="shared" si="8"/>
        <v/>
      </c>
      <c r="E19" s="106">
        <f>[5]A07!S88+[5]A07!T88+[5]A32!X52+[5]A32!Y52</f>
        <v>0</v>
      </c>
      <c r="F19" s="106">
        <f>'1,6 CN'!F19</f>
        <v>0</v>
      </c>
      <c r="G19" s="4" t="str">
        <f t="shared" si="9"/>
        <v/>
      </c>
      <c r="H19" s="106">
        <f>[6]A07!S88+[6]A07!T88+[6]A32!X52+[6]A32!Y52</f>
        <v>0</v>
      </c>
      <c r="I19" s="106">
        <f>'1,6 CN'!I19</f>
        <v>0</v>
      </c>
      <c r="J19" s="4" t="str">
        <f t="shared" si="10"/>
        <v/>
      </c>
      <c r="K19" s="106">
        <f>[7]A07!S88+[7]A07!T88+[7]A32!X52+[7]A32!Y52</f>
        <v>0</v>
      </c>
      <c r="L19" s="106">
        <f>'1,6 CN'!L19</f>
        <v>0</v>
      </c>
      <c r="M19" s="4" t="e">
        <f t="shared" si="0"/>
        <v>#DIV/0!</v>
      </c>
      <c r="N19" s="106">
        <f>[8]A07!V88+[8]A07!W88+[8]A32!AA52+[8]A32!AB52</f>
        <v>0</v>
      </c>
      <c r="O19" s="106">
        <f>'1,6 CN'!O19</f>
        <v>0</v>
      </c>
      <c r="P19" s="4" t="e">
        <f t="shared" si="1"/>
        <v>#DIV/0!</v>
      </c>
      <c r="Q19" s="106">
        <f>[9]A07!V88+[9]A07!W88+[9]A32!AA52+[9]A32!AB52</f>
        <v>0</v>
      </c>
      <c r="R19" s="106">
        <f>'1,6 CN'!R19</f>
        <v>0</v>
      </c>
      <c r="S19" s="4" t="e">
        <f t="shared" si="2"/>
        <v>#DIV/0!</v>
      </c>
      <c r="T19" s="83">
        <f>[10]A07!V88+[10]A07!W88+[10]A32!AA52+[10]A32!AB52</f>
        <v>0</v>
      </c>
      <c r="U19" s="83">
        <f>'1,6 CN'!U19</f>
        <v>0</v>
      </c>
      <c r="V19" s="4" t="e">
        <f t="shared" si="3"/>
        <v>#DIV/0!</v>
      </c>
      <c r="W19" s="83">
        <f>[11]A07!V88+[11]A07!W88+[11]A32!AA52+[11]A32!AB52</f>
        <v>0</v>
      </c>
      <c r="X19" s="83">
        <f>'1,6 CN'!X19</f>
        <v>0</v>
      </c>
      <c r="Y19" s="4" t="e">
        <f t="shared" si="4"/>
        <v>#DIV/0!</v>
      </c>
      <c r="Z19" s="83">
        <f>[12]A07!V88+[12]A07!W88+[12]A32!AA52+[12]A32!AB52</f>
        <v>0</v>
      </c>
      <c r="AA19" s="83">
        <f>'1,6 CN'!AA19</f>
        <v>0</v>
      </c>
      <c r="AB19" s="4" t="e">
        <f t="shared" si="5"/>
        <v>#DIV/0!</v>
      </c>
      <c r="AC19" s="83">
        <f>[13]A07!V88+[13]A07!W88+[13]A32!AA52+[13]A32!AB52</f>
        <v>0</v>
      </c>
      <c r="AD19" s="83">
        <f>'1,6 CN'!AD19</f>
        <v>0</v>
      </c>
      <c r="AE19" s="4" t="e">
        <f t="shared" si="6"/>
        <v>#DIV/0!</v>
      </c>
      <c r="AF19" s="83">
        <f>[14]A07!V88+[14]A07!W88+[14]A32!AA52+[14]A32!AB52</f>
        <v>0</v>
      </c>
      <c r="AG19" s="83">
        <f>'1,6 CN'!AG19</f>
        <v>0</v>
      </c>
      <c r="AH19" s="4" t="e">
        <f t="shared" si="7"/>
        <v>#DIV/0!</v>
      </c>
      <c r="AI19" s="6"/>
      <c r="AJ19" s="6"/>
      <c r="AK19" s="4" t="e">
        <f t="shared" si="11"/>
        <v>#DIV/0!</v>
      </c>
      <c r="AL19" s="94">
        <f t="shared" si="12"/>
        <v>0</v>
      </c>
      <c r="AM19" s="94">
        <f t="shared" si="13"/>
        <v>0</v>
      </c>
      <c r="AN19" s="4" t="str">
        <f t="shared" si="14"/>
        <v/>
      </c>
      <c r="AO19" s="1"/>
    </row>
    <row r="20" spans="1:45" x14ac:dyDescent="0.15">
      <c r="A20" s="77" t="s">
        <v>105</v>
      </c>
      <c r="B20" s="106">
        <f>[4]A07!S89+[4]A07!T89+[4]A32!X53+[4]A32!Y53</f>
        <v>0</v>
      </c>
      <c r="C20" s="106">
        <f>'1,6 CN'!C20</f>
        <v>0</v>
      </c>
      <c r="D20" s="4" t="str">
        <f t="shared" si="8"/>
        <v/>
      </c>
      <c r="E20" s="106">
        <f>[5]A07!S89+[5]A07!T89+[5]A32!X53+[5]A32!Y53</f>
        <v>0</v>
      </c>
      <c r="F20" s="106">
        <f>'1,6 CN'!F20</f>
        <v>0</v>
      </c>
      <c r="G20" s="4" t="str">
        <f t="shared" si="9"/>
        <v/>
      </c>
      <c r="H20" s="106">
        <f>[6]A07!S89+[6]A07!T89+[6]A32!X53+[6]A32!Y53</f>
        <v>0</v>
      </c>
      <c r="I20" s="106">
        <f>'1,6 CN'!I20</f>
        <v>0</v>
      </c>
      <c r="J20" s="4" t="str">
        <f t="shared" si="10"/>
        <v/>
      </c>
      <c r="K20" s="106">
        <f>[7]A07!S89+[7]A07!T89+[7]A32!X53+[7]A32!Y53</f>
        <v>0</v>
      </c>
      <c r="L20" s="106">
        <f>'1,6 CN'!L20</f>
        <v>0</v>
      </c>
      <c r="M20" s="4" t="e">
        <f t="shared" si="0"/>
        <v>#DIV/0!</v>
      </c>
      <c r="N20" s="106">
        <f>[8]A07!V89+[8]A07!W89+[8]A32!AA53+[8]A32!AB53</f>
        <v>0</v>
      </c>
      <c r="O20" s="106">
        <f>'1,6 CN'!O20</f>
        <v>0</v>
      </c>
      <c r="P20" s="4" t="e">
        <f t="shared" si="1"/>
        <v>#DIV/0!</v>
      </c>
      <c r="Q20" s="106">
        <f>[9]A07!V89+[9]A07!W89+[9]A32!AA53+[9]A32!AB53</f>
        <v>0</v>
      </c>
      <c r="R20" s="106">
        <f>'1,6 CN'!R20</f>
        <v>0</v>
      </c>
      <c r="S20" s="4" t="e">
        <f t="shared" si="2"/>
        <v>#DIV/0!</v>
      </c>
      <c r="T20" s="83">
        <f>[10]A07!V89+[10]A07!W89+[10]A32!AA53+[10]A32!AB53</f>
        <v>0</v>
      </c>
      <c r="U20" s="83">
        <f>'1,6 CN'!U20</f>
        <v>0</v>
      </c>
      <c r="V20" s="4" t="e">
        <f t="shared" si="3"/>
        <v>#DIV/0!</v>
      </c>
      <c r="W20" s="83">
        <f>[11]A07!V89+[11]A07!W89+[11]A32!AA53+[11]A32!AB53</f>
        <v>0</v>
      </c>
      <c r="X20" s="83">
        <f>'1,6 CN'!X20</f>
        <v>0</v>
      </c>
      <c r="Y20" s="4" t="e">
        <f t="shared" si="4"/>
        <v>#DIV/0!</v>
      </c>
      <c r="Z20" s="83">
        <f>[12]A07!V89+[12]A07!W89+[12]A32!AA53+[12]A32!AB53</f>
        <v>0</v>
      </c>
      <c r="AA20" s="83">
        <f>'1,6 CN'!AA20</f>
        <v>0</v>
      </c>
      <c r="AB20" s="4" t="e">
        <f t="shared" si="5"/>
        <v>#DIV/0!</v>
      </c>
      <c r="AC20" s="83">
        <f>[13]A07!V89+[13]A07!W89+[13]A32!AA53+[13]A32!AB53</f>
        <v>0</v>
      </c>
      <c r="AD20" s="83">
        <f>'1,6 CN'!AD20</f>
        <v>0</v>
      </c>
      <c r="AE20" s="4" t="e">
        <f t="shared" si="6"/>
        <v>#DIV/0!</v>
      </c>
      <c r="AF20" s="83">
        <f>[14]A07!V89+[14]A07!W89+[14]A32!AA53+[14]A32!AB53</f>
        <v>0</v>
      </c>
      <c r="AG20" s="83">
        <f>'1,6 CN'!AG20</f>
        <v>0</v>
      </c>
      <c r="AH20" s="4" t="e">
        <f t="shared" si="7"/>
        <v>#DIV/0!</v>
      </c>
      <c r="AI20" s="6"/>
      <c r="AJ20" s="6"/>
      <c r="AK20" s="4" t="e">
        <f t="shared" si="11"/>
        <v>#DIV/0!</v>
      </c>
      <c r="AL20" s="94">
        <f t="shared" si="12"/>
        <v>0</v>
      </c>
      <c r="AM20" s="94">
        <f t="shared" si="13"/>
        <v>0</v>
      </c>
      <c r="AN20" s="4" t="str">
        <f t="shared" si="14"/>
        <v/>
      </c>
      <c r="AO20" s="1"/>
    </row>
    <row r="21" spans="1:45" x14ac:dyDescent="0.2">
      <c r="A21" s="79" t="s">
        <v>106</v>
      </c>
      <c r="B21" s="106">
        <f>[4]A07!S90+[4]A07!T90+[4]A32!X54+[4]A32!Y54</f>
        <v>0</v>
      </c>
      <c r="C21" s="106">
        <f>'1,6 CN'!C21</f>
        <v>0</v>
      </c>
      <c r="D21" s="4" t="str">
        <f t="shared" si="8"/>
        <v/>
      </c>
      <c r="E21" s="106">
        <f>[5]A07!S90+[5]A07!T90+[5]A32!X54+[5]A32!Y54</f>
        <v>0</v>
      </c>
      <c r="F21" s="106">
        <f>'1,6 CN'!F21</f>
        <v>0</v>
      </c>
      <c r="G21" s="4" t="str">
        <f t="shared" si="9"/>
        <v/>
      </c>
      <c r="H21" s="106">
        <f>[6]A07!S90+[6]A07!T90+[6]A32!X54+[6]A32!Y54</f>
        <v>0</v>
      </c>
      <c r="I21" s="106">
        <f>'1,6 CN'!I21</f>
        <v>0</v>
      </c>
      <c r="J21" s="4" t="str">
        <f t="shared" si="10"/>
        <v/>
      </c>
      <c r="K21" s="106">
        <f>[7]A07!S90+[7]A07!T90+[7]A32!X54+[7]A32!Y54</f>
        <v>0</v>
      </c>
      <c r="L21" s="106">
        <f>'1,6 CN'!L21</f>
        <v>0</v>
      </c>
      <c r="M21" s="4" t="e">
        <f t="shared" si="0"/>
        <v>#DIV/0!</v>
      </c>
      <c r="N21" s="106">
        <f>[8]A07!V90+[8]A07!W90+[8]A32!AA54+[8]A32!AB54</f>
        <v>0</v>
      </c>
      <c r="O21" s="106">
        <f>'1,6 CN'!O21</f>
        <v>0</v>
      </c>
      <c r="P21" s="4" t="e">
        <f t="shared" si="1"/>
        <v>#DIV/0!</v>
      </c>
      <c r="Q21" s="106">
        <f>[9]A07!V90+[9]A07!W90+[9]A32!AA54+[9]A32!AB54</f>
        <v>0</v>
      </c>
      <c r="R21" s="106">
        <f>'1,6 CN'!R21</f>
        <v>0</v>
      </c>
      <c r="S21" s="4" t="e">
        <f t="shared" si="2"/>
        <v>#DIV/0!</v>
      </c>
      <c r="T21" s="83">
        <f>[10]A07!V90+[10]A07!W90+[10]A32!AA54+[10]A32!AB54</f>
        <v>0</v>
      </c>
      <c r="U21" s="83">
        <f>'1,6 CN'!U21</f>
        <v>0</v>
      </c>
      <c r="V21" s="4" t="e">
        <f t="shared" si="3"/>
        <v>#DIV/0!</v>
      </c>
      <c r="W21" s="83">
        <f>[11]A07!V90+[11]A07!W90+[11]A32!AA54+[11]A32!AB54</f>
        <v>0</v>
      </c>
      <c r="X21" s="83">
        <f>'1,6 CN'!X21</f>
        <v>0</v>
      </c>
      <c r="Y21" s="4" t="e">
        <f t="shared" si="4"/>
        <v>#DIV/0!</v>
      </c>
      <c r="Z21" s="83">
        <f>[12]A07!V90+[12]A07!W90+[12]A32!AA54+[12]A32!AB54</f>
        <v>0</v>
      </c>
      <c r="AA21" s="83">
        <f>'1,6 CN'!AA21</f>
        <v>0</v>
      </c>
      <c r="AB21" s="4" t="e">
        <f t="shared" si="5"/>
        <v>#DIV/0!</v>
      </c>
      <c r="AC21" s="83">
        <f>[13]A07!V90+[13]A07!W90+[13]A32!AA54+[13]A32!AB54</f>
        <v>0</v>
      </c>
      <c r="AD21" s="83">
        <f>'1,6 CN'!AD21</f>
        <v>0</v>
      </c>
      <c r="AE21" s="4" t="e">
        <f t="shared" si="6"/>
        <v>#DIV/0!</v>
      </c>
      <c r="AF21" s="83">
        <f>[14]A07!V90+[14]A07!W90+[14]A32!AA54+[14]A32!AB54</f>
        <v>0</v>
      </c>
      <c r="AG21" s="83">
        <f>'1,6 CN'!AG21</f>
        <v>0</v>
      </c>
      <c r="AH21" s="4" t="e">
        <f t="shared" si="7"/>
        <v>#DIV/0!</v>
      </c>
      <c r="AI21" s="6"/>
      <c r="AJ21" s="6"/>
      <c r="AK21" s="4" t="e">
        <f t="shared" si="11"/>
        <v>#DIV/0!</v>
      </c>
      <c r="AL21" s="94">
        <f t="shared" si="12"/>
        <v>0</v>
      </c>
      <c r="AM21" s="94">
        <f t="shared" si="13"/>
        <v>0</v>
      </c>
      <c r="AN21" s="4" t="str">
        <f t="shared" si="14"/>
        <v/>
      </c>
      <c r="AO21" s="1"/>
    </row>
    <row r="22" spans="1:45" x14ac:dyDescent="0.15">
      <c r="A22" s="77" t="s">
        <v>107</v>
      </c>
      <c r="B22" s="106">
        <f>[4]A07!S91+[4]A07!T91+[4]A32!X55+[4]A32!Y55</f>
        <v>7</v>
      </c>
      <c r="C22" s="106">
        <f>'1,6 CN'!C22</f>
        <v>62</v>
      </c>
      <c r="D22" s="4">
        <f t="shared" si="8"/>
        <v>0.11290322580645161</v>
      </c>
      <c r="E22" s="106">
        <f>[5]A07!S91+[5]A07!T91+[5]A32!X55+[5]A32!Y55</f>
        <v>26</v>
      </c>
      <c r="F22" s="106">
        <f>'1,6 CN'!F22</f>
        <v>90</v>
      </c>
      <c r="G22" s="4">
        <f t="shared" si="9"/>
        <v>0.28888888888888886</v>
      </c>
      <c r="H22" s="106">
        <f>[6]A07!S91+[6]A07!T91+[6]A32!X55+[6]A32!Y55</f>
        <v>26</v>
      </c>
      <c r="I22" s="106">
        <f>'1,6 CN'!I22</f>
        <v>106</v>
      </c>
      <c r="J22" s="4">
        <f t="shared" si="10"/>
        <v>0.24528301886792453</v>
      </c>
      <c r="K22" s="106">
        <f>[7]A07!S91+[7]A07!T91+[7]A32!X55+[7]A32!Y55</f>
        <v>37</v>
      </c>
      <c r="L22" s="106">
        <f>'1,6 CN'!L22</f>
        <v>116</v>
      </c>
      <c r="M22" s="4">
        <f t="shared" si="0"/>
        <v>0.31896551724137934</v>
      </c>
      <c r="N22" s="106">
        <f>[8]A07!V91+[8]A07!W91+[8]A32!AA55+[8]A32!AB55</f>
        <v>19</v>
      </c>
      <c r="O22" s="106">
        <f>'1,6 CN'!O22</f>
        <v>97</v>
      </c>
      <c r="P22" s="4">
        <f t="shared" si="1"/>
        <v>0.19587628865979381</v>
      </c>
      <c r="Q22" s="106">
        <f>[9]A07!V91+[9]A07!W91+[9]A32!AA55+[9]A32!AB55</f>
        <v>0</v>
      </c>
      <c r="R22" s="106">
        <f>'1,6 CN'!R22</f>
        <v>155</v>
      </c>
      <c r="S22" s="4">
        <f t="shared" si="2"/>
        <v>0</v>
      </c>
      <c r="T22" s="83">
        <f>[10]A07!V91+[10]A07!W91+[10]A32!AA55+[10]A32!AB55</f>
        <v>15</v>
      </c>
      <c r="U22" s="83">
        <f>'1,6 CN'!U22</f>
        <v>111</v>
      </c>
      <c r="V22" s="4">
        <f t="shared" si="3"/>
        <v>0.13513513513513514</v>
      </c>
      <c r="W22" s="83">
        <f>[11]A07!V91+[11]A07!W91+[11]A32!AA55+[11]A32!AB55</f>
        <v>3</v>
      </c>
      <c r="X22" s="83">
        <f>'1,6 CN'!X22</f>
        <v>67</v>
      </c>
      <c r="Y22" s="4">
        <f t="shared" si="4"/>
        <v>4.4776119402985072E-2</v>
      </c>
      <c r="Z22" s="83">
        <f>[12]A07!V91+[12]A07!W91+[12]A32!AA55+[12]A32!AB55</f>
        <v>1</v>
      </c>
      <c r="AA22" s="83">
        <f>'1,6 CN'!AA22</f>
        <v>48</v>
      </c>
      <c r="AB22" s="4">
        <f t="shared" si="5"/>
        <v>2.0833333333333332E-2</v>
      </c>
      <c r="AC22" s="83">
        <f>[13]A07!V91+[13]A07!W91+[13]A32!AA55+[13]A32!AB55</f>
        <v>8</v>
      </c>
      <c r="AD22" s="83">
        <f>'1,6 CN'!AD22</f>
        <v>51</v>
      </c>
      <c r="AE22" s="4">
        <f t="shared" si="6"/>
        <v>0.15686274509803921</v>
      </c>
      <c r="AF22" s="83">
        <f>[14]A07!V91+[14]A07!W91+[14]A32!AA55+[14]A32!AB55</f>
        <v>9</v>
      </c>
      <c r="AG22" s="83">
        <f>'1,6 CN'!AG22</f>
        <v>43</v>
      </c>
      <c r="AH22" s="4">
        <f t="shared" si="7"/>
        <v>0.20930232558139536</v>
      </c>
      <c r="AI22" s="6"/>
      <c r="AJ22" s="6"/>
      <c r="AK22" s="4" t="e">
        <f t="shared" si="11"/>
        <v>#DIV/0!</v>
      </c>
      <c r="AL22" s="94">
        <f t="shared" si="12"/>
        <v>115</v>
      </c>
      <c r="AM22" s="94">
        <f t="shared" si="13"/>
        <v>626</v>
      </c>
      <c r="AN22" s="4">
        <f t="shared" si="14"/>
        <v>0.18370607028753994</v>
      </c>
      <c r="AO22" s="98" t="str">
        <f>IF(AN22&gt;18%,"1","0")</f>
        <v>1</v>
      </c>
      <c r="AS22" s="152" t="s">
        <v>182</v>
      </c>
    </row>
    <row r="23" spans="1:45" x14ac:dyDescent="0.15">
      <c r="A23" s="77" t="s">
        <v>108</v>
      </c>
      <c r="B23" s="106">
        <f>[4]A07!S92+[4]A07!T92+[4]A32!X56+[4]A32!Y56</f>
        <v>0</v>
      </c>
      <c r="C23" s="106">
        <f>'1,6 CN'!C23</f>
        <v>0</v>
      </c>
      <c r="D23" s="4" t="str">
        <f t="shared" si="8"/>
        <v/>
      </c>
      <c r="E23" s="106">
        <f>[5]A07!S92+[5]A07!T92+[5]A32!X56+[5]A32!Y56</f>
        <v>0</v>
      </c>
      <c r="F23" s="106">
        <f>'1,6 CN'!F23</f>
        <v>0</v>
      </c>
      <c r="G23" s="4" t="str">
        <f t="shared" si="9"/>
        <v/>
      </c>
      <c r="H23" s="106">
        <f>[6]A07!S92+[6]A07!T92+[6]A32!X56+[6]A32!Y56</f>
        <v>0</v>
      </c>
      <c r="I23" s="106">
        <f>'1,6 CN'!I23</f>
        <v>0</v>
      </c>
      <c r="J23" s="4" t="str">
        <f t="shared" si="10"/>
        <v/>
      </c>
      <c r="K23" s="106">
        <f>[7]A07!S92+[7]A07!T92+[7]A32!X56+[7]A32!Y56</f>
        <v>0</v>
      </c>
      <c r="L23" s="106">
        <f>'1,6 CN'!L23</f>
        <v>0</v>
      </c>
      <c r="M23" s="4" t="e">
        <f t="shared" si="0"/>
        <v>#DIV/0!</v>
      </c>
      <c r="N23" s="106">
        <f>[8]A07!V92+[8]A07!W92+[8]A32!AA56+[8]A32!AB56</f>
        <v>0</v>
      </c>
      <c r="O23" s="106">
        <f>'1,6 CN'!O23</f>
        <v>0</v>
      </c>
      <c r="P23" s="4" t="e">
        <f t="shared" si="1"/>
        <v>#DIV/0!</v>
      </c>
      <c r="Q23" s="106">
        <f>[9]A07!V92+[9]A07!W92+[9]A32!AA56+[9]A32!AB56</f>
        <v>0</v>
      </c>
      <c r="R23" s="106">
        <f>'1,6 CN'!R23</f>
        <v>0</v>
      </c>
      <c r="S23" s="4" t="e">
        <f t="shared" si="2"/>
        <v>#DIV/0!</v>
      </c>
      <c r="T23" s="83">
        <f>[10]A07!V92+[10]A07!W92+[10]A32!AA56+[10]A32!AB56</f>
        <v>0</v>
      </c>
      <c r="U23" s="83">
        <f>'1,6 CN'!U23</f>
        <v>0</v>
      </c>
      <c r="V23" s="4" t="e">
        <f t="shared" si="3"/>
        <v>#DIV/0!</v>
      </c>
      <c r="W23" s="83">
        <f>[11]A07!V92+[11]A07!W92+[11]A32!AA56+[11]A32!AB56</f>
        <v>0</v>
      </c>
      <c r="X23" s="83">
        <f>'1,6 CN'!X23</f>
        <v>0</v>
      </c>
      <c r="Y23" s="4" t="e">
        <f t="shared" si="4"/>
        <v>#DIV/0!</v>
      </c>
      <c r="Z23" s="83">
        <f>[12]A07!V92+[12]A07!W92+[12]A32!AA56+[12]A32!AB56</f>
        <v>0</v>
      </c>
      <c r="AA23" s="83">
        <f>'1,6 CN'!AA23</f>
        <v>0</v>
      </c>
      <c r="AB23" s="4" t="e">
        <f t="shared" si="5"/>
        <v>#DIV/0!</v>
      </c>
      <c r="AC23" s="83">
        <f>[13]A07!V92+[13]A07!W92+[13]A32!AA56+[13]A32!AB56</f>
        <v>0</v>
      </c>
      <c r="AD23" s="83">
        <f>'1,6 CN'!AD23</f>
        <v>0</v>
      </c>
      <c r="AE23" s="4" t="e">
        <f t="shared" si="6"/>
        <v>#DIV/0!</v>
      </c>
      <c r="AF23" s="83">
        <f>[14]A07!V92+[14]A07!W92+[14]A32!AA56+[14]A32!AB56</f>
        <v>0</v>
      </c>
      <c r="AG23" s="83">
        <f>'1,6 CN'!AG23</f>
        <v>0</v>
      </c>
      <c r="AH23" s="4" t="e">
        <f t="shared" si="7"/>
        <v>#DIV/0!</v>
      </c>
      <c r="AI23" s="6"/>
      <c r="AJ23" s="6"/>
      <c r="AK23" s="4" t="e">
        <f t="shared" si="11"/>
        <v>#DIV/0!</v>
      </c>
      <c r="AL23" s="94">
        <f t="shared" si="12"/>
        <v>0</v>
      </c>
      <c r="AM23" s="94">
        <f t="shared" si="13"/>
        <v>0</v>
      </c>
      <c r="AN23" s="4" t="str">
        <f t="shared" si="14"/>
        <v/>
      </c>
      <c r="AO23" s="1"/>
    </row>
    <row r="24" spans="1:45" x14ac:dyDescent="0.15">
      <c r="A24" s="77" t="s">
        <v>109</v>
      </c>
      <c r="B24" s="106">
        <f>[4]A07!S93+[4]A07!T93+[4]A32!X57+[4]A32!Y57</f>
        <v>7</v>
      </c>
      <c r="C24" s="106">
        <f>'1,6 CN'!C24</f>
        <v>120</v>
      </c>
      <c r="D24" s="4">
        <f t="shared" si="8"/>
        <v>5.8333333333333334E-2</v>
      </c>
      <c r="E24" s="106">
        <f>[5]A07!S93+[5]A07!T93+[5]A32!X57+[5]A32!Y57</f>
        <v>4</v>
      </c>
      <c r="F24" s="106">
        <f>'1,6 CN'!F24</f>
        <v>119</v>
      </c>
      <c r="G24" s="4">
        <f t="shared" si="9"/>
        <v>3.3613445378151259E-2</v>
      </c>
      <c r="H24" s="106">
        <f>[6]A07!S93+[6]A07!T93+[6]A32!X57+[6]A32!Y57</f>
        <v>6</v>
      </c>
      <c r="I24" s="106">
        <f>'1,6 CN'!I24</f>
        <v>162</v>
      </c>
      <c r="J24" s="4">
        <f t="shared" si="10"/>
        <v>3.7037037037037035E-2</v>
      </c>
      <c r="K24" s="106">
        <f>[7]A07!S93+[7]A07!T93+[7]A32!X57+[7]A32!Y57</f>
        <v>7</v>
      </c>
      <c r="L24" s="106">
        <f>'1,6 CN'!L24</f>
        <v>141</v>
      </c>
      <c r="M24" s="4">
        <f t="shared" si="0"/>
        <v>4.9645390070921988E-2</v>
      </c>
      <c r="N24" s="106">
        <f>[8]A07!V93+[8]A07!W93+[8]A32!AA57+[8]A32!AB57</f>
        <v>19</v>
      </c>
      <c r="O24" s="106">
        <f>'1,6 CN'!O24</f>
        <v>146</v>
      </c>
      <c r="P24" s="4">
        <f t="shared" si="1"/>
        <v>0.13013698630136986</v>
      </c>
      <c r="Q24" s="106">
        <f>[9]A07!V93+[9]A07!W93+[9]A32!AA57+[9]A32!AB57</f>
        <v>18</v>
      </c>
      <c r="R24" s="106">
        <f>'1,6 CN'!R24</f>
        <v>76</v>
      </c>
      <c r="S24" s="4">
        <f t="shared" si="2"/>
        <v>0.23684210526315788</v>
      </c>
      <c r="T24" s="83">
        <f>[10]A07!V93+[10]A07!W93+[10]A32!AA57+[10]A32!AB57</f>
        <v>18</v>
      </c>
      <c r="U24" s="83">
        <f>'1,6 CN'!U24</f>
        <v>67</v>
      </c>
      <c r="V24" s="4">
        <f t="shared" si="3"/>
        <v>0.26865671641791045</v>
      </c>
      <c r="W24" s="83">
        <f>[11]A07!V93+[11]A07!W93+[11]A32!AA57+[11]A32!AB57</f>
        <v>26</v>
      </c>
      <c r="X24" s="83">
        <f>'1,6 CN'!X24</f>
        <v>119</v>
      </c>
      <c r="Y24" s="4">
        <f t="shared" si="4"/>
        <v>0.21848739495798319</v>
      </c>
      <c r="Z24" s="83">
        <f>[12]A07!V93+[12]A07!W93+[12]A32!AA57+[12]A32!AB57</f>
        <v>19</v>
      </c>
      <c r="AA24" s="83">
        <f>'1,6 CN'!AA24</f>
        <v>147</v>
      </c>
      <c r="AB24" s="4">
        <f t="shared" si="5"/>
        <v>0.12925170068027211</v>
      </c>
      <c r="AC24" s="83">
        <f>[13]A07!V93+[13]A07!W93+[13]A32!AA57+[13]A32!AB57</f>
        <v>15</v>
      </c>
      <c r="AD24" s="83">
        <f>'1,6 CN'!AD24</f>
        <v>134</v>
      </c>
      <c r="AE24" s="4">
        <f t="shared" si="6"/>
        <v>0.11194029850746269</v>
      </c>
      <c r="AF24" s="83">
        <f>[14]A07!V93+[14]A07!W93+[14]A32!AA57+[14]A32!AB57</f>
        <v>13</v>
      </c>
      <c r="AG24" s="83">
        <f>'1,6 CN'!AG24</f>
        <v>130</v>
      </c>
      <c r="AH24" s="4">
        <f t="shared" si="7"/>
        <v>0.1</v>
      </c>
      <c r="AI24" s="6"/>
      <c r="AJ24" s="6"/>
      <c r="AK24" s="4" t="e">
        <f t="shared" si="11"/>
        <v>#DIV/0!</v>
      </c>
      <c r="AL24" s="94">
        <f t="shared" si="12"/>
        <v>61</v>
      </c>
      <c r="AM24" s="94">
        <f t="shared" si="13"/>
        <v>764</v>
      </c>
      <c r="AN24" s="4">
        <f t="shared" si="14"/>
        <v>7.9842931937172776E-2</v>
      </c>
      <c r="AO24" s="98" t="str">
        <f>IF(AN24&gt;5%,"1","0")</f>
        <v>1</v>
      </c>
      <c r="AS24" s="152" t="s">
        <v>178</v>
      </c>
    </row>
    <row r="25" spans="1:45" x14ac:dyDescent="0.15">
      <c r="A25" s="77" t="s">
        <v>110</v>
      </c>
      <c r="B25" s="106">
        <f>[4]A07!S94+[4]A07!T94+[4]A32!X58+[4]A32!Y58</f>
        <v>0</v>
      </c>
      <c r="C25" s="106">
        <f>'1,6 CN'!C25</f>
        <v>0</v>
      </c>
      <c r="D25" s="4" t="str">
        <f t="shared" si="8"/>
        <v/>
      </c>
      <c r="E25" s="106">
        <f>[5]A07!S94+[5]A07!T94+[5]A32!X58+[5]A32!Y58</f>
        <v>0</v>
      </c>
      <c r="F25" s="106">
        <f>'1,6 CN'!F25</f>
        <v>0</v>
      </c>
      <c r="G25" s="4" t="str">
        <f t="shared" si="9"/>
        <v/>
      </c>
      <c r="H25" s="106">
        <f>[6]A07!S94+[6]A07!T94+[6]A32!X58+[6]A32!Y58</f>
        <v>0</v>
      </c>
      <c r="I25" s="106">
        <f>'1,6 CN'!I25</f>
        <v>0</v>
      </c>
      <c r="J25" s="4" t="str">
        <f t="shared" si="10"/>
        <v/>
      </c>
      <c r="K25" s="106">
        <f>[7]A07!S94+[7]A07!T94+[7]A32!X58+[7]A32!Y58</f>
        <v>0</v>
      </c>
      <c r="L25" s="106">
        <f>'1,6 CN'!L25</f>
        <v>0</v>
      </c>
      <c r="M25" s="4" t="e">
        <f t="shared" si="0"/>
        <v>#DIV/0!</v>
      </c>
      <c r="N25" s="106">
        <f>[8]A07!V94+[8]A07!W94+[8]A32!AA58+[8]A32!AB58</f>
        <v>0</v>
      </c>
      <c r="O25" s="106">
        <f>'1,6 CN'!O25</f>
        <v>0</v>
      </c>
      <c r="P25" s="4" t="e">
        <f t="shared" si="1"/>
        <v>#DIV/0!</v>
      </c>
      <c r="Q25" s="106">
        <f>[9]A07!V94+[9]A07!W94+[9]A32!AA58+[9]A32!AB58</f>
        <v>0</v>
      </c>
      <c r="R25" s="106">
        <f>'1,6 CN'!R25</f>
        <v>0</v>
      </c>
      <c r="S25" s="4" t="e">
        <f t="shared" si="2"/>
        <v>#DIV/0!</v>
      </c>
      <c r="T25" s="83">
        <f>[10]A07!V94+[10]A07!W94+[10]A32!AA58+[10]A32!AB58</f>
        <v>0</v>
      </c>
      <c r="U25" s="83">
        <f>'1,6 CN'!U25</f>
        <v>0</v>
      </c>
      <c r="V25" s="4" t="e">
        <f t="shared" si="3"/>
        <v>#DIV/0!</v>
      </c>
      <c r="W25" s="83">
        <f>[11]A07!V94+[11]A07!W94+[11]A32!AA58+[11]A32!AB58</f>
        <v>0</v>
      </c>
      <c r="X25" s="83">
        <f>'1,6 CN'!X25</f>
        <v>0</v>
      </c>
      <c r="Y25" s="4" t="e">
        <f t="shared" si="4"/>
        <v>#DIV/0!</v>
      </c>
      <c r="Z25" s="83">
        <f>[12]A07!V94+[12]A07!W94+[12]A32!AA58+[12]A32!AB58</f>
        <v>0</v>
      </c>
      <c r="AA25" s="83">
        <f>'1,6 CN'!AA25</f>
        <v>0</v>
      </c>
      <c r="AB25" s="4" t="e">
        <f t="shared" si="5"/>
        <v>#DIV/0!</v>
      </c>
      <c r="AC25" s="83">
        <f>[13]A07!V94+[13]A07!W94+[13]A32!AA58+[13]A32!AB58</f>
        <v>0</v>
      </c>
      <c r="AD25" s="83">
        <f>'1,6 CN'!AD25</f>
        <v>0</v>
      </c>
      <c r="AE25" s="4" t="e">
        <f t="shared" si="6"/>
        <v>#DIV/0!</v>
      </c>
      <c r="AF25" s="83">
        <f>[14]A07!V94+[14]A07!W94+[14]A32!AA58+[14]A32!AB58</f>
        <v>0</v>
      </c>
      <c r="AG25" s="83">
        <f>'1,6 CN'!AG25</f>
        <v>0</v>
      </c>
      <c r="AH25" s="4" t="e">
        <f t="shared" si="7"/>
        <v>#DIV/0!</v>
      </c>
      <c r="AI25" s="6"/>
      <c r="AJ25" s="6"/>
      <c r="AK25" s="4" t="e">
        <f t="shared" si="11"/>
        <v>#DIV/0!</v>
      </c>
      <c r="AL25" s="94">
        <f t="shared" si="12"/>
        <v>0</v>
      </c>
      <c r="AM25" s="94">
        <f t="shared" si="13"/>
        <v>0</v>
      </c>
      <c r="AN25" s="4" t="str">
        <f t="shared" si="14"/>
        <v/>
      </c>
      <c r="AO25" s="1"/>
    </row>
    <row r="26" spans="1:45" x14ac:dyDescent="0.15">
      <c r="A26" s="77" t="s">
        <v>111</v>
      </c>
      <c r="B26" s="106">
        <f>[4]A07!S95+[4]A07!T95+[4]A32!X59+[4]A32!Y59</f>
        <v>0</v>
      </c>
      <c r="C26" s="106">
        <f>'1,6 CN'!C26</f>
        <v>0</v>
      </c>
      <c r="D26" s="4" t="str">
        <f t="shared" si="8"/>
        <v/>
      </c>
      <c r="E26" s="106">
        <f>[5]A07!S95+[5]A07!T95+[5]A32!X59+[5]A32!Y59</f>
        <v>0</v>
      </c>
      <c r="F26" s="106">
        <f>'1,6 CN'!F26</f>
        <v>0</v>
      </c>
      <c r="G26" s="4" t="str">
        <f t="shared" si="9"/>
        <v/>
      </c>
      <c r="H26" s="106">
        <f>[6]A07!S95+[6]A07!T95+[6]A32!X59+[6]A32!Y59</f>
        <v>0</v>
      </c>
      <c r="I26" s="106">
        <f>'1,6 CN'!I26</f>
        <v>0</v>
      </c>
      <c r="J26" s="4" t="str">
        <f t="shared" si="10"/>
        <v/>
      </c>
      <c r="K26" s="106">
        <f>[7]A07!S95+[7]A07!T95+[7]A32!X59+[7]A32!Y59</f>
        <v>0</v>
      </c>
      <c r="L26" s="106">
        <f>'1,6 CN'!L26</f>
        <v>0</v>
      </c>
      <c r="M26" s="4" t="e">
        <f t="shared" si="0"/>
        <v>#DIV/0!</v>
      </c>
      <c r="N26" s="106">
        <f>[8]A07!V95+[8]A07!W95+[8]A32!AA59+[8]A32!AB59</f>
        <v>0</v>
      </c>
      <c r="O26" s="106">
        <f>'1,6 CN'!O26</f>
        <v>0</v>
      </c>
      <c r="P26" s="4" t="e">
        <f t="shared" si="1"/>
        <v>#DIV/0!</v>
      </c>
      <c r="Q26" s="106">
        <f>[9]A07!V95+[9]A07!W95+[9]A32!AA59+[9]A32!AB59</f>
        <v>0</v>
      </c>
      <c r="R26" s="106">
        <f>'1,6 CN'!R26</f>
        <v>0</v>
      </c>
      <c r="S26" s="4" t="e">
        <f t="shared" si="2"/>
        <v>#DIV/0!</v>
      </c>
      <c r="T26" s="83">
        <f>[10]A07!V95+[10]A07!W95+[10]A32!AA59+[10]A32!AB59</f>
        <v>0</v>
      </c>
      <c r="U26" s="83">
        <f>'1,6 CN'!U26</f>
        <v>0</v>
      </c>
      <c r="V26" s="4" t="e">
        <f t="shared" si="3"/>
        <v>#DIV/0!</v>
      </c>
      <c r="W26" s="83">
        <f>[11]A07!V95+[11]A07!W95+[11]A32!AA59+[11]A32!AB59</f>
        <v>0</v>
      </c>
      <c r="X26" s="83">
        <f>'1,6 CN'!X26</f>
        <v>0</v>
      </c>
      <c r="Y26" s="4" t="e">
        <f t="shared" si="4"/>
        <v>#DIV/0!</v>
      </c>
      <c r="Z26" s="83">
        <f>[12]A07!V95+[12]A07!W95+[12]A32!AA59+[12]A32!AB59</f>
        <v>0</v>
      </c>
      <c r="AA26" s="83">
        <f>'1,6 CN'!AA26</f>
        <v>0</v>
      </c>
      <c r="AB26" s="4" t="e">
        <f t="shared" si="5"/>
        <v>#DIV/0!</v>
      </c>
      <c r="AC26" s="83">
        <f>[13]A07!V95+[13]A07!W95+[13]A32!AA59+[13]A32!AB59</f>
        <v>0</v>
      </c>
      <c r="AD26" s="83">
        <f>'1,6 CN'!AD26</f>
        <v>0</v>
      </c>
      <c r="AE26" s="4" t="e">
        <f t="shared" si="6"/>
        <v>#DIV/0!</v>
      </c>
      <c r="AF26" s="83">
        <f>[14]A07!V95+[14]A07!W95+[14]A32!AA59+[14]A32!AB59</f>
        <v>0</v>
      </c>
      <c r="AG26" s="83">
        <f>'1,6 CN'!AG26</f>
        <v>0</v>
      </c>
      <c r="AH26" s="4" t="e">
        <f t="shared" si="7"/>
        <v>#DIV/0!</v>
      </c>
      <c r="AI26" s="6"/>
      <c r="AJ26" s="6"/>
      <c r="AK26" s="4" t="e">
        <f t="shared" si="11"/>
        <v>#DIV/0!</v>
      </c>
      <c r="AL26" s="94">
        <f t="shared" si="12"/>
        <v>0</v>
      </c>
      <c r="AM26" s="94">
        <f t="shared" si="13"/>
        <v>0</v>
      </c>
      <c r="AN26" s="4" t="str">
        <f t="shared" si="14"/>
        <v/>
      </c>
      <c r="AO26" s="1"/>
    </row>
    <row r="27" spans="1:45" x14ac:dyDescent="0.2">
      <c r="A27" s="79" t="s">
        <v>112</v>
      </c>
      <c r="B27" s="106">
        <f>[4]A07!S96+[4]A07!T96+[4]A32!X60+[4]A32!Y60</f>
        <v>0</v>
      </c>
      <c r="C27" s="106">
        <f>'1,6 CN'!C27</f>
        <v>0</v>
      </c>
      <c r="D27" s="4" t="str">
        <f t="shared" si="8"/>
        <v/>
      </c>
      <c r="E27" s="106">
        <f>[5]A07!S96+[5]A07!T96+[5]A32!X60+[5]A32!Y60</f>
        <v>0</v>
      </c>
      <c r="F27" s="106">
        <f>'1,6 CN'!F27</f>
        <v>0</v>
      </c>
      <c r="G27" s="4" t="str">
        <f t="shared" si="9"/>
        <v/>
      </c>
      <c r="H27" s="106">
        <f>[6]A07!S96+[6]A07!T96+[6]A32!X60+[6]A32!Y60</f>
        <v>0</v>
      </c>
      <c r="I27" s="106">
        <f>'1,6 CN'!I27</f>
        <v>0</v>
      </c>
      <c r="J27" s="4" t="str">
        <f t="shared" si="10"/>
        <v/>
      </c>
      <c r="K27" s="106">
        <f>[7]A07!S96+[7]A07!T96+[7]A32!X60+[7]A32!Y60</f>
        <v>0</v>
      </c>
      <c r="L27" s="106">
        <f>'1,6 CN'!L27</f>
        <v>0</v>
      </c>
      <c r="M27" s="4" t="e">
        <f t="shared" si="0"/>
        <v>#DIV/0!</v>
      </c>
      <c r="N27" s="106">
        <f>[8]A07!V96+[8]A07!W96+[8]A32!AA60+[8]A32!AB60</f>
        <v>0</v>
      </c>
      <c r="O27" s="106">
        <f>'1,6 CN'!O27</f>
        <v>0</v>
      </c>
      <c r="P27" s="4" t="e">
        <f t="shared" si="1"/>
        <v>#DIV/0!</v>
      </c>
      <c r="Q27" s="106">
        <f>[9]A07!V96+[9]A07!W96+[9]A32!AA60+[9]A32!AB60</f>
        <v>0</v>
      </c>
      <c r="R27" s="106">
        <f>'1,6 CN'!R27</f>
        <v>0</v>
      </c>
      <c r="S27" s="4" t="e">
        <f t="shared" si="2"/>
        <v>#DIV/0!</v>
      </c>
      <c r="T27" s="83">
        <f>[10]A07!V96+[10]A07!W96+[10]A32!AA60+[10]A32!AB60</f>
        <v>0</v>
      </c>
      <c r="U27" s="83">
        <f>'1,6 CN'!U27</f>
        <v>0</v>
      </c>
      <c r="V27" s="4" t="e">
        <f t="shared" si="3"/>
        <v>#DIV/0!</v>
      </c>
      <c r="W27" s="83">
        <f>[11]A07!V96+[11]A07!W96+[11]A32!AA60+[11]A32!AB60</f>
        <v>0</v>
      </c>
      <c r="X27" s="83">
        <f>'1,6 CN'!X27</f>
        <v>0</v>
      </c>
      <c r="Y27" s="4" t="e">
        <f t="shared" si="4"/>
        <v>#DIV/0!</v>
      </c>
      <c r="Z27" s="83">
        <f>[12]A07!V96+[12]A07!W96+[12]A32!AA60+[12]A32!AB60</f>
        <v>0</v>
      </c>
      <c r="AA27" s="83">
        <f>'1,6 CN'!AA27</f>
        <v>0</v>
      </c>
      <c r="AB27" s="4" t="e">
        <f t="shared" si="5"/>
        <v>#DIV/0!</v>
      </c>
      <c r="AC27" s="83">
        <f>[13]A07!V96+[13]A07!W96+[13]A32!AA60+[13]A32!AB60</f>
        <v>0</v>
      </c>
      <c r="AD27" s="83">
        <f>'1,6 CN'!AD27</f>
        <v>0</v>
      </c>
      <c r="AE27" s="4" t="e">
        <f t="shared" si="6"/>
        <v>#DIV/0!</v>
      </c>
      <c r="AF27" s="83">
        <f>[14]A07!V96+[14]A07!W96+[14]A32!AA60+[14]A32!AB60</f>
        <v>0</v>
      </c>
      <c r="AG27" s="83">
        <f>'1,6 CN'!AG27</f>
        <v>0</v>
      </c>
      <c r="AH27" s="4" t="e">
        <f t="shared" si="7"/>
        <v>#DIV/0!</v>
      </c>
      <c r="AI27" s="6"/>
      <c r="AJ27" s="6"/>
      <c r="AK27" s="4" t="e">
        <f t="shared" si="11"/>
        <v>#DIV/0!</v>
      </c>
      <c r="AL27" s="94">
        <f t="shared" si="12"/>
        <v>0</v>
      </c>
      <c r="AM27" s="94">
        <f t="shared" si="13"/>
        <v>0</v>
      </c>
      <c r="AN27" s="4" t="str">
        <f>IFERROR(AL27/AM27,"")</f>
        <v/>
      </c>
      <c r="AO27" s="1"/>
    </row>
    <row r="28" spans="1:45" x14ac:dyDescent="0.15">
      <c r="A28" s="77" t="s">
        <v>113</v>
      </c>
      <c r="B28" s="106">
        <f>[4]A07!S97+[4]A07!T97+[4]A32!X61+[4]A32!Y61</f>
        <v>6</v>
      </c>
      <c r="C28" s="106">
        <f>'1,6 CN'!C28</f>
        <v>105</v>
      </c>
      <c r="D28" s="4">
        <f t="shared" si="8"/>
        <v>5.7142857142857141E-2</v>
      </c>
      <c r="E28" s="106">
        <f>[5]A07!S97+[5]A07!T97+[5]A32!X61+[5]A32!Y61</f>
        <v>4</v>
      </c>
      <c r="F28" s="106">
        <f>'1,6 CN'!F28</f>
        <v>66</v>
      </c>
      <c r="G28" s="4">
        <f t="shared" si="9"/>
        <v>6.0606060606060608E-2</v>
      </c>
      <c r="H28" s="106">
        <f>[6]A07!S97+[6]A07!T97+[6]A32!X61+[6]A32!Y61</f>
        <v>3</v>
      </c>
      <c r="I28" s="106">
        <f>'1,6 CN'!I28</f>
        <v>124</v>
      </c>
      <c r="J28" s="4">
        <f t="shared" si="10"/>
        <v>2.4193548387096774E-2</v>
      </c>
      <c r="K28" s="106">
        <f>[7]A07!S97+[7]A07!T97+[7]A32!X61+[7]A32!Y61</f>
        <v>2</v>
      </c>
      <c r="L28" s="106">
        <f>'1,6 CN'!L28</f>
        <v>103</v>
      </c>
      <c r="M28" s="4">
        <f t="shared" si="0"/>
        <v>1.9417475728155338E-2</v>
      </c>
      <c r="N28" s="106">
        <f>[8]A07!V97+[8]A07!W97+[8]A32!AA61+[8]A32!AB61</f>
        <v>28</v>
      </c>
      <c r="O28" s="106">
        <f>'1,6 CN'!O28</f>
        <v>108</v>
      </c>
      <c r="P28" s="4">
        <f t="shared" si="1"/>
        <v>0.25925925925925924</v>
      </c>
      <c r="Q28" s="106">
        <f>[9]A07!V97+[9]A07!W97+[9]A32!AA61+[9]A32!AB61</f>
        <v>23</v>
      </c>
      <c r="R28" s="106">
        <f>'1,6 CN'!R28</f>
        <v>113</v>
      </c>
      <c r="S28" s="4">
        <f t="shared" si="2"/>
        <v>0.20353982300884957</v>
      </c>
      <c r="T28" s="83">
        <f>[10]A07!V97+[10]A07!W97+[10]A32!AA61+[10]A32!AB61</f>
        <v>21</v>
      </c>
      <c r="U28" s="83">
        <f>'1,6 CN'!U28</f>
        <v>66</v>
      </c>
      <c r="V28" s="4">
        <f t="shared" si="3"/>
        <v>0.31818181818181818</v>
      </c>
      <c r="W28" s="83">
        <f>[11]A07!V97+[11]A07!W97+[11]A32!AA61+[11]A32!AB61</f>
        <v>42</v>
      </c>
      <c r="X28" s="83">
        <f>'1,6 CN'!X28</f>
        <v>128</v>
      </c>
      <c r="Y28" s="4">
        <f t="shared" si="4"/>
        <v>0.328125</v>
      </c>
      <c r="Z28" s="83">
        <f>[12]A07!V97+[12]A07!W97+[12]A32!AA61+[12]A32!AB61</f>
        <v>20</v>
      </c>
      <c r="AA28" s="83">
        <f>'1,6 CN'!AA28</f>
        <v>119</v>
      </c>
      <c r="AB28" s="4">
        <f t="shared" si="5"/>
        <v>0.16806722689075632</v>
      </c>
      <c r="AC28" s="83">
        <f>[13]A07!V97+[13]A07!W97+[13]A32!AA61+[13]A32!AB61</f>
        <v>52</v>
      </c>
      <c r="AD28" s="83">
        <f>'1,6 CN'!AD28</f>
        <v>113</v>
      </c>
      <c r="AE28" s="4">
        <f t="shared" si="6"/>
        <v>0.46017699115044247</v>
      </c>
      <c r="AF28" s="83">
        <f>[14]A07!V97+[14]A07!W97+[14]A32!AA61+[14]A32!AB61</f>
        <v>26</v>
      </c>
      <c r="AG28" s="83">
        <f>'1,6 CN'!AG28</f>
        <v>93</v>
      </c>
      <c r="AH28" s="4">
        <f t="shared" si="7"/>
        <v>0.27956989247311825</v>
      </c>
      <c r="AI28" s="6"/>
      <c r="AJ28" s="6"/>
      <c r="AK28" s="4" t="e">
        <f t="shared" si="11"/>
        <v>#DIV/0!</v>
      </c>
      <c r="AL28" s="94">
        <f t="shared" si="12"/>
        <v>66</v>
      </c>
      <c r="AM28" s="94">
        <f t="shared" si="13"/>
        <v>619</v>
      </c>
      <c r="AN28" s="4">
        <f t="shared" si="14"/>
        <v>0.10662358642972536</v>
      </c>
      <c r="AO28" s="98" t="str">
        <f>IF(AN28&gt;10%,"1","0")</f>
        <v>1</v>
      </c>
      <c r="AS28" s="152" t="s">
        <v>180</v>
      </c>
    </row>
    <row r="29" spans="1:45" x14ac:dyDescent="0.15">
      <c r="A29" s="77" t="s">
        <v>114</v>
      </c>
      <c r="B29" s="106">
        <f>[4]A07!S98+[4]A07!T98+[4]A32!X62+[4]A32!Y62</f>
        <v>18</v>
      </c>
      <c r="C29" s="106">
        <f>'1,6 CN'!C29</f>
        <v>260</v>
      </c>
      <c r="D29" s="4">
        <f t="shared" si="8"/>
        <v>6.9230769230769235E-2</v>
      </c>
      <c r="E29" s="106">
        <f>[5]A07!S98+[5]A07!T98+[5]A32!X62+[5]A32!Y62</f>
        <v>17</v>
      </c>
      <c r="F29" s="106">
        <f>'1,6 CN'!F29</f>
        <v>190</v>
      </c>
      <c r="G29" s="4">
        <f t="shared" si="9"/>
        <v>8.9473684210526316E-2</v>
      </c>
      <c r="H29" s="106">
        <f>[6]A07!S98+[6]A07!T98+[6]A32!X62+[6]A32!Y62</f>
        <v>9</v>
      </c>
      <c r="I29" s="106">
        <f>'1,6 CN'!I29</f>
        <v>145</v>
      </c>
      <c r="J29" s="4">
        <f t="shared" si="10"/>
        <v>6.2068965517241378E-2</v>
      </c>
      <c r="K29" s="106">
        <f>[7]A07!S98+[7]A07!T98+[7]A32!X62+[7]A32!Y62</f>
        <v>29</v>
      </c>
      <c r="L29" s="106">
        <f>'1,6 CN'!L29</f>
        <v>238</v>
      </c>
      <c r="M29" s="4">
        <f t="shared" si="0"/>
        <v>0.12184873949579832</v>
      </c>
      <c r="N29" s="106">
        <f>[8]A07!V98+[8]A07!W98+[8]A32!AA62+[8]A32!AB62</f>
        <v>92</v>
      </c>
      <c r="O29" s="106">
        <f>'1,6 CN'!O29</f>
        <v>283</v>
      </c>
      <c r="P29" s="4">
        <f t="shared" si="1"/>
        <v>0.32508833922261482</v>
      </c>
      <c r="Q29" s="106">
        <f>[9]A07!V98+[9]A07!W98+[9]A32!AA62+[9]A32!AB62</f>
        <v>88</v>
      </c>
      <c r="R29" s="106">
        <f>'1,6 CN'!R29</f>
        <v>350</v>
      </c>
      <c r="S29" s="4">
        <f t="shared" si="2"/>
        <v>0.25142857142857145</v>
      </c>
      <c r="T29" s="83">
        <f>[10]A07!V98+[10]A07!W98+[10]A32!AA62+[10]A32!AB62</f>
        <v>91</v>
      </c>
      <c r="U29" s="83">
        <f>'1,6 CN'!U29</f>
        <v>421</v>
      </c>
      <c r="V29" s="4">
        <f t="shared" si="3"/>
        <v>0.2161520190023753</v>
      </c>
      <c r="W29" s="83">
        <f>[11]A07!V98+[11]A07!W98+[11]A32!AA62+[11]A32!AB62</f>
        <v>68</v>
      </c>
      <c r="X29" s="83">
        <f>'1,6 CN'!X29</f>
        <v>383</v>
      </c>
      <c r="Y29" s="4">
        <f t="shared" si="4"/>
        <v>0.17754569190600522</v>
      </c>
      <c r="Z29" s="83">
        <f>[12]A07!V98+[12]A07!W98+[12]A32!AA62+[12]A32!AB62</f>
        <v>47</v>
      </c>
      <c r="AA29" s="83">
        <f>'1,6 CN'!AA29</f>
        <v>249</v>
      </c>
      <c r="AB29" s="4">
        <f t="shared" si="5"/>
        <v>0.18875502008032127</v>
      </c>
      <c r="AC29" s="83">
        <f>[13]A07!V98+[13]A07!W98+[13]A32!AA62+[13]A32!AB62</f>
        <v>99</v>
      </c>
      <c r="AD29" s="83">
        <f>'1,6 CN'!AD29</f>
        <v>386</v>
      </c>
      <c r="AE29" s="4">
        <f t="shared" si="6"/>
        <v>0.25647668393782386</v>
      </c>
      <c r="AF29" s="83">
        <f>[14]A07!V98+[14]A07!W98+[14]A32!AA62+[14]A32!AB62</f>
        <v>80</v>
      </c>
      <c r="AG29" s="83">
        <f>'1,6 CN'!AG29</f>
        <v>452</v>
      </c>
      <c r="AH29" s="4">
        <f t="shared" si="7"/>
        <v>0.17699115044247787</v>
      </c>
      <c r="AI29" s="6"/>
      <c r="AJ29" s="6"/>
      <c r="AK29" s="4" t="e">
        <f t="shared" si="11"/>
        <v>#DIV/0!</v>
      </c>
      <c r="AL29" s="94">
        <f t="shared" si="12"/>
        <v>253</v>
      </c>
      <c r="AM29" s="94">
        <f t="shared" si="13"/>
        <v>1466</v>
      </c>
      <c r="AN29" s="4">
        <f t="shared" si="14"/>
        <v>0.17257844474761255</v>
      </c>
      <c r="AO29" s="98" t="str">
        <f>IF(AN29&gt;14%,"1","0")</f>
        <v>1</v>
      </c>
      <c r="AS29" s="152" t="s">
        <v>181</v>
      </c>
    </row>
    <row r="30" spans="1:45" x14ac:dyDescent="0.15">
      <c r="A30" s="77" t="s">
        <v>115</v>
      </c>
      <c r="B30" s="106">
        <f>[4]A07!S99+[4]A07!T99+[4]A32!X63+[4]A32!Y63</f>
        <v>0</v>
      </c>
      <c r="C30" s="106">
        <f>'1,6 CN'!C30</f>
        <v>0</v>
      </c>
      <c r="D30" s="4" t="str">
        <f t="shared" si="8"/>
        <v/>
      </c>
      <c r="E30" s="106">
        <f>[5]A07!S99+[5]A07!T99+[5]A32!X63+[5]A32!Y63</f>
        <v>0</v>
      </c>
      <c r="F30" s="106">
        <f>'1,6 CN'!F30</f>
        <v>0</v>
      </c>
      <c r="G30" s="4" t="str">
        <f t="shared" si="9"/>
        <v/>
      </c>
      <c r="H30" s="106">
        <f>[6]A07!S99+[6]A07!T99+[6]A32!X63+[6]A32!Y63</f>
        <v>0</v>
      </c>
      <c r="I30" s="106">
        <f>'1,6 CN'!I30</f>
        <v>0</v>
      </c>
      <c r="J30" s="4" t="str">
        <f t="shared" si="10"/>
        <v/>
      </c>
      <c r="K30" s="106">
        <f>[7]A07!S99+[7]A07!T99+[7]A32!X63+[7]A32!Y63</f>
        <v>0</v>
      </c>
      <c r="L30" s="106">
        <f>'1,6 CN'!L30</f>
        <v>0</v>
      </c>
      <c r="M30" s="4" t="e">
        <f t="shared" si="0"/>
        <v>#DIV/0!</v>
      </c>
      <c r="N30" s="106">
        <f>[8]A07!V99+[8]A07!W99+[8]A32!AA63+[8]A32!AB63</f>
        <v>0</v>
      </c>
      <c r="O30" s="106">
        <f>'1,6 CN'!O30</f>
        <v>0</v>
      </c>
      <c r="P30" s="4" t="e">
        <f t="shared" si="1"/>
        <v>#DIV/0!</v>
      </c>
      <c r="Q30" s="106">
        <f>[9]A07!V99+[9]A07!W99+[9]A32!AA63+[9]A32!AB63</f>
        <v>0</v>
      </c>
      <c r="R30" s="106">
        <f>'1,6 CN'!R30</f>
        <v>0</v>
      </c>
      <c r="S30" s="4" t="e">
        <f t="shared" si="2"/>
        <v>#DIV/0!</v>
      </c>
      <c r="T30" s="83">
        <f>[10]A07!V99+[10]A07!W99+[10]A32!AA63+[10]A32!AB63</f>
        <v>0</v>
      </c>
      <c r="U30" s="83">
        <f>'1,6 CN'!U30</f>
        <v>0</v>
      </c>
      <c r="V30" s="4" t="e">
        <f t="shared" si="3"/>
        <v>#DIV/0!</v>
      </c>
      <c r="W30" s="83">
        <f>[11]A07!V99+[11]A07!W99+[11]A32!AA63+[11]A32!AB63</f>
        <v>0</v>
      </c>
      <c r="X30" s="83">
        <f>'1,6 CN'!X30</f>
        <v>0</v>
      </c>
      <c r="Y30" s="4" t="e">
        <f t="shared" si="4"/>
        <v>#DIV/0!</v>
      </c>
      <c r="Z30" s="83">
        <f>[12]A07!V99+[12]A07!W99+[12]A32!AA63+[12]A32!AB63</f>
        <v>0</v>
      </c>
      <c r="AA30" s="83">
        <f>'1,6 CN'!AA30</f>
        <v>0</v>
      </c>
      <c r="AB30" s="4" t="e">
        <f t="shared" si="5"/>
        <v>#DIV/0!</v>
      </c>
      <c r="AC30" s="83">
        <f>[13]A07!V99+[13]A07!W99+[13]A32!AA63+[13]A32!AB63</f>
        <v>0</v>
      </c>
      <c r="AD30" s="83">
        <f>'1,6 CN'!AD30</f>
        <v>0</v>
      </c>
      <c r="AE30" s="4" t="e">
        <f t="shared" si="6"/>
        <v>#DIV/0!</v>
      </c>
      <c r="AF30" s="83">
        <f>[14]A07!V99+[14]A07!W99+[14]A32!AA63+[14]A32!AB63</f>
        <v>0</v>
      </c>
      <c r="AG30" s="83">
        <f>'1,6 CN'!AG30</f>
        <v>0</v>
      </c>
      <c r="AH30" s="4" t="e">
        <f t="shared" si="7"/>
        <v>#DIV/0!</v>
      </c>
      <c r="AI30" s="6"/>
      <c r="AJ30" s="6"/>
      <c r="AK30" s="4" t="e">
        <f t="shared" si="11"/>
        <v>#DIV/0!</v>
      </c>
      <c r="AL30" s="94">
        <f t="shared" si="12"/>
        <v>0</v>
      </c>
      <c r="AM30" s="94">
        <f t="shared" si="13"/>
        <v>0</v>
      </c>
      <c r="AN30" s="4" t="str">
        <f t="shared" si="14"/>
        <v/>
      </c>
      <c r="AO30" s="1"/>
    </row>
    <row r="31" spans="1:45" x14ac:dyDescent="0.15">
      <c r="A31" s="77" t="s">
        <v>116</v>
      </c>
      <c r="B31" s="106">
        <f>[4]A07!S100+[4]A07!T100+[4]A32!X64+[4]A32!Y64</f>
        <v>21</v>
      </c>
      <c r="C31" s="106">
        <f>'1,6 CN'!C31</f>
        <v>317</v>
      </c>
      <c r="D31" s="4">
        <f t="shared" si="8"/>
        <v>6.6246056782334389E-2</v>
      </c>
      <c r="E31" s="106">
        <f>[5]A07!S100+[5]A07!T100+[5]A32!X64+[5]A32!Y64</f>
        <v>13</v>
      </c>
      <c r="F31" s="106">
        <f>'1,6 CN'!F31</f>
        <v>191</v>
      </c>
      <c r="G31" s="4">
        <f t="shared" si="9"/>
        <v>6.8062827225130892E-2</v>
      </c>
      <c r="H31" s="106">
        <f>[6]A07!S100+[6]A07!T100+[6]A32!X64+[6]A32!Y64</f>
        <v>37</v>
      </c>
      <c r="I31" s="106">
        <f>'1,6 CN'!I31</f>
        <v>288</v>
      </c>
      <c r="J31" s="4">
        <f t="shared" si="10"/>
        <v>0.12847222222222221</v>
      </c>
      <c r="K31" s="106">
        <f>[7]A07!S100+[7]A07!T100+[7]A32!X64+[7]A32!Y64</f>
        <v>14</v>
      </c>
      <c r="L31" s="106">
        <f>'1,6 CN'!L31</f>
        <v>318</v>
      </c>
      <c r="M31" s="4">
        <f t="shared" si="0"/>
        <v>4.40251572327044E-2</v>
      </c>
      <c r="N31" s="106">
        <f>[8]A07!V100+[8]A07!W100+[8]A32!AA64+[8]A32!AB64</f>
        <v>76</v>
      </c>
      <c r="O31" s="106">
        <f>'1,6 CN'!O31</f>
        <v>270</v>
      </c>
      <c r="P31" s="4">
        <f t="shared" si="1"/>
        <v>0.2814814814814815</v>
      </c>
      <c r="Q31" s="106">
        <f>[9]A07!V100+[9]A07!W100+[9]A32!AA64+[9]A32!AB64</f>
        <v>94</v>
      </c>
      <c r="R31" s="106">
        <f>'1,6 CN'!R31</f>
        <v>242</v>
      </c>
      <c r="S31" s="4">
        <f t="shared" si="2"/>
        <v>0.38842975206611569</v>
      </c>
      <c r="T31" s="83">
        <f>[10]A07!V100+[10]A07!W100+[10]A32!AA64+[10]A32!AB64</f>
        <v>120</v>
      </c>
      <c r="U31" s="83">
        <f>'1,6 CN'!U31</f>
        <v>274</v>
      </c>
      <c r="V31" s="4">
        <f t="shared" si="3"/>
        <v>0.43795620437956206</v>
      </c>
      <c r="W31" s="83">
        <f>[11]A07!V100+[11]A07!W100+[11]A32!AA64+[11]A32!AB64</f>
        <v>85</v>
      </c>
      <c r="X31" s="83">
        <f>'1,6 CN'!X31</f>
        <v>272</v>
      </c>
      <c r="Y31" s="4">
        <f t="shared" si="4"/>
        <v>0.3125</v>
      </c>
      <c r="Z31" s="83">
        <f>[12]A07!V100+[12]A07!W100+[12]A32!AA64+[12]A32!AB64</f>
        <v>86</v>
      </c>
      <c r="AA31" s="83">
        <f>'1,6 CN'!AA31</f>
        <v>239</v>
      </c>
      <c r="AB31" s="4">
        <f t="shared" si="5"/>
        <v>0.35983263598326359</v>
      </c>
      <c r="AC31" s="83">
        <f>[13]A07!V100+[13]A07!W100+[13]A32!AA64+[13]A32!AB64</f>
        <v>123</v>
      </c>
      <c r="AD31" s="83">
        <f>'1,6 CN'!AD31</f>
        <v>312</v>
      </c>
      <c r="AE31" s="4">
        <f t="shared" si="6"/>
        <v>0.39423076923076922</v>
      </c>
      <c r="AF31" s="83">
        <f>[14]A07!V100+[14]A07!W100+[14]A32!AA64+[14]A32!AB64</f>
        <v>103</v>
      </c>
      <c r="AG31" s="83">
        <f>'1,6 CN'!AG31</f>
        <v>271</v>
      </c>
      <c r="AH31" s="4">
        <f t="shared" si="7"/>
        <v>0.38007380073800739</v>
      </c>
      <c r="AI31" s="6"/>
      <c r="AJ31" s="6"/>
      <c r="AK31" s="4" t="e">
        <f t="shared" si="11"/>
        <v>#DIV/0!</v>
      </c>
      <c r="AL31" s="94">
        <f t="shared" si="12"/>
        <v>255</v>
      </c>
      <c r="AM31" s="94">
        <f t="shared" si="13"/>
        <v>1626</v>
      </c>
      <c r="AN31" s="4">
        <f t="shared" si="14"/>
        <v>0.15682656826568267</v>
      </c>
      <c r="AO31" s="98" t="str">
        <f>IF(AN31&gt;10%,"1","0")</f>
        <v>1</v>
      </c>
      <c r="AS31" s="152" t="s">
        <v>180</v>
      </c>
    </row>
    <row r="32" spans="1:45" x14ac:dyDescent="0.15">
      <c r="A32" s="77" t="s">
        <v>117</v>
      </c>
      <c r="B32" s="106">
        <f>[4]A07!S101+[4]A07!T101+[4]A32!X65+[4]A32!Y65</f>
        <v>9</v>
      </c>
      <c r="C32" s="106">
        <f>'1,6 CN'!C32</f>
        <v>286</v>
      </c>
      <c r="D32" s="4">
        <f t="shared" si="8"/>
        <v>3.1468531468531472E-2</v>
      </c>
      <c r="E32" s="106">
        <f>[5]A07!S101+[5]A07!T101+[5]A32!X65+[5]A32!Y65</f>
        <v>6</v>
      </c>
      <c r="F32" s="106">
        <f>'1,6 CN'!F32</f>
        <v>196</v>
      </c>
      <c r="G32" s="4">
        <f t="shared" si="9"/>
        <v>3.0612244897959183E-2</v>
      </c>
      <c r="H32" s="106">
        <f>[6]A07!S101+[6]A07!T101+[6]A32!X65+[6]A32!Y65</f>
        <v>12</v>
      </c>
      <c r="I32" s="106">
        <f>'1,6 CN'!I32</f>
        <v>529</v>
      </c>
      <c r="J32" s="4">
        <f t="shared" si="10"/>
        <v>2.2684310018903593E-2</v>
      </c>
      <c r="K32" s="106">
        <f>[7]A07!S101+[7]A07!T101+[7]A32!X65+[7]A32!Y65</f>
        <v>10</v>
      </c>
      <c r="L32" s="106">
        <f>'1,6 CN'!L32</f>
        <v>506</v>
      </c>
      <c r="M32" s="4">
        <f t="shared" si="0"/>
        <v>1.9762845849802372E-2</v>
      </c>
      <c r="N32" s="106">
        <f>[8]A07!V101+[8]A07!W101+[8]A32!AA65+[8]A32!AB65</f>
        <v>78</v>
      </c>
      <c r="O32" s="106">
        <f>'1,6 CN'!O32</f>
        <v>376</v>
      </c>
      <c r="P32" s="4">
        <f t="shared" si="1"/>
        <v>0.20744680851063829</v>
      </c>
      <c r="Q32" s="106">
        <f>[9]A07!V101+[9]A07!W101+[9]A32!AA65+[9]A32!AB65</f>
        <v>93</v>
      </c>
      <c r="R32" s="106">
        <f>'1,6 CN'!R32</f>
        <v>351</v>
      </c>
      <c r="S32" s="4">
        <f t="shared" si="2"/>
        <v>0.26495726495726496</v>
      </c>
      <c r="T32" s="83">
        <f>[10]A07!V101+[10]A07!W101+[10]A32!AA65+[10]A32!AB65</f>
        <v>140</v>
      </c>
      <c r="U32" s="83">
        <f>'1,6 CN'!U32</f>
        <v>445</v>
      </c>
      <c r="V32" s="4">
        <f t="shared" si="3"/>
        <v>0.3146067415730337</v>
      </c>
      <c r="W32" s="83">
        <f>[11]A07!V101+[11]A07!W101+[11]A32!AA65+[11]A32!AB65</f>
        <v>125</v>
      </c>
      <c r="X32" s="83">
        <f>'1,6 CN'!X32</f>
        <v>426</v>
      </c>
      <c r="Y32" s="4">
        <f t="shared" si="4"/>
        <v>0.29342723004694837</v>
      </c>
      <c r="Z32" s="83">
        <f>[12]A07!V101+[12]A07!W101+[12]A32!AA65+[12]A32!AB65</f>
        <v>123</v>
      </c>
      <c r="AA32" s="83">
        <f>'1,6 CN'!AA32</f>
        <v>380</v>
      </c>
      <c r="AB32" s="4">
        <f t="shared" si="5"/>
        <v>0.3236842105263158</v>
      </c>
      <c r="AC32" s="83">
        <f>[13]A07!V101+[13]A07!W101+[13]A32!AA65+[13]A32!AB65</f>
        <v>158</v>
      </c>
      <c r="AD32" s="83">
        <f>'1,6 CN'!AD32</f>
        <v>435</v>
      </c>
      <c r="AE32" s="4">
        <f t="shared" si="6"/>
        <v>0.36321839080459772</v>
      </c>
      <c r="AF32" s="83">
        <f>[14]A07!V101+[14]A07!W101+[14]A32!AA65+[14]A32!AB65</f>
        <v>139</v>
      </c>
      <c r="AG32" s="83">
        <f>'1,6 CN'!AG32</f>
        <v>378</v>
      </c>
      <c r="AH32" s="4">
        <f t="shared" si="7"/>
        <v>0.36772486772486773</v>
      </c>
      <c r="AI32" s="6"/>
      <c r="AJ32" s="6"/>
      <c r="AK32" s="4" t="e">
        <f t="shared" si="11"/>
        <v>#DIV/0!</v>
      </c>
      <c r="AL32" s="94">
        <f t="shared" si="12"/>
        <v>208</v>
      </c>
      <c r="AM32" s="94">
        <f t="shared" si="13"/>
        <v>2244</v>
      </c>
      <c r="AN32" s="4">
        <f t="shared" si="14"/>
        <v>9.2691622103386814E-2</v>
      </c>
      <c r="AO32" s="98" t="str">
        <f>IF(AN32&gt;10%,"1","0")</f>
        <v>0</v>
      </c>
      <c r="AS32" s="152" t="s">
        <v>180</v>
      </c>
    </row>
    <row r="33" spans="1:45" x14ac:dyDescent="0.15">
      <c r="A33" s="80" t="s">
        <v>118</v>
      </c>
      <c r="B33" s="106">
        <f>[4]A07!S102+[4]A07!T102+[4]A32!X66+[4]A32!Y66</f>
        <v>46</v>
      </c>
      <c r="C33" s="106">
        <f>'1,6 CN'!C33</f>
        <v>138</v>
      </c>
      <c r="D33" s="4">
        <f t="shared" si="8"/>
        <v>0.33333333333333331</v>
      </c>
      <c r="E33" s="106">
        <f>[5]A07!S102+[5]A07!T102+[5]A32!X66+[5]A32!Y66</f>
        <v>35</v>
      </c>
      <c r="F33" s="106">
        <f>'1,6 CN'!F33</f>
        <v>130</v>
      </c>
      <c r="G33" s="4">
        <f t="shared" si="9"/>
        <v>0.26923076923076922</v>
      </c>
      <c r="H33" s="106">
        <f>[6]A07!S102+[6]A07!T102+[6]A32!X66+[6]A32!Y66</f>
        <v>33</v>
      </c>
      <c r="I33" s="106">
        <f>'1,6 CN'!I33</f>
        <v>119</v>
      </c>
      <c r="J33" s="4">
        <f t="shared" si="10"/>
        <v>0.27731092436974791</v>
      </c>
      <c r="K33" s="106">
        <f>[7]A07!S102+[7]A07!T102+[7]A32!X66+[7]A32!Y66</f>
        <v>67</v>
      </c>
      <c r="L33" s="106">
        <f>'1,6 CN'!L33</f>
        <v>207</v>
      </c>
      <c r="M33" s="4">
        <f t="shared" si="0"/>
        <v>0.32367149758454106</v>
      </c>
      <c r="N33" s="106">
        <f>[8]A07!V102+[8]A07!W102+[8]A32!AA66+[8]A32!AB66</f>
        <v>14</v>
      </c>
      <c r="O33" s="106">
        <f>'1,6 CN'!O33</f>
        <v>118</v>
      </c>
      <c r="P33" s="4">
        <f t="shared" si="1"/>
        <v>0.11864406779661017</v>
      </c>
      <c r="Q33" s="106">
        <f>[9]A07!V102+[9]A07!W102+[9]A32!AA66+[9]A32!AB66</f>
        <v>36</v>
      </c>
      <c r="R33" s="106">
        <f>'1,6 CN'!R33</f>
        <v>139</v>
      </c>
      <c r="S33" s="4">
        <f t="shared" si="2"/>
        <v>0.25899280575539568</v>
      </c>
      <c r="T33" s="83">
        <f>[10]A07!V102+[10]A07!W102+[10]A32!AA66+[10]A32!AB66</f>
        <v>23</v>
      </c>
      <c r="U33" s="83">
        <f>'1,6 CN'!U33</f>
        <v>133</v>
      </c>
      <c r="V33" s="4">
        <f t="shared" si="3"/>
        <v>0.17293233082706766</v>
      </c>
      <c r="W33" s="83">
        <f>[11]A07!V102+[11]A07!W102+[11]A32!AA66+[11]A32!AB66</f>
        <v>13</v>
      </c>
      <c r="X33" s="83">
        <f>'1,6 CN'!X33</f>
        <v>126</v>
      </c>
      <c r="Y33" s="4">
        <f t="shared" si="4"/>
        <v>0.10317460317460317</v>
      </c>
      <c r="Z33" s="83">
        <f>[12]A07!V102+[12]A07!W102+[12]A32!AA66+[12]A32!AB66</f>
        <v>25</v>
      </c>
      <c r="AA33" s="83">
        <f>'1,6 CN'!AA33</f>
        <v>119</v>
      </c>
      <c r="AB33" s="4">
        <f t="shared" si="5"/>
        <v>0.21008403361344538</v>
      </c>
      <c r="AC33" s="83">
        <f>[13]A07!V102+[13]A07!W102+[13]A32!AA66+[13]A32!AB66</f>
        <v>21</v>
      </c>
      <c r="AD33" s="83">
        <f>'1,6 CN'!AD33</f>
        <v>166</v>
      </c>
      <c r="AE33" s="4">
        <f t="shared" si="6"/>
        <v>0.12650602409638553</v>
      </c>
      <c r="AF33" s="83">
        <f>[14]A07!V102+[14]A07!W102+[14]A32!AA66+[14]A32!AB66</f>
        <v>19</v>
      </c>
      <c r="AG33" s="83">
        <f>'1,6 CN'!AG33</f>
        <v>119</v>
      </c>
      <c r="AH33" s="4">
        <f t="shared" si="7"/>
        <v>0.15966386554621848</v>
      </c>
      <c r="AI33" s="6"/>
      <c r="AJ33" s="6"/>
      <c r="AK33" s="4" t="e">
        <f t="shared" si="11"/>
        <v>#DIV/0!</v>
      </c>
      <c r="AL33" s="94">
        <f t="shared" si="12"/>
        <v>231</v>
      </c>
      <c r="AM33" s="94">
        <f t="shared" si="13"/>
        <v>851</v>
      </c>
      <c r="AN33" s="4">
        <f t="shared" si="14"/>
        <v>0.27144535840188017</v>
      </c>
      <c r="AO33" s="98" t="str">
        <f>IF(AN33&gt;25%,"1","0")</f>
        <v>1</v>
      </c>
      <c r="AS33" s="152" t="s">
        <v>173</v>
      </c>
    </row>
    <row r="34" spans="1:45" ht="14.45" customHeight="1" x14ac:dyDescent="0.15">
      <c r="A34" s="77" t="s">
        <v>119</v>
      </c>
      <c r="B34" s="106">
        <f>[4]A07!S103+[4]A07!T103+[4]A32!X67+[4]A32!Y67</f>
        <v>73</v>
      </c>
      <c r="C34" s="106">
        <f>'1,6 CN'!C34</f>
        <v>295</v>
      </c>
      <c r="D34" s="4">
        <f t="shared" si="8"/>
        <v>0.24745762711864408</v>
      </c>
      <c r="E34" s="106">
        <f>[5]A07!S103+[5]A07!T103+[5]A32!X67+[5]A32!Y67</f>
        <v>82</v>
      </c>
      <c r="F34" s="106">
        <f>'1,6 CN'!F34</f>
        <v>233</v>
      </c>
      <c r="G34" s="4">
        <f t="shared" si="9"/>
        <v>0.35193133047210301</v>
      </c>
      <c r="H34" s="106">
        <f>[6]A07!S103+[6]A07!T103+[6]A32!X67+[6]A32!Y67</f>
        <v>96</v>
      </c>
      <c r="I34" s="106">
        <f>'1,6 CN'!I34</f>
        <v>401</v>
      </c>
      <c r="J34" s="4">
        <f t="shared" si="10"/>
        <v>0.23940149625935161</v>
      </c>
      <c r="K34" s="106">
        <f>[7]A07!S103+[7]A07!T103+[7]A32!X67+[7]A32!Y67</f>
        <v>62</v>
      </c>
      <c r="L34" s="106">
        <f>'1,6 CN'!L34</f>
        <v>326</v>
      </c>
      <c r="M34" s="4">
        <f t="shared" si="0"/>
        <v>0.19018404907975461</v>
      </c>
      <c r="N34" s="106">
        <f>[8]A07!V103+[8]A07!W103+[8]A32!AA67+[8]A32!AB67</f>
        <v>30</v>
      </c>
      <c r="O34" s="106">
        <f>'1,6 CN'!O34</f>
        <v>311</v>
      </c>
      <c r="P34" s="4">
        <f t="shared" si="1"/>
        <v>9.6463022508038579E-2</v>
      </c>
      <c r="Q34" s="106">
        <f>[9]A07!V103+[9]A07!W103+[9]A32!AA67+[9]A32!AB67</f>
        <v>26</v>
      </c>
      <c r="R34" s="106">
        <f>'1,6 CN'!R34</f>
        <v>268</v>
      </c>
      <c r="S34" s="4">
        <f t="shared" si="2"/>
        <v>9.7014925373134331E-2</v>
      </c>
      <c r="T34" s="83">
        <f>[10]A07!V103+[10]A07!W103+[10]A32!AA67+[10]A32!AB67</f>
        <v>33</v>
      </c>
      <c r="U34" s="83">
        <f>'1,6 CN'!U34</f>
        <v>361</v>
      </c>
      <c r="V34" s="4">
        <f t="shared" si="3"/>
        <v>9.141274238227147E-2</v>
      </c>
      <c r="W34" s="83">
        <f>[11]A07!V103+[11]A07!W103+[11]A32!AA67+[11]A32!AB67</f>
        <v>63</v>
      </c>
      <c r="X34" s="83">
        <f>'1,6 CN'!X34</f>
        <v>260</v>
      </c>
      <c r="Y34" s="4">
        <f t="shared" si="4"/>
        <v>0.24230769230769231</v>
      </c>
      <c r="Z34" s="83">
        <f>[12]A07!V103+[12]A07!W103+[12]A32!AA67+[12]A32!AB67</f>
        <v>54</v>
      </c>
      <c r="AA34" s="83">
        <f>'1,6 CN'!AA34</f>
        <v>280</v>
      </c>
      <c r="AB34" s="4">
        <f t="shared" si="5"/>
        <v>0.19285714285714287</v>
      </c>
      <c r="AC34" s="83">
        <f>[13]A07!V103+[13]A07!W103+[13]A32!AA67+[13]A32!AB67</f>
        <v>42</v>
      </c>
      <c r="AD34" s="83">
        <f>'1,6 CN'!AD34</f>
        <v>235</v>
      </c>
      <c r="AE34" s="4">
        <f t="shared" si="6"/>
        <v>0.17872340425531916</v>
      </c>
      <c r="AF34" s="83">
        <f>[14]A07!V103+[14]A07!W103+[14]A32!AA67+[14]A32!AB67</f>
        <v>15</v>
      </c>
      <c r="AG34" s="83">
        <f>'1,6 CN'!AG34</f>
        <v>275</v>
      </c>
      <c r="AH34" s="4">
        <f t="shared" si="7"/>
        <v>5.4545454545454543E-2</v>
      </c>
      <c r="AI34" s="6"/>
      <c r="AJ34" s="6"/>
      <c r="AK34" s="4" t="e">
        <f t="shared" si="11"/>
        <v>#DIV/0!</v>
      </c>
      <c r="AL34" s="94">
        <f t="shared" si="12"/>
        <v>369</v>
      </c>
      <c r="AM34" s="94">
        <f t="shared" si="13"/>
        <v>1834</v>
      </c>
      <c r="AN34" s="4">
        <f t="shared" si="14"/>
        <v>0.20119956379498363</v>
      </c>
      <c r="AO34" s="98" t="str">
        <f>IF(AN34&gt;18%,"1","0")</f>
        <v>1</v>
      </c>
      <c r="AS34" s="152" t="s">
        <v>182</v>
      </c>
    </row>
    <row r="35" spans="1:45" x14ac:dyDescent="0.15">
      <c r="A35" s="81" t="s">
        <v>120</v>
      </c>
      <c r="B35" s="106">
        <f>[4]A07!S104+[4]A07!T104+[4]A32!X68+[4]A32!Y68</f>
        <v>0</v>
      </c>
      <c r="C35" s="106">
        <f>'1,6 CN'!C35</f>
        <v>0</v>
      </c>
      <c r="D35" s="4" t="str">
        <f t="shared" si="8"/>
        <v/>
      </c>
      <c r="E35" s="106">
        <f>[5]A07!S104+[5]A07!T104+[5]A32!X68+[5]A32!Y68</f>
        <v>3</v>
      </c>
      <c r="F35" s="106">
        <f>'1,6 CN'!F35</f>
        <v>20</v>
      </c>
      <c r="G35" s="4">
        <f t="shared" si="9"/>
        <v>0.15</v>
      </c>
      <c r="H35" s="106">
        <f>[6]A07!S104+[6]A07!T104+[6]A32!X68+[6]A32!Y68</f>
        <v>4</v>
      </c>
      <c r="I35" s="106">
        <f>'1,6 CN'!I35</f>
        <v>30</v>
      </c>
      <c r="J35" s="4">
        <f t="shared" si="10"/>
        <v>0.13333333333333333</v>
      </c>
      <c r="K35" s="106">
        <f>[7]A07!S104+[7]A07!T104+[7]A32!X68+[7]A32!Y68</f>
        <v>6</v>
      </c>
      <c r="L35" s="106">
        <f>'1,6 CN'!L35</f>
        <v>22</v>
      </c>
      <c r="M35" s="4">
        <f t="shared" si="0"/>
        <v>0.27272727272727271</v>
      </c>
      <c r="N35" s="106">
        <f>[8]A07!V104+[8]A07!W104+[8]A32!AA68+[8]A32!AB68</f>
        <v>4</v>
      </c>
      <c r="O35" s="106">
        <f>'1,6 CN'!O35</f>
        <v>18</v>
      </c>
      <c r="P35" s="4">
        <f t="shared" si="1"/>
        <v>0.22222222222222221</v>
      </c>
      <c r="Q35" s="106">
        <f>[9]A07!V104+[9]A07!W104+[9]A32!AA68+[9]A32!AB68</f>
        <v>0</v>
      </c>
      <c r="R35" s="106">
        <f>'1,6 CN'!R35</f>
        <v>42</v>
      </c>
      <c r="S35" s="4">
        <f t="shared" si="2"/>
        <v>0</v>
      </c>
      <c r="T35" s="83">
        <f>[10]A07!V104+[10]A07!W104+[10]A32!AA68+[10]A32!AB68</f>
        <v>1</v>
      </c>
      <c r="U35" s="83">
        <f>'1,6 CN'!U35</f>
        <v>33</v>
      </c>
      <c r="V35" s="4">
        <f t="shared" si="3"/>
        <v>3.0303030303030304E-2</v>
      </c>
      <c r="W35" s="83">
        <f>[11]A07!V104+[11]A07!W104+[11]A32!AA68+[11]A32!AB68</f>
        <v>3</v>
      </c>
      <c r="X35" s="83">
        <f>'1,6 CN'!X35</f>
        <v>28</v>
      </c>
      <c r="Y35" s="4">
        <f t="shared" si="4"/>
        <v>0.10714285714285714</v>
      </c>
      <c r="Z35" s="83">
        <f>[12]A07!V104+[12]A07!W104+[12]A32!AA68+[12]A32!AB68</f>
        <v>2</v>
      </c>
      <c r="AA35" s="83">
        <f>'1,6 CN'!AA35</f>
        <v>30</v>
      </c>
      <c r="AB35" s="4">
        <f t="shared" si="5"/>
        <v>6.6666666666666666E-2</v>
      </c>
      <c r="AC35" s="83">
        <f>[13]A07!V104+[13]A07!W104+[13]A32!AA68+[13]A32!AB68</f>
        <v>0</v>
      </c>
      <c r="AD35" s="83">
        <f>'1,6 CN'!AD35</f>
        <v>22</v>
      </c>
      <c r="AE35" s="4">
        <f t="shared" si="6"/>
        <v>0</v>
      </c>
      <c r="AF35" s="83">
        <f>[14]A07!V104+[14]A07!W104+[14]A32!AA68+[14]A32!AB68</f>
        <v>3</v>
      </c>
      <c r="AG35" s="83">
        <f>'1,6 CN'!AG35</f>
        <v>17</v>
      </c>
      <c r="AH35" s="4">
        <f t="shared" si="7"/>
        <v>0.17647058823529413</v>
      </c>
      <c r="AI35" s="6"/>
      <c r="AJ35" s="6"/>
      <c r="AK35" s="4" t="e">
        <f t="shared" si="11"/>
        <v>#DIV/0!</v>
      </c>
      <c r="AL35" s="94">
        <f t="shared" si="12"/>
        <v>17</v>
      </c>
      <c r="AM35" s="94">
        <f t="shared" si="13"/>
        <v>132</v>
      </c>
      <c r="AN35" s="4">
        <f t="shared" si="14"/>
        <v>0.12878787878787878</v>
      </c>
      <c r="AO35" s="98" t="str">
        <f>IF(AN35&gt;18%,"1","0")</f>
        <v>0</v>
      </c>
      <c r="AS35" s="152" t="s">
        <v>182</v>
      </c>
    </row>
    <row r="36" spans="1:45" x14ac:dyDescent="0.15">
      <c r="A36" s="82" t="s">
        <v>121</v>
      </c>
      <c r="B36" s="106">
        <f>[4]A07!S105+[4]A07!T105+[4]A32!X69+[4]A32!Y69</f>
        <v>0</v>
      </c>
      <c r="C36" s="106">
        <f>'1,6 CN'!C36</f>
        <v>0</v>
      </c>
      <c r="D36" s="4" t="str">
        <f t="shared" si="8"/>
        <v/>
      </c>
      <c r="E36" s="106">
        <f>[5]A07!S105+[5]A07!T105+[5]A32!X69+[5]A32!Y69</f>
        <v>0</v>
      </c>
      <c r="F36" s="106">
        <f>'1,6 CN'!F36</f>
        <v>0</v>
      </c>
      <c r="G36" s="4" t="str">
        <f t="shared" si="9"/>
        <v/>
      </c>
      <c r="H36" s="106">
        <f>[6]A07!S105+[6]A07!T105+[6]A32!X69+[6]A32!Y69</f>
        <v>0</v>
      </c>
      <c r="I36" s="106">
        <f>'1,6 CN'!I36</f>
        <v>0</v>
      </c>
      <c r="J36" s="4" t="str">
        <f t="shared" si="10"/>
        <v/>
      </c>
      <c r="K36" s="106">
        <f>[7]A07!S105+[7]A07!T105+[7]A32!X69+[7]A32!Y69</f>
        <v>0</v>
      </c>
      <c r="L36" s="106">
        <f>'1,6 CN'!L36</f>
        <v>0</v>
      </c>
      <c r="M36" s="4" t="e">
        <f t="shared" si="0"/>
        <v>#DIV/0!</v>
      </c>
      <c r="N36" s="106">
        <f>[8]A07!V105+[8]A07!W105+[8]A32!AA69+[8]A32!AB69</f>
        <v>0</v>
      </c>
      <c r="O36" s="106">
        <f>'1,6 CN'!O36</f>
        <v>0</v>
      </c>
      <c r="P36" s="4" t="e">
        <f t="shared" si="1"/>
        <v>#DIV/0!</v>
      </c>
      <c r="Q36" s="106">
        <f>[9]A07!V105+[9]A07!W105+[9]A32!AA69+[9]A32!AB69</f>
        <v>0</v>
      </c>
      <c r="R36" s="106">
        <f>'1,6 CN'!R36</f>
        <v>0</v>
      </c>
      <c r="S36" s="4" t="e">
        <f t="shared" si="2"/>
        <v>#DIV/0!</v>
      </c>
      <c r="T36" s="83">
        <f>[10]A07!V105+[10]A07!W105+[10]A32!AA69+[10]A32!AB69</f>
        <v>0</v>
      </c>
      <c r="U36" s="83">
        <f>'1,6 CN'!U36</f>
        <v>0</v>
      </c>
      <c r="V36" s="4" t="e">
        <f t="shared" si="3"/>
        <v>#DIV/0!</v>
      </c>
      <c r="W36" s="83">
        <f>[11]A07!V105+[11]A07!W105+[11]A32!AA69+[11]A32!AB69</f>
        <v>0</v>
      </c>
      <c r="X36" s="83">
        <f>'1,6 CN'!X36</f>
        <v>0</v>
      </c>
      <c r="Y36" s="4" t="e">
        <f t="shared" si="4"/>
        <v>#DIV/0!</v>
      </c>
      <c r="Z36" s="83">
        <f>[12]A07!V105+[12]A07!W105+[12]A32!AA69+[12]A32!AB69</f>
        <v>0</v>
      </c>
      <c r="AA36" s="83">
        <f>'1,6 CN'!AA36</f>
        <v>0</v>
      </c>
      <c r="AB36" s="4" t="e">
        <f t="shared" si="5"/>
        <v>#DIV/0!</v>
      </c>
      <c r="AC36" s="83">
        <f>[13]A07!V105+[13]A07!W105+[13]A32!AA69+[13]A32!AB69</f>
        <v>0</v>
      </c>
      <c r="AD36" s="83">
        <f>'1,6 CN'!AD36</f>
        <v>0</v>
      </c>
      <c r="AE36" s="4" t="e">
        <f t="shared" si="6"/>
        <v>#DIV/0!</v>
      </c>
      <c r="AF36" s="83">
        <f>[14]A07!V105+[14]A07!W105+[14]A32!AA69+[14]A32!AB69</f>
        <v>0</v>
      </c>
      <c r="AG36" s="83">
        <f>'1,6 CN'!AG36</f>
        <v>0</v>
      </c>
      <c r="AH36" s="4" t="e">
        <f t="shared" si="7"/>
        <v>#DIV/0!</v>
      </c>
      <c r="AI36" s="6"/>
      <c r="AJ36" s="6"/>
      <c r="AK36" s="4" t="e">
        <f t="shared" si="11"/>
        <v>#DIV/0!</v>
      </c>
      <c r="AL36" s="94">
        <f t="shared" si="12"/>
        <v>0</v>
      </c>
      <c r="AM36" s="94">
        <f t="shared" si="13"/>
        <v>0</v>
      </c>
      <c r="AN36" s="4" t="str">
        <f t="shared" si="14"/>
        <v/>
      </c>
      <c r="AO36" s="1"/>
    </row>
    <row r="37" spans="1:45" x14ac:dyDescent="0.15">
      <c r="A37" s="77" t="s">
        <v>122</v>
      </c>
      <c r="B37" s="106">
        <f>[4]A07!S106+[4]A07!T106+[4]A32!X70+[4]A32!Y70</f>
        <v>0</v>
      </c>
      <c r="C37" s="106">
        <f>'1,6 CN'!C37</f>
        <v>0</v>
      </c>
      <c r="D37" s="4" t="str">
        <f t="shared" si="8"/>
        <v/>
      </c>
      <c r="E37" s="106">
        <f>[5]A07!S106+[5]A07!T106+[5]A32!X70+[5]A32!Y70</f>
        <v>0</v>
      </c>
      <c r="F37" s="106">
        <f>'1,6 CN'!F37</f>
        <v>0</v>
      </c>
      <c r="G37" s="4" t="str">
        <f t="shared" si="9"/>
        <v/>
      </c>
      <c r="H37" s="106">
        <f>[6]A07!S106+[6]A07!T106+[6]A32!X70+[6]A32!Y70</f>
        <v>0</v>
      </c>
      <c r="I37" s="106">
        <f>'1,6 CN'!I37</f>
        <v>0</v>
      </c>
      <c r="J37" s="4" t="str">
        <f t="shared" si="10"/>
        <v/>
      </c>
      <c r="K37" s="106">
        <f>[7]A07!S106+[7]A07!T106+[7]A32!X70+[7]A32!Y70</f>
        <v>0</v>
      </c>
      <c r="L37" s="106">
        <f>'1,6 CN'!L37</f>
        <v>0</v>
      </c>
      <c r="M37" s="4" t="e">
        <f t="shared" si="0"/>
        <v>#DIV/0!</v>
      </c>
      <c r="N37" s="106">
        <f>[8]A07!V106+[8]A07!W106+[8]A32!AA70+[8]A32!AB70</f>
        <v>0</v>
      </c>
      <c r="O37" s="106">
        <f>'1,6 CN'!O37</f>
        <v>0</v>
      </c>
      <c r="P37" s="4" t="e">
        <f t="shared" si="1"/>
        <v>#DIV/0!</v>
      </c>
      <c r="Q37" s="106">
        <f>[9]A07!V106+[9]A07!W106+[9]A32!AA70+[9]A32!AB70</f>
        <v>3</v>
      </c>
      <c r="R37" s="106">
        <f>'1,6 CN'!R37</f>
        <v>0</v>
      </c>
      <c r="S37" s="4" t="e">
        <f t="shared" si="2"/>
        <v>#DIV/0!</v>
      </c>
      <c r="T37" s="83">
        <f>[10]A07!V106+[10]A07!W106+[10]A32!AA70+[10]A32!AB70</f>
        <v>0</v>
      </c>
      <c r="U37" s="83">
        <f>'1,6 CN'!U37</f>
        <v>0</v>
      </c>
      <c r="V37" s="4" t="e">
        <f t="shared" si="3"/>
        <v>#DIV/0!</v>
      </c>
      <c r="W37" s="83">
        <f>[11]A07!V106+[11]A07!W106+[11]A32!AA70+[11]A32!AB70</f>
        <v>0</v>
      </c>
      <c r="X37" s="83">
        <f>'1,6 CN'!X37</f>
        <v>0</v>
      </c>
      <c r="Y37" s="4" t="e">
        <f t="shared" si="4"/>
        <v>#DIV/0!</v>
      </c>
      <c r="Z37" s="83">
        <f>[12]A07!V106+[12]A07!W106+[12]A32!AA70+[12]A32!AB70</f>
        <v>0</v>
      </c>
      <c r="AA37" s="83">
        <f>'1,6 CN'!AA37</f>
        <v>0</v>
      </c>
      <c r="AB37" s="4" t="e">
        <f t="shared" si="5"/>
        <v>#DIV/0!</v>
      </c>
      <c r="AC37" s="83">
        <f>[13]A07!V106+[13]A07!W106+[13]A32!AA70+[13]A32!AB70</f>
        <v>0</v>
      </c>
      <c r="AD37" s="83">
        <f>'1,6 CN'!AD37</f>
        <v>0</v>
      </c>
      <c r="AE37" s="4" t="e">
        <f t="shared" si="6"/>
        <v>#DIV/0!</v>
      </c>
      <c r="AF37" s="83">
        <f>[14]A07!V106+[14]A07!W106+[14]A32!AA70+[14]A32!AB70</f>
        <v>0</v>
      </c>
      <c r="AG37" s="83">
        <f>'1,6 CN'!AG37</f>
        <v>0</v>
      </c>
      <c r="AH37" s="4" t="e">
        <f t="shared" si="7"/>
        <v>#DIV/0!</v>
      </c>
      <c r="AI37" s="6"/>
      <c r="AJ37" s="6"/>
      <c r="AK37" s="4" t="e">
        <f t="shared" si="11"/>
        <v>#DIV/0!</v>
      </c>
      <c r="AL37" s="94">
        <f t="shared" si="12"/>
        <v>3</v>
      </c>
      <c r="AM37" s="94">
        <f t="shared" si="13"/>
        <v>0</v>
      </c>
      <c r="AN37" s="4" t="str">
        <f t="shared" si="14"/>
        <v/>
      </c>
      <c r="AO37" s="1"/>
    </row>
    <row r="38" spans="1:45" x14ac:dyDescent="0.15">
      <c r="A38" s="77" t="s">
        <v>123</v>
      </c>
      <c r="B38" s="106">
        <f>[4]A07!S107+[4]A07!T107+[4]A32!X71+[4]A32!Y71</f>
        <v>0</v>
      </c>
      <c r="C38" s="106">
        <f>'1,6 CN'!C38</f>
        <v>0</v>
      </c>
      <c r="D38" s="4" t="str">
        <f t="shared" si="8"/>
        <v/>
      </c>
      <c r="E38" s="106">
        <f>[5]A07!S107+[5]A07!T107+[5]A32!X71+[5]A32!Y71</f>
        <v>0</v>
      </c>
      <c r="F38" s="106">
        <f>'1,6 CN'!F38</f>
        <v>0</v>
      </c>
      <c r="G38" s="4" t="str">
        <f t="shared" si="9"/>
        <v/>
      </c>
      <c r="H38" s="106">
        <f>[6]A07!S107+[6]A07!T107+[6]A32!X71+[6]A32!Y71</f>
        <v>0</v>
      </c>
      <c r="I38" s="106">
        <f>'1,6 CN'!I38</f>
        <v>0</v>
      </c>
      <c r="J38" s="4" t="str">
        <f t="shared" si="10"/>
        <v/>
      </c>
      <c r="K38" s="106">
        <f>[7]A07!S107+[7]A07!T107+[7]A32!X71+[7]A32!Y71</f>
        <v>0</v>
      </c>
      <c r="L38" s="106">
        <f>'1,6 CN'!L38</f>
        <v>0</v>
      </c>
      <c r="M38" s="4" t="e">
        <f t="shared" si="0"/>
        <v>#DIV/0!</v>
      </c>
      <c r="N38" s="106">
        <f>[8]A07!V107+[8]A07!W107+[8]A32!AA71+[8]A32!AB71</f>
        <v>0</v>
      </c>
      <c r="O38" s="106">
        <f>'1,6 CN'!O38</f>
        <v>0</v>
      </c>
      <c r="P38" s="4" t="e">
        <f t="shared" si="1"/>
        <v>#DIV/0!</v>
      </c>
      <c r="Q38" s="106">
        <f>[9]A07!V107+[9]A07!W107+[9]A32!AA71+[9]A32!AB71</f>
        <v>0</v>
      </c>
      <c r="R38" s="106">
        <f>'1,6 CN'!R38</f>
        <v>0</v>
      </c>
      <c r="S38" s="4" t="e">
        <f t="shared" si="2"/>
        <v>#DIV/0!</v>
      </c>
      <c r="T38" s="83">
        <f>[10]A07!V107+[10]A07!W107+[10]A32!AA71+[10]A32!AB71</f>
        <v>0</v>
      </c>
      <c r="U38" s="83">
        <f>'1,6 CN'!U38</f>
        <v>0</v>
      </c>
      <c r="V38" s="4" t="e">
        <f t="shared" si="3"/>
        <v>#DIV/0!</v>
      </c>
      <c r="W38" s="83">
        <f>[11]A07!V107+[11]A07!W107+[11]A32!AA71+[11]A32!AB71</f>
        <v>0</v>
      </c>
      <c r="X38" s="83">
        <f>'1,6 CN'!X38</f>
        <v>0</v>
      </c>
      <c r="Y38" s="4" t="e">
        <f t="shared" si="4"/>
        <v>#DIV/0!</v>
      </c>
      <c r="Z38" s="83">
        <f>[12]A07!V107+[12]A07!W107+[12]A32!AA71+[12]A32!AB71</f>
        <v>0</v>
      </c>
      <c r="AA38" s="83">
        <f>'1,6 CN'!AA38</f>
        <v>0</v>
      </c>
      <c r="AB38" s="4" t="e">
        <f t="shared" si="5"/>
        <v>#DIV/0!</v>
      </c>
      <c r="AC38" s="83">
        <f>[13]A07!V107+[13]A07!W107+[13]A32!AA71+[13]A32!AB71</f>
        <v>0</v>
      </c>
      <c r="AD38" s="83">
        <f>'1,6 CN'!AD38</f>
        <v>0</v>
      </c>
      <c r="AE38" s="4" t="e">
        <f t="shared" si="6"/>
        <v>#DIV/0!</v>
      </c>
      <c r="AF38" s="83">
        <f>[14]A07!V107+[14]A07!W107+[14]A32!AA71+[14]A32!AB71</f>
        <v>0</v>
      </c>
      <c r="AG38" s="83">
        <f>'1,6 CN'!AG38</f>
        <v>0</v>
      </c>
      <c r="AH38" s="4" t="e">
        <f t="shared" si="7"/>
        <v>#DIV/0!</v>
      </c>
      <c r="AI38" s="6"/>
      <c r="AJ38" s="6"/>
      <c r="AK38" s="4" t="e">
        <f t="shared" si="11"/>
        <v>#DIV/0!</v>
      </c>
      <c r="AL38" s="94">
        <f t="shared" si="12"/>
        <v>0</v>
      </c>
      <c r="AM38" s="94">
        <f t="shared" si="13"/>
        <v>0</v>
      </c>
      <c r="AN38" s="4" t="str">
        <f t="shared" si="14"/>
        <v/>
      </c>
      <c r="AO38" s="1"/>
    </row>
    <row r="39" spans="1:45" x14ac:dyDescent="0.15">
      <c r="A39" s="77" t="s">
        <v>124</v>
      </c>
      <c r="B39" s="106">
        <f>[4]A07!S108+[4]A07!T108+[4]A32!X72+[4]A32!Y72</f>
        <v>2</v>
      </c>
      <c r="C39" s="106">
        <f>'1,6 CN'!C39</f>
        <v>28</v>
      </c>
      <c r="D39" s="4">
        <f t="shared" si="8"/>
        <v>7.1428571428571425E-2</v>
      </c>
      <c r="E39" s="106">
        <f>[5]A07!S108+[5]A07!T108+[5]A32!X72+[5]A32!Y72</f>
        <v>0</v>
      </c>
      <c r="F39" s="106">
        <f>'1,6 CN'!F39</f>
        <v>17</v>
      </c>
      <c r="G39" s="4">
        <f t="shared" si="9"/>
        <v>0</v>
      </c>
      <c r="H39" s="106">
        <f>[6]A07!S108+[6]A07!T108+[6]A32!X72+[6]A32!Y72</f>
        <v>1</v>
      </c>
      <c r="I39" s="106">
        <f>'1,6 CN'!I39</f>
        <v>44</v>
      </c>
      <c r="J39" s="4">
        <f t="shared" si="10"/>
        <v>2.2727272727272728E-2</v>
      </c>
      <c r="K39" s="106">
        <f>[7]A07!S108+[7]A07!T108+[7]A32!X72+[7]A32!Y72</f>
        <v>0</v>
      </c>
      <c r="L39" s="106">
        <f>'1,6 CN'!L39</f>
        <v>32</v>
      </c>
      <c r="M39" s="4">
        <f t="shared" si="0"/>
        <v>0</v>
      </c>
      <c r="N39" s="106">
        <f>[8]A07!V108+[8]A07!W108+[8]A32!AA72+[8]A32!AB72</f>
        <v>0</v>
      </c>
      <c r="O39" s="106">
        <f>'1,6 CN'!O39</f>
        <v>39</v>
      </c>
      <c r="P39" s="4">
        <f t="shared" si="1"/>
        <v>0</v>
      </c>
      <c r="Q39" s="106">
        <f>[9]A07!V108+[9]A07!W108+[9]A32!AA72+[9]A32!AB72</f>
        <v>0</v>
      </c>
      <c r="R39" s="106">
        <f>'1,6 CN'!R39</f>
        <v>40</v>
      </c>
      <c r="S39" s="4">
        <f t="shared" si="2"/>
        <v>0</v>
      </c>
      <c r="T39" s="83">
        <f>[10]A07!V108+[10]A07!W108+[10]A32!AA72+[10]A32!AB72</f>
        <v>2</v>
      </c>
      <c r="U39" s="83">
        <f>'1,6 CN'!U39</f>
        <v>66</v>
      </c>
      <c r="V39" s="4">
        <f t="shared" si="3"/>
        <v>3.0303030303030304E-2</v>
      </c>
      <c r="W39" s="83">
        <f>[11]A07!V108+[11]A07!W108+[11]A32!AA72+[11]A32!AB72</f>
        <v>1</v>
      </c>
      <c r="X39" s="83">
        <f>'1,6 CN'!X39</f>
        <v>68</v>
      </c>
      <c r="Y39" s="4">
        <f t="shared" si="4"/>
        <v>1.4705882352941176E-2</v>
      </c>
      <c r="Z39" s="83">
        <f>[12]A07!V108+[12]A07!W108+[12]A32!AA72+[12]A32!AB72</f>
        <v>0</v>
      </c>
      <c r="AA39" s="83">
        <f>'1,6 CN'!AA39</f>
        <v>62</v>
      </c>
      <c r="AB39" s="4">
        <f t="shared" si="5"/>
        <v>0</v>
      </c>
      <c r="AC39" s="83">
        <f>[13]A07!V108+[13]A07!W108+[13]A32!AA72+[13]A32!AB72</f>
        <v>0</v>
      </c>
      <c r="AD39" s="83">
        <f>'1,6 CN'!AD39</f>
        <v>64</v>
      </c>
      <c r="AE39" s="4">
        <f t="shared" si="6"/>
        <v>0</v>
      </c>
      <c r="AF39" s="83">
        <f>[14]A07!V108+[14]A07!W108+[14]A32!AA72+[14]A32!AB72</f>
        <v>0</v>
      </c>
      <c r="AG39" s="83">
        <f>'1,6 CN'!AG39</f>
        <v>37</v>
      </c>
      <c r="AH39" s="4">
        <f t="shared" si="7"/>
        <v>0</v>
      </c>
      <c r="AI39" s="6"/>
      <c r="AJ39" s="6"/>
      <c r="AK39" s="4" t="e">
        <f t="shared" si="11"/>
        <v>#DIV/0!</v>
      </c>
      <c r="AL39" s="94">
        <f t="shared" si="12"/>
        <v>3</v>
      </c>
      <c r="AM39" s="94">
        <f t="shared" si="13"/>
        <v>200</v>
      </c>
      <c r="AN39" s="4">
        <f t="shared" si="14"/>
        <v>1.4999999999999999E-2</v>
      </c>
      <c r="AO39" s="98" t="str">
        <f>IF(AN39&gt;14%,"1","0")</f>
        <v>0</v>
      </c>
      <c r="AS39" s="152" t="s">
        <v>181</v>
      </c>
    </row>
    <row r="40" spans="1:45" x14ac:dyDescent="0.15">
      <c r="A40" s="77" t="s">
        <v>125</v>
      </c>
      <c r="B40" s="106">
        <f>[4]A07!S109+[4]A07!T109+[4]A32!X73+[4]A32!Y73</f>
        <v>0</v>
      </c>
      <c r="C40" s="106">
        <f>'1,6 CN'!C40</f>
        <v>0</v>
      </c>
      <c r="D40" s="4" t="str">
        <f t="shared" si="8"/>
        <v/>
      </c>
      <c r="E40" s="106">
        <f>[5]A07!S109+[5]A07!T109+[5]A32!X73+[5]A32!Y73</f>
        <v>0</v>
      </c>
      <c r="F40" s="106">
        <f>'1,6 CN'!F40</f>
        <v>0</v>
      </c>
      <c r="G40" s="4" t="str">
        <f t="shared" si="9"/>
        <v/>
      </c>
      <c r="H40" s="106">
        <f>[6]A07!S109+[6]A07!T109+[6]A32!X73+[6]A32!Y73</f>
        <v>0</v>
      </c>
      <c r="I40" s="106">
        <f>'1,6 CN'!I40</f>
        <v>0</v>
      </c>
      <c r="J40" s="4" t="str">
        <f t="shared" si="10"/>
        <v/>
      </c>
      <c r="K40" s="106">
        <f>[7]A07!S109+[7]A07!T109+[7]A32!X73+[7]A32!Y73</f>
        <v>0</v>
      </c>
      <c r="L40" s="106">
        <f>'1,6 CN'!L40</f>
        <v>0</v>
      </c>
      <c r="M40" s="4" t="e">
        <f t="shared" si="0"/>
        <v>#DIV/0!</v>
      </c>
      <c r="N40" s="106">
        <f>[8]A07!V109+[8]A07!W109+[8]A32!AA73+[8]A32!AB73</f>
        <v>0</v>
      </c>
      <c r="O40" s="106">
        <f>'1,6 CN'!O40</f>
        <v>0</v>
      </c>
      <c r="P40" s="4" t="e">
        <f t="shared" si="1"/>
        <v>#DIV/0!</v>
      </c>
      <c r="Q40" s="106">
        <f>[9]A07!V109+[9]A07!W109+[9]A32!AA73+[9]A32!AB73</f>
        <v>0</v>
      </c>
      <c r="R40" s="106">
        <f>'1,6 CN'!R40</f>
        <v>0</v>
      </c>
      <c r="S40" s="4" t="e">
        <f t="shared" si="2"/>
        <v>#DIV/0!</v>
      </c>
      <c r="T40" s="83">
        <f>[10]A07!V109+[10]A07!W109+[10]A32!AA73+[10]A32!AB73</f>
        <v>0</v>
      </c>
      <c r="U40" s="83">
        <f>'1,6 CN'!U40</f>
        <v>0</v>
      </c>
      <c r="V40" s="4" t="e">
        <f t="shared" si="3"/>
        <v>#DIV/0!</v>
      </c>
      <c r="W40" s="83">
        <f>[11]A07!V109+[11]A07!W109+[11]A32!AA73+[11]A32!AB73</f>
        <v>0</v>
      </c>
      <c r="X40" s="83">
        <f>'1,6 CN'!X40</f>
        <v>0</v>
      </c>
      <c r="Y40" s="4" t="e">
        <f t="shared" si="4"/>
        <v>#DIV/0!</v>
      </c>
      <c r="Z40" s="83">
        <f>[12]A07!V109+[12]A07!W109+[12]A32!AA73+[12]A32!AB73</f>
        <v>0</v>
      </c>
      <c r="AA40" s="83">
        <f>'1,6 CN'!AA40</f>
        <v>0</v>
      </c>
      <c r="AB40" s="4" t="e">
        <f t="shared" si="5"/>
        <v>#DIV/0!</v>
      </c>
      <c r="AC40" s="83">
        <f>[13]A07!V109+[13]A07!W109+[13]A32!AA73+[13]A32!AB73</f>
        <v>0</v>
      </c>
      <c r="AD40" s="83">
        <f>'1,6 CN'!AD40</f>
        <v>0</v>
      </c>
      <c r="AE40" s="4" t="e">
        <f t="shared" si="6"/>
        <v>#DIV/0!</v>
      </c>
      <c r="AF40" s="83">
        <f>[14]A07!V109+[14]A07!W109+[14]A32!AA73+[14]A32!AB73</f>
        <v>0</v>
      </c>
      <c r="AG40" s="83">
        <f>'1,6 CN'!AG40</f>
        <v>0</v>
      </c>
      <c r="AH40" s="4" t="e">
        <f t="shared" si="7"/>
        <v>#DIV/0!</v>
      </c>
      <c r="AI40" s="6"/>
      <c r="AJ40" s="6"/>
      <c r="AK40" s="4" t="e">
        <f t="shared" si="11"/>
        <v>#DIV/0!</v>
      </c>
      <c r="AL40" s="94">
        <f t="shared" si="12"/>
        <v>0</v>
      </c>
      <c r="AM40" s="94">
        <f t="shared" si="13"/>
        <v>0</v>
      </c>
      <c r="AN40" s="4" t="str">
        <f t="shared" si="14"/>
        <v/>
      </c>
      <c r="AO40" s="1"/>
    </row>
    <row r="41" spans="1:45" x14ac:dyDescent="0.15">
      <c r="A41" s="77" t="s">
        <v>126</v>
      </c>
      <c r="B41" s="106">
        <f>[4]A07!S110+[4]A07!T110+[4]A32!X74+[4]A32!Y74</f>
        <v>0</v>
      </c>
      <c r="C41" s="106">
        <f>'1,6 CN'!C41</f>
        <v>0</v>
      </c>
      <c r="D41" s="4" t="str">
        <f t="shared" si="8"/>
        <v/>
      </c>
      <c r="E41" s="106">
        <f>[5]A07!S110+[5]A07!T110+[5]A32!X74+[5]A32!Y74</f>
        <v>0</v>
      </c>
      <c r="F41" s="106">
        <f>'1,6 CN'!F41</f>
        <v>0</v>
      </c>
      <c r="G41" s="4" t="str">
        <f t="shared" si="9"/>
        <v/>
      </c>
      <c r="H41" s="106">
        <f>[6]A07!S110+[6]A07!T110+[6]A32!X74+[6]A32!Y74</f>
        <v>0</v>
      </c>
      <c r="I41" s="106">
        <f>'1,6 CN'!I41</f>
        <v>0</v>
      </c>
      <c r="J41" s="4" t="str">
        <f t="shared" si="10"/>
        <v/>
      </c>
      <c r="K41" s="106">
        <f>[7]A07!S110+[7]A07!T110+[7]A32!X74+[7]A32!Y74</f>
        <v>0</v>
      </c>
      <c r="L41" s="106">
        <f>'1,6 CN'!L41</f>
        <v>0</v>
      </c>
      <c r="M41" s="4" t="e">
        <f t="shared" si="0"/>
        <v>#DIV/0!</v>
      </c>
      <c r="N41" s="106">
        <f>[8]A07!V110+[8]A07!W110+[8]A32!AA74+[8]A32!AB74</f>
        <v>0</v>
      </c>
      <c r="O41" s="106">
        <f>'1,6 CN'!O41</f>
        <v>0</v>
      </c>
      <c r="P41" s="4" t="e">
        <f t="shared" si="1"/>
        <v>#DIV/0!</v>
      </c>
      <c r="Q41" s="106">
        <f>[9]A07!V110+[9]A07!W110+[9]A32!AA74+[9]A32!AB74</f>
        <v>0</v>
      </c>
      <c r="R41" s="106">
        <f>'1,6 CN'!R41</f>
        <v>0</v>
      </c>
      <c r="S41" s="4" t="e">
        <f t="shared" si="2"/>
        <v>#DIV/0!</v>
      </c>
      <c r="T41" s="83">
        <f>[10]A07!V110+[10]A07!W110+[10]A32!AA74+[10]A32!AB74</f>
        <v>0</v>
      </c>
      <c r="U41" s="83">
        <f>'1,6 CN'!U41</f>
        <v>0</v>
      </c>
      <c r="V41" s="4" t="e">
        <f t="shared" si="3"/>
        <v>#DIV/0!</v>
      </c>
      <c r="W41" s="83">
        <f>[11]A07!V110+[11]A07!W110+[11]A32!AA74+[11]A32!AB74</f>
        <v>0</v>
      </c>
      <c r="X41" s="83">
        <f>'1,6 CN'!X41</f>
        <v>0</v>
      </c>
      <c r="Y41" s="4" t="e">
        <f t="shared" si="4"/>
        <v>#DIV/0!</v>
      </c>
      <c r="Z41" s="83">
        <f>[12]A07!V110+[12]A07!W110+[12]A32!AA74+[12]A32!AB74</f>
        <v>0</v>
      </c>
      <c r="AA41" s="83">
        <f>'1,6 CN'!AA41</f>
        <v>0</v>
      </c>
      <c r="AB41" s="4" t="e">
        <f t="shared" si="5"/>
        <v>#DIV/0!</v>
      </c>
      <c r="AC41" s="83">
        <f>[13]A07!V110+[13]A07!W110+[13]A32!AA74+[13]A32!AB74</f>
        <v>0</v>
      </c>
      <c r="AD41" s="83">
        <f>'1,6 CN'!AD41</f>
        <v>0</v>
      </c>
      <c r="AE41" s="4" t="e">
        <f t="shared" si="6"/>
        <v>#DIV/0!</v>
      </c>
      <c r="AF41" s="83">
        <f>[14]A07!V110+[14]A07!W110+[14]A32!AA74+[14]A32!AB74</f>
        <v>0</v>
      </c>
      <c r="AG41" s="83">
        <f>'1,6 CN'!AG41</f>
        <v>0</v>
      </c>
      <c r="AH41" s="4" t="e">
        <f t="shared" si="7"/>
        <v>#DIV/0!</v>
      </c>
      <c r="AI41" s="6"/>
      <c r="AJ41" s="6"/>
      <c r="AK41" s="4" t="e">
        <f t="shared" si="11"/>
        <v>#DIV/0!</v>
      </c>
      <c r="AL41" s="94">
        <f t="shared" si="12"/>
        <v>0</v>
      </c>
      <c r="AM41" s="94">
        <f t="shared" si="13"/>
        <v>0</v>
      </c>
      <c r="AN41" s="4" t="str">
        <f t="shared" si="14"/>
        <v/>
      </c>
      <c r="AO41" s="1"/>
    </row>
    <row r="42" spans="1:45" x14ac:dyDescent="0.15">
      <c r="A42" s="77" t="s">
        <v>127</v>
      </c>
      <c r="B42" s="106">
        <f>[4]A07!S111+[4]A07!T111+[4]A32!X75+[4]A32!Y75</f>
        <v>0</v>
      </c>
      <c r="C42" s="106">
        <f>'1,6 CN'!C42</f>
        <v>0</v>
      </c>
      <c r="D42" s="4" t="str">
        <f t="shared" si="8"/>
        <v/>
      </c>
      <c r="E42" s="106">
        <f>[5]A07!S111+[5]A07!T111+[5]A32!X75+[5]A32!Y75</f>
        <v>0</v>
      </c>
      <c r="F42" s="106">
        <f>'1,6 CN'!F42</f>
        <v>0</v>
      </c>
      <c r="G42" s="4" t="str">
        <f t="shared" si="9"/>
        <v/>
      </c>
      <c r="H42" s="106">
        <f>[6]A07!S111+[6]A07!T111+[6]A32!X75+[6]A32!Y75</f>
        <v>0</v>
      </c>
      <c r="I42" s="106">
        <f>'1,6 CN'!I42</f>
        <v>0</v>
      </c>
      <c r="J42" s="4" t="str">
        <f t="shared" si="10"/>
        <v/>
      </c>
      <c r="K42" s="106">
        <f>[7]A07!S111+[7]A07!T111+[7]A32!X75+[7]A32!Y75</f>
        <v>0</v>
      </c>
      <c r="L42" s="106">
        <f>'1,6 CN'!L42</f>
        <v>0</v>
      </c>
      <c r="M42" s="4" t="e">
        <f t="shared" si="0"/>
        <v>#DIV/0!</v>
      </c>
      <c r="N42" s="106">
        <f>[8]A07!V111+[8]A07!W111+[8]A32!AA75+[8]A32!AB75</f>
        <v>0</v>
      </c>
      <c r="O42" s="106">
        <f>'1,6 CN'!O42</f>
        <v>0</v>
      </c>
      <c r="P42" s="4" t="e">
        <f t="shared" si="1"/>
        <v>#DIV/0!</v>
      </c>
      <c r="Q42" s="106">
        <f>[9]A07!V111+[9]A07!W111+[9]A32!AA75+[9]A32!AB75</f>
        <v>0</v>
      </c>
      <c r="R42" s="106">
        <f>'1,6 CN'!R42</f>
        <v>0</v>
      </c>
      <c r="S42" s="4" t="e">
        <f t="shared" si="2"/>
        <v>#DIV/0!</v>
      </c>
      <c r="T42" s="83">
        <f>[10]A07!V111+[10]A07!W111+[10]A32!AA75+[10]A32!AB75</f>
        <v>0</v>
      </c>
      <c r="U42" s="83">
        <f>'1,6 CN'!U42</f>
        <v>0</v>
      </c>
      <c r="V42" s="4" t="e">
        <f t="shared" si="3"/>
        <v>#DIV/0!</v>
      </c>
      <c r="W42" s="83">
        <f>[11]A07!V111+[11]A07!W111+[11]A32!AA75+[11]A32!AB75</f>
        <v>0</v>
      </c>
      <c r="X42" s="83">
        <f>'1,6 CN'!X42</f>
        <v>0</v>
      </c>
      <c r="Y42" s="4" t="e">
        <f t="shared" si="4"/>
        <v>#DIV/0!</v>
      </c>
      <c r="Z42" s="83">
        <f>[12]A07!V111+[12]A07!W111+[12]A32!AA75+[12]A32!AB75</f>
        <v>0</v>
      </c>
      <c r="AA42" s="83">
        <f>'1,6 CN'!AA42</f>
        <v>0</v>
      </c>
      <c r="AB42" s="4" t="e">
        <f t="shared" si="5"/>
        <v>#DIV/0!</v>
      </c>
      <c r="AC42" s="83">
        <f>[13]A07!V111+[13]A07!W111+[13]A32!AA75+[13]A32!AB75</f>
        <v>0</v>
      </c>
      <c r="AD42" s="83">
        <f>'1,6 CN'!AD42</f>
        <v>0</v>
      </c>
      <c r="AE42" s="4" t="e">
        <f t="shared" si="6"/>
        <v>#DIV/0!</v>
      </c>
      <c r="AF42" s="83">
        <f>[14]A07!V111+[14]A07!W111+[14]A32!AA75+[14]A32!AB75</f>
        <v>0</v>
      </c>
      <c r="AG42" s="83">
        <f>'1,6 CN'!AG42</f>
        <v>0</v>
      </c>
      <c r="AH42" s="4" t="e">
        <f t="shared" si="7"/>
        <v>#DIV/0!</v>
      </c>
      <c r="AI42" s="6"/>
      <c r="AJ42" s="6"/>
      <c r="AK42" s="4" t="e">
        <f t="shared" si="11"/>
        <v>#DIV/0!</v>
      </c>
      <c r="AL42" s="94">
        <f t="shared" si="12"/>
        <v>0</v>
      </c>
      <c r="AM42" s="94">
        <f t="shared" si="13"/>
        <v>0</v>
      </c>
      <c r="AN42" s="4" t="str">
        <f>IFERROR(AL42/AM42,"")</f>
        <v/>
      </c>
      <c r="AO42" s="1"/>
    </row>
    <row r="43" spans="1:45" x14ac:dyDescent="0.15">
      <c r="A43" s="77" t="s">
        <v>128</v>
      </c>
      <c r="B43" s="106">
        <f>[4]A07!S112+[4]A07!T112+[4]A32!X76+[4]A32!Y76</f>
        <v>0</v>
      </c>
      <c r="C43" s="106">
        <f>'1,6 CN'!C43</f>
        <v>0</v>
      </c>
      <c r="D43" s="4" t="str">
        <f t="shared" si="8"/>
        <v/>
      </c>
      <c r="E43" s="106">
        <f>[5]A07!S112+[5]A07!T112+[5]A32!X76+[5]A32!Y76</f>
        <v>0</v>
      </c>
      <c r="F43" s="106">
        <f>'1,6 CN'!F43</f>
        <v>0</v>
      </c>
      <c r="G43" s="4" t="str">
        <f t="shared" si="9"/>
        <v/>
      </c>
      <c r="H43" s="106">
        <f>[6]A07!S112+[6]A07!T112+[6]A32!X76+[6]A32!Y76</f>
        <v>0</v>
      </c>
      <c r="I43" s="106">
        <f>'1,6 CN'!I43</f>
        <v>0</v>
      </c>
      <c r="J43" s="4" t="str">
        <f t="shared" si="10"/>
        <v/>
      </c>
      <c r="K43" s="106">
        <f>[7]A07!S112+[7]A07!T112+[7]A32!X76+[7]A32!Y76</f>
        <v>0</v>
      </c>
      <c r="L43" s="106">
        <f>'1,6 CN'!L43</f>
        <v>0</v>
      </c>
      <c r="M43" s="4" t="e">
        <f t="shared" si="0"/>
        <v>#DIV/0!</v>
      </c>
      <c r="N43" s="106">
        <f>[8]A07!V112+[8]A07!W112+[8]A32!AA76+[8]A32!AB76</f>
        <v>0</v>
      </c>
      <c r="O43" s="106">
        <f>'1,6 CN'!O43</f>
        <v>0</v>
      </c>
      <c r="P43" s="4" t="e">
        <f t="shared" si="1"/>
        <v>#DIV/0!</v>
      </c>
      <c r="Q43" s="106">
        <f>[9]A07!V112+[9]A07!W112+[9]A32!AA76+[9]A32!AB76</f>
        <v>0</v>
      </c>
      <c r="R43" s="106">
        <f>'1,6 CN'!R43</f>
        <v>0</v>
      </c>
      <c r="S43" s="4" t="e">
        <f t="shared" si="2"/>
        <v>#DIV/0!</v>
      </c>
      <c r="T43" s="83">
        <f>[10]A07!V112+[10]A07!W112+[10]A32!AA76+[10]A32!AB76</f>
        <v>0</v>
      </c>
      <c r="U43" s="83">
        <f>'1,6 CN'!U43</f>
        <v>0</v>
      </c>
      <c r="V43" s="4" t="e">
        <f t="shared" si="3"/>
        <v>#DIV/0!</v>
      </c>
      <c r="W43" s="83">
        <f>[11]A07!V112+[11]A07!W112+[11]A32!AA76+[11]A32!AB76</f>
        <v>0</v>
      </c>
      <c r="X43" s="83">
        <f>'1,6 CN'!X43</f>
        <v>0</v>
      </c>
      <c r="Y43" s="4" t="e">
        <f t="shared" si="4"/>
        <v>#DIV/0!</v>
      </c>
      <c r="Z43" s="83">
        <f>[12]A07!V112+[12]A07!W112+[12]A32!AA76+[12]A32!AB76</f>
        <v>0</v>
      </c>
      <c r="AA43" s="83">
        <f>'1,6 CN'!AA43</f>
        <v>0</v>
      </c>
      <c r="AB43" s="4" t="e">
        <f t="shared" si="5"/>
        <v>#DIV/0!</v>
      </c>
      <c r="AC43" s="83">
        <f>[13]A07!V112+[13]A07!W112+[13]A32!AA76+[13]A32!AB76</f>
        <v>0</v>
      </c>
      <c r="AD43" s="83">
        <f>'1,6 CN'!AD43</f>
        <v>0</v>
      </c>
      <c r="AE43" s="4" t="e">
        <f t="shared" si="6"/>
        <v>#DIV/0!</v>
      </c>
      <c r="AF43" s="83">
        <f>[14]A07!V112+[14]A07!W112+[14]A32!AA76+[14]A32!AB76</f>
        <v>0</v>
      </c>
      <c r="AG43" s="83">
        <f>'1,6 CN'!AG43</f>
        <v>0</v>
      </c>
      <c r="AH43" s="4" t="e">
        <f t="shared" si="7"/>
        <v>#DIV/0!</v>
      </c>
      <c r="AI43" s="6"/>
      <c r="AJ43" s="6"/>
      <c r="AK43" s="4" t="e">
        <f t="shared" si="11"/>
        <v>#DIV/0!</v>
      </c>
      <c r="AL43" s="94">
        <f t="shared" si="12"/>
        <v>0</v>
      </c>
      <c r="AM43" s="94">
        <f t="shared" si="13"/>
        <v>0</v>
      </c>
      <c r="AN43" s="4" t="str">
        <f t="shared" si="14"/>
        <v/>
      </c>
      <c r="AO43" s="1"/>
    </row>
    <row r="44" spans="1:45" x14ac:dyDescent="0.15">
      <c r="A44" s="76" t="s">
        <v>129</v>
      </c>
      <c r="B44" s="106">
        <f>[4]A07!S113+[4]A07!T113+[4]A32!X77+[4]A32!Y77</f>
        <v>83</v>
      </c>
      <c r="C44" s="106">
        <f>'1,6 CN'!C44</f>
        <v>98</v>
      </c>
      <c r="D44" s="4">
        <f t="shared" si="8"/>
        <v>0.84693877551020413</v>
      </c>
      <c r="E44" s="106">
        <f>[5]A07!S113+[5]A07!T113+[5]A32!X77+[5]A32!Y77</f>
        <v>66</v>
      </c>
      <c r="F44" s="106">
        <f>'1,6 CN'!F44</f>
        <v>72</v>
      </c>
      <c r="G44" s="4">
        <f t="shared" si="9"/>
        <v>0.91666666666666663</v>
      </c>
      <c r="H44" s="106">
        <f>[6]A07!S113+[6]A07!T113+[6]A32!X77+[6]A32!Y77</f>
        <v>63</v>
      </c>
      <c r="I44" s="106">
        <f>'1,6 CN'!I44</f>
        <v>79</v>
      </c>
      <c r="J44" s="4">
        <f t="shared" si="10"/>
        <v>0.79746835443037978</v>
      </c>
      <c r="K44" s="106">
        <f>[7]A07!S113+[7]A07!T113+[7]A32!X77+[7]A32!Y77</f>
        <v>39</v>
      </c>
      <c r="L44" s="106">
        <f>'1,6 CN'!L44</f>
        <v>46</v>
      </c>
      <c r="M44" s="4">
        <f t="shared" si="0"/>
        <v>0.84782608695652173</v>
      </c>
      <c r="N44" s="106">
        <f>[8]A07!V113+[8]A07!W113+[8]A32!AA77+[8]A32!AB77</f>
        <v>31</v>
      </c>
      <c r="O44" s="106">
        <f>'1,6 CN'!O44</f>
        <v>44</v>
      </c>
      <c r="P44" s="4">
        <f t="shared" si="1"/>
        <v>0.70454545454545459</v>
      </c>
      <c r="Q44" s="106">
        <f>[9]A07!V113+[9]A07!W113+[9]A32!AA77+[9]A32!AB77</f>
        <v>0</v>
      </c>
      <c r="R44" s="106">
        <f>'1,6 CN'!R44</f>
        <v>26</v>
      </c>
      <c r="S44" s="4">
        <f t="shared" si="2"/>
        <v>0</v>
      </c>
      <c r="T44" s="83">
        <f>[10]A07!V113+[10]A07!W113+[10]A32!AA77+[10]A32!AB77</f>
        <v>2</v>
      </c>
      <c r="U44" s="83">
        <f>'1,6 CN'!U44</f>
        <v>82</v>
      </c>
      <c r="V44" s="4">
        <f t="shared" si="3"/>
        <v>2.4390243902439025E-2</v>
      </c>
      <c r="W44" s="83">
        <f>[11]A07!V113+[11]A07!W113+[11]A32!AA77+[11]A32!AB77</f>
        <v>1</v>
      </c>
      <c r="X44" s="83">
        <f>'1,6 CN'!X44</f>
        <v>54</v>
      </c>
      <c r="Y44" s="4">
        <f t="shared" si="4"/>
        <v>1.8518518518518517E-2</v>
      </c>
      <c r="Z44" s="83">
        <f>[12]A07!V113+[12]A07!W113+[12]A32!AA77+[12]A32!AB77</f>
        <v>4</v>
      </c>
      <c r="AA44" s="83">
        <f>'1,6 CN'!AA44</f>
        <v>117</v>
      </c>
      <c r="AB44" s="4">
        <f t="shared" si="5"/>
        <v>3.4188034188034191E-2</v>
      </c>
      <c r="AC44" s="83">
        <f>[13]A07!V113+[13]A07!W113+[13]A32!AA77+[13]A32!AB77</f>
        <v>1</v>
      </c>
      <c r="AD44" s="83">
        <f>'1,6 CN'!AD44</f>
        <v>72</v>
      </c>
      <c r="AE44" s="4">
        <f t="shared" si="6"/>
        <v>1.3888888888888888E-2</v>
      </c>
      <c r="AF44" s="83">
        <f>[14]A07!V113+[14]A07!W113+[14]A32!AA77+[14]A32!AB77</f>
        <v>0</v>
      </c>
      <c r="AG44" s="83">
        <f>'1,6 CN'!AG44</f>
        <v>57</v>
      </c>
      <c r="AH44" s="4">
        <f t="shared" si="7"/>
        <v>0</v>
      </c>
      <c r="AI44" s="6"/>
      <c r="AJ44" s="6"/>
      <c r="AK44" s="4" t="e">
        <f t="shared" si="11"/>
        <v>#DIV/0!</v>
      </c>
      <c r="AL44" s="94">
        <f t="shared" si="12"/>
        <v>282</v>
      </c>
      <c r="AM44" s="94">
        <f t="shared" si="13"/>
        <v>365</v>
      </c>
      <c r="AN44" s="4">
        <f t="shared" si="14"/>
        <v>0.77260273972602744</v>
      </c>
      <c r="AO44" s="98" t="str">
        <f>IF(AN44&gt;70%,"1","0")</f>
        <v>1</v>
      </c>
      <c r="AS44" s="152" t="s">
        <v>183</v>
      </c>
    </row>
    <row r="45" spans="1:45" x14ac:dyDescent="0.15">
      <c r="A45" s="82" t="s">
        <v>130</v>
      </c>
      <c r="B45" s="106">
        <f>[4]A07!S114+[4]A07!T114+[4]A32!X78+[4]A32!Y78</f>
        <v>74</v>
      </c>
      <c r="C45" s="106">
        <f>'1,6 CN'!C45</f>
        <v>678</v>
      </c>
      <c r="D45" s="4">
        <f t="shared" si="8"/>
        <v>0.10914454277286136</v>
      </c>
      <c r="E45" s="106">
        <f>[5]A07!S114+[5]A07!T114+[5]A32!X78+[5]A32!Y78</f>
        <v>72</v>
      </c>
      <c r="F45" s="106">
        <f>'1,6 CN'!F45</f>
        <v>508</v>
      </c>
      <c r="G45" s="4">
        <f t="shared" si="9"/>
        <v>0.14173228346456693</v>
      </c>
      <c r="H45" s="106">
        <f>[6]A07!S114+[6]A07!T114+[6]A32!X78+[6]A32!Y78</f>
        <v>74</v>
      </c>
      <c r="I45" s="106">
        <f>'1,6 CN'!I45</f>
        <v>725</v>
      </c>
      <c r="J45" s="4">
        <f t="shared" si="10"/>
        <v>0.10206896551724139</v>
      </c>
      <c r="K45" s="106">
        <f>[7]A07!S114+[7]A07!T114+[7]A32!X78+[7]A32!Y78</f>
        <v>75</v>
      </c>
      <c r="L45" s="106">
        <f>'1,6 CN'!L45</f>
        <v>638</v>
      </c>
      <c r="M45" s="4">
        <f t="shared" si="0"/>
        <v>0.11755485893416928</v>
      </c>
      <c r="N45" s="106">
        <f>[8]A07!V114+[8]A07!W114+[8]A32!AA78+[8]A32!AB78</f>
        <v>41</v>
      </c>
      <c r="O45" s="106">
        <f>'1,6 CN'!O45</f>
        <v>658</v>
      </c>
      <c r="P45" s="4">
        <f t="shared" si="1"/>
        <v>6.231003039513678E-2</v>
      </c>
      <c r="Q45" s="106">
        <f>[9]A07!V114+[9]A07!W114+[9]A32!AA78+[9]A32!AB78</f>
        <v>43</v>
      </c>
      <c r="R45" s="106">
        <f>'1,6 CN'!R45</f>
        <v>668</v>
      </c>
      <c r="S45" s="4">
        <f t="shared" si="2"/>
        <v>6.4371257485029934E-2</v>
      </c>
      <c r="T45" s="83">
        <f>[10]A07!V114+[10]A07!W114+[10]A32!AA78+[10]A32!AB78</f>
        <v>51</v>
      </c>
      <c r="U45" s="83">
        <f>'1,6 CN'!U45</f>
        <v>634</v>
      </c>
      <c r="V45" s="4">
        <f t="shared" si="3"/>
        <v>8.0441640378548895E-2</v>
      </c>
      <c r="W45" s="83">
        <f>[11]A07!V114+[11]A07!W114+[11]A32!AA78+[11]A32!AB78</f>
        <v>54</v>
      </c>
      <c r="X45" s="83">
        <f>'1,6 CN'!X45</f>
        <v>635</v>
      </c>
      <c r="Y45" s="4">
        <f t="shared" si="4"/>
        <v>8.5039370078740156E-2</v>
      </c>
      <c r="Z45" s="83">
        <f>[12]A07!V114+[12]A07!W114+[12]A32!AA78+[12]A32!AB78</f>
        <v>47</v>
      </c>
      <c r="AA45" s="83">
        <f>'1,6 CN'!AA45</f>
        <v>632</v>
      </c>
      <c r="AB45" s="4">
        <f t="shared" si="5"/>
        <v>7.4367088607594931E-2</v>
      </c>
      <c r="AC45" s="83">
        <f>[13]A07!V114+[13]A07!W114+[13]A32!AA78+[13]A32!AB78</f>
        <v>44</v>
      </c>
      <c r="AD45" s="83">
        <f>'1,6 CN'!AD45</f>
        <v>637</v>
      </c>
      <c r="AE45" s="4">
        <f t="shared" si="6"/>
        <v>6.907378335949764E-2</v>
      </c>
      <c r="AF45" s="83">
        <f>[14]A07!V114+[14]A07!W114+[14]A32!AA78+[14]A32!AB78</f>
        <v>67</v>
      </c>
      <c r="AG45" s="83">
        <f>'1,6 CN'!AG45</f>
        <v>662</v>
      </c>
      <c r="AH45" s="4">
        <f t="shared" si="7"/>
        <v>0.10120845921450151</v>
      </c>
      <c r="AI45" s="6"/>
      <c r="AJ45" s="6"/>
      <c r="AK45" s="4" t="e">
        <f t="shared" si="11"/>
        <v>#DIV/0!</v>
      </c>
      <c r="AL45" s="94">
        <f t="shared" si="12"/>
        <v>379</v>
      </c>
      <c r="AM45" s="94">
        <f t="shared" si="13"/>
        <v>3875</v>
      </c>
      <c r="AN45" s="4">
        <f t="shared" si="14"/>
        <v>9.7806451612903231E-2</v>
      </c>
      <c r="AO45" s="98" t="str">
        <f>IF(AN45&gt;14%,"1","0")</f>
        <v>0</v>
      </c>
      <c r="AS45" s="152" t="s">
        <v>181</v>
      </c>
    </row>
    <row r="46" spans="1:45" x14ac:dyDescent="0.15">
      <c r="A46" s="82" t="s">
        <v>131</v>
      </c>
      <c r="B46" s="106">
        <f>[4]A07!S115+[4]A07!T115+[4]A32!X79+[4]A32!Y79</f>
        <v>0</v>
      </c>
      <c r="C46" s="106">
        <f>'1,6 CN'!C46</f>
        <v>0</v>
      </c>
      <c r="D46" s="4" t="str">
        <f t="shared" si="8"/>
        <v/>
      </c>
      <c r="E46" s="106">
        <f>[5]A07!S115+[5]A07!T115+[5]A32!X79+[5]A32!Y79</f>
        <v>0</v>
      </c>
      <c r="F46" s="106">
        <f>'1,6 CN'!F46</f>
        <v>0</v>
      </c>
      <c r="G46" s="4" t="str">
        <f t="shared" si="9"/>
        <v/>
      </c>
      <c r="H46" s="106">
        <f>[6]A07!S115+[6]A07!T115+[6]A32!X79+[6]A32!Y79</f>
        <v>0</v>
      </c>
      <c r="I46" s="106">
        <f>'1,6 CN'!I46</f>
        <v>0</v>
      </c>
      <c r="J46" s="4" t="str">
        <f t="shared" si="10"/>
        <v/>
      </c>
      <c r="K46" s="106">
        <f>[7]A07!S115+[7]A07!T115+[7]A32!X79+[7]A32!Y79</f>
        <v>0</v>
      </c>
      <c r="L46" s="106">
        <f>'1,6 CN'!L46</f>
        <v>0</v>
      </c>
      <c r="M46" s="4" t="e">
        <f t="shared" si="0"/>
        <v>#DIV/0!</v>
      </c>
      <c r="N46" s="106">
        <f>[8]A07!V115+[8]A07!W115+[8]A32!AA79+[8]A32!AB79</f>
        <v>0</v>
      </c>
      <c r="O46" s="106">
        <f>'1,6 CN'!O46</f>
        <v>0</v>
      </c>
      <c r="P46" s="4" t="e">
        <f t="shared" si="1"/>
        <v>#DIV/0!</v>
      </c>
      <c r="Q46" s="106">
        <f>[9]A07!V115+[9]A07!W115+[9]A32!AA79+[9]A32!AB79</f>
        <v>0</v>
      </c>
      <c r="R46" s="106">
        <f>'1,6 CN'!R46</f>
        <v>0</v>
      </c>
      <c r="S46" s="4" t="e">
        <f t="shared" si="2"/>
        <v>#DIV/0!</v>
      </c>
      <c r="T46" s="83">
        <f>[10]A07!V115+[10]A07!W115+[10]A32!AA79+[10]A32!AB79</f>
        <v>0</v>
      </c>
      <c r="U46" s="83">
        <f>'1,6 CN'!U46</f>
        <v>0</v>
      </c>
      <c r="V46" s="4" t="e">
        <f t="shared" si="3"/>
        <v>#DIV/0!</v>
      </c>
      <c r="W46" s="83">
        <f>[11]A07!V115+[11]A07!W115+[11]A32!AA79+[11]A32!AB79</f>
        <v>0</v>
      </c>
      <c r="X46" s="83">
        <f>'1,6 CN'!X46</f>
        <v>0</v>
      </c>
      <c r="Y46" s="4" t="e">
        <f t="shared" si="4"/>
        <v>#DIV/0!</v>
      </c>
      <c r="Z46" s="83">
        <f>[12]A07!V115+[12]A07!W115+[12]A32!AA79+[12]A32!AB79</f>
        <v>0</v>
      </c>
      <c r="AA46" s="83">
        <f>'1,6 CN'!AA46</f>
        <v>0</v>
      </c>
      <c r="AB46" s="4" t="e">
        <f t="shared" si="5"/>
        <v>#DIV/0!</v>
      </c>
      <c r="AC46" s="83">
        <f>[13]A07!V115+[13]A07!W115+[13]A32!AA79+[13]A32!AB79</f>
        <v>0</v>
      </c>
      <c r="AD46" s="83">
        <f>'1,6 CN'!AD46</f>
        <v>0</v>
      </c>
      <c r="AE46" s="4" t="e">
        <f t="shared" si="6"/>
        <v>#DIV/0!</v>
      </c>
      <c r="AF46" s="83">
        <f>[14]A07!V115+[14]A07!W115+[14]A32!AA79+[14]A32!AB79</f>
        <v>0</v>
      </c>
      <c r="AG46" s="83">
        <f>'1,6 CN'!AG46</f>
        <v>0</v>
      </c>
      <c r="AH46" s="4" t="e">
        <f t="shared" si="7"/>
        <v>#DIV/0!</v>
      </c>
      <c r="AI46" s="6"/>
      <c r="AJ46" s="6"/>
      <c r="AK46" s="4" t="e">
        <f t="shared" si="11"/>
        <v>#DIV/0!</v>
      </c>
      <c r="AL46" s="94">
        <f t="shared" si="12"/>
        <v>0</v>
      </c>
      <c r="AM46" s="94">
        <f t="shared" si="13"/>
        <v>0</v>
      </c>
      <c r="AN46" s="4" t="str">
        <f t="shared" si="14"/>
        <v/>
      </c>
      <c r="AO46" s="1"/>
    </row>
    <row r="47" spans="1:45" x14ac:dyDescent="0.2">
      <c r="A47" s="79" t="s">
        <v>132</v>
      </c>
      <c r="B47" s="106">
        <f>[4]A07!S116+[4]A07!T116+[4]A32!X80+[4]A32!Y80</f>
        <v>0</v>
      </c>
      <c r="C47" s="106">
        <f>'1,6 CN'!C47</f>
        <v>0</v>
      </c>
      <c r="D47" s="4" t="str">
        <f t="shared" si="8"/>
        <v/>
      </c>
      <c r="E47" s="106">
        <f>[5]A07!S116+[5]A07!T116+[5]A32!X80+[5]A32!Y80</f>
        <v>0</v>
      </c>
      <c r="F47" s="106">
        <f>'1,6 CN'!F47</f>
        <v>0</v>
      </c>
      <c r="G47" s="4" t="str">
        <f t="shared" si="9"/>
        <v/>
      </c>
      <c r="H47" s="106">
        <f>[6]A07!S116+[6]A07!T116+[6]A32!X80+[6]A32!Y80</f>
        <v>0</v>
      </c>
      <c r="I47" s="106">
        <f>'1,6 CN'!I47</f>
        <v>0</v>
      </c>
      <c r="J47" s="4" t="str">
        <f t="shared" si="10"/>
        <v/>
      </c>
      <c r="K47" s="106">
        <f>[7]A07!S116+[7]A07!T116+[7]A32!X80+[7]A32!Y80</f>
        <v>0</v>
      </c>
      <c r="L47" s="106">
        <f>'1,6 CN'!L47</f>
        <v>0</v>
      </c>
      <c r="M47" s="4" t="e">
        <f t="shared" si="0"/>
        <v>#DIV/0!</v>
      </c>
      <c r="N47" s="106">
        <f>[8]A07!V116+[8]A07!W116+[8]A32!AA80+[8]A32!AB80</f>
        <v>0</v>
      </c>
      <c r="O47" s="106">
        <f>'1,6 CN'!O47</f>
        <v>0</v>
      </c>
      <c r="P47" s="4" t="e">
        <f t="shared" si="1"/>
        <v>#DIV/0!</v>
      </c>
      <c r="Q47" s="106">
        <f>[9]A07!V116+[9]A07!W116+[9]A32!AA80+[9]A32!AB80</f>
        <v>0</v>
      </c>
      <c r="R47" s="106">
        <f>'1,6 CN'!R47</f>
        <v>0</v>
      </c>
      <c r="S47" s="4" t="e">
        <f t="shared" si="2"/>
        <v>#DIV/0!</v>
      </c>
      <c r="T47" s="83">
        <f>[10]A07!V116+[10]A07!W116+[10]A32!AA80+[10]A32!AB80</f>
        <v>0</v>
      </c>
      <c r="U47" s="83">
        <f>'1,6 CN'!U47</f>
        <v>0</v>
      </c>
      <c r="V47" s="4" t="e">
        <f t="shared" si="3"/>
        <v>#DIV/0!</v>
      </c>
      <c r="W47" s="83">
        <f>[11]A07!V116+[11]A07!W116+[11]A32!AA80+[11]A32!AB80</f>
        <v>0</v>
      </c>
      <c r="X47" s="83">
        <f>'1,6 CN'!X47</f>
        <v>0</v>
      </c>
      <c r="Y47" s="4" t="e">
        <f t="shared" si="4"/>
        <v>#DIV/0!</v>
      </c>
      <c r="Z47" s="83">
        <f>[12]A07!V116+[12]A07!W116+[12]A32!AA80+[12]A32!AB80</f>
        <v>0</v>
      </c>
      <c r="AA47" s="83">
        <f>'1,6 CN'!AA47</f>
        <v>0</v>
      </c>
      <c r="AB47" s="4" t="e">
        <f t="shared" si="5"/>
        <v>#DIV/0!</v>
      </c>
      <c r="AC47" s="83">
        <f>[13]A07!V116+[13]A07!W116+[13]A32!AA80+[13]A32!AB80</f>
        <v>0</v>
      </c>
      <c r="AD47" s="83">
        <f>'1,6 CN'!AD47</f>
        <v>0</v>
      </c>
      <c r="AE47" s="4" t="e">
        <f t="shared" si="6"/>
        <v>#DIV/0!</v>
      </c>
      <c r="AF47" s="83">
        <f>[14]A07!V116+[14]A07!W116+[14]A32!AA80+[14]A32!AB80</f>
        <v>0</v>
      </c>
      <c r="AG47" s="83">
        <f>'1,6 CN'!AG47</f>
        <v>0</v>
      </c>
      <c r="AH47" s="4" t="e">
        <f t="shared" si="7"/>
        <v>#DIV/0!</v>
      </c>
      <c r="AI47" s="6"/>
      <c r="AJ47" s="6"/>
      <c r="AK47" s="4" t="e">
        <f t="shared" si="11"/>
        <v>#DIV/0!</v>
      </c>
      <c r="AL47" s="94">
        <f t="shared" si="12"/>
        <v>0</v>
      </c>
      <c r="AM47" s="94">
        <f t="shared" si="13"/>
        <v>0</v>
      </c>
      <c r="AN47" s="4" t="str">
        <f t="shared" si="14"/>
        <v/>
      </c>
      <c r="AO47" s="1"/>
    </row>
    <row r="48" spans="1:45" x14ac:dyDescent="0.15">
      <c r="A48" s="77" t="s">
        <v>133</v>
      </c>
      <c r="B48" s="106">
        <f>[4]A07!S117+[4]A07!T117+[4]A32!X81+[4]A32!Y81</f>
        <v>241</v>
      </c>
      <c r="C48" s="106">
        <f>'1,6 CN'!C48</f>
        <v>744</v>
      </c>
      <c r="D48" s="4">
        <f t="shared" si="8"/>
        <v>0.32392473118279569</v>
      </c>
      <c r="E48" s="106">
        <f>[5]A07!S117+[5]A07!T117+[5]A32!X81+[5]A32!Y81</f>
        <v>245</v>
      </c>
      <c r="F48" s="106">
        <f>'1,6 CN'!F48</f>
        <v>634</v>
      </c>
      <c r="G48" s="4">
        <f t="shared" si="9"/>
        <v>0.3864353312302839</v>
      </c>
      <c r="H48" s="106">
        <f>[6]A07!S117+[6]A07!T117+[6]A32!X81+[6]A32!Y81</f>
        <v>256</v>
      </c>
      <c r="I48" s="106">
        <f>'1,6 CN'!I48</f>
        <v>741</v>
      </c>
      <c r="J48" s="4">
        <f t="shared" si="10"/>
        <v>0.34547908232118757</v>
      </c>
      <c r="K48" s="106">
        <f>[7]A07!S117+[7]A07!T117+[7]A32!X81+[7]A32!Y81</f>
        <v>99</v>
      </c>
      <c r="L48" s="106">
        <f>'1,6 CN'!L48</f>
        <v>673</v>
      </c>
      <c r="M48" s="4">
        <f t="shared" si="0"/>
        <v>0.14710252600297177</v>
      </c>
      <c r="N48" s="106">
        <f>[8]A07!V117+[8]A07!W117+[8]A32!AA81+[8]A32!AB81</f>
        <v>32</v>
      </c>
      <c r="O48" s="106">
        <f>'1,6 CN'!O48</f>
        <v>403</v>
      </c>
      <c r="P48" s="4">
        <f t="shared" si="1"/>
        <v>7.9404466501240695E-2</v>
      </c>
      <c r="Q48" s="106">
        <f>[9]A07!V117+[9]A07!W117+[9]A32!AA81+[9]A32!AB81</f>
        <v>62</v>
      </c>
      <c r="R48" s="106">
        <f>'1,6 CN'!R48</f>
        <v>568</v>
      </c>
      <c r="S48" s="4">
        <f t="shared" si="2"/>
        <v>0.10915492957746478</v>
      </c>
      <c r="T48" s="83">
        <f>[10]A07!V117+[10]A07!W117+[10]A32!AA81+[10]A32!AB81</f>
        <v>18</v>
      </c>
      <c r="U48" s="83">
        <f>'1,6 CN'!U48</f>
        <v>561</v>
      </c>
      <c r="V48" s="4">
        <f t="shared" si="3"/>
        <v>3.2085561497326207E-2</v>
      </c>
      <c r="W48" s="83">
        <f>[11]A07!V117+[11]A07!W117+[11]A32!AA81+[11]A32!AB81</f>
        <v>27</v>
      </c>
      <c r="X48" s="83">
        <f>'1,6 CN'!X48</f>
        <v>590</v>
      </c>
      <c r="Y48" s="4">
        <f t="shared" si="4"/>
        <v>4.576271186440678E-2</v>
      </c>
      <c r="Z48" s="83">
        <f>[12]A07!V117+[12]A07!W117+[12]A32!AA81+[12]A32!AB81</f>
        <v>16</v>
      </c>
      <c r="AA48" s="83">
        <f>'1,6 CN'!AA48</f>
        <v>672</v>
      </c>
      <c r="AB48" s="4">
        <f t="shared" si="5"/>
        <v>2.3809523809523808E-2</v>
      </c>
      <c r="AC48" s="83">
        <f>[13]A07!V117+[13]A07!W117+[13]A32!AA81+[13]A32!AB81</f>
        <v>59</v>
      </c>
      <c r="AD48" s="83">
        <f>'1,6 CN'!AD48</f>
        <v>748</v>
      </c>
      <c r="AE48" s="4">
        <f t="shared" si="6"/>
        <v>7.8877005347593579E-2</v>
      </c>
      <c r="AF48" s="83">
        <f>[14]A07!V117+[14]A07!W117+[14]A32!AA81+[14]A32!AB81</f>
        <v>31</v>
      </c>
      <c r="AG48" s="83">
        <f>'1,6 CN'!AG48</f>
        <v>689</v>
      </c>
      <c r="AH48" s="4">
        <f t="shared" si="7"/>
        <v>4.4992743105950653E-2</v>
      </c>
      <c r="AI48" s="6"/>
      <c r="AJ48" s="6"/>
      <c r="AK48" s="4" t="e">
        <f t="shared" si="11"/>
        <v>#DIV/0!</v>
      </c>
      <c r="AL48" s="94">
        <f t="shared" si="12"/>
        <v>935</v>
      </c>
      <c r="AM48" s="94">
        <f t="shared" si="13"/>
        <v>3763</v>
      </c>
      <c r="AN48" s="4">
        <f t="shared" si="14"/>
        <v>0.24847196385862344</v>
      </c>
      <c r="AO48" s="98" t="str">
        <f>IF(AN48&gt;18%,"1","0")</f>
        <v>1</v>
      </c>
      <c r="AS48" s="152" t="s">
        <v>182</v>
      </c>
    </row>
    <row r="49" spans="1:45" x14ac:dyDescent="0.15">
      <c r="A49" s="77" t="s">
        <v>134</v>
      </c>
      <c r="B49" s="106">
        <f>[4]A07!S118+[4]A07!T118+[4]A32!X82+[4]A32!Y82</f>
        <v>15</v>
      </c>
      <c r="C49" s="106">
        <f>'1,6 CN'!C49</f>
        <v>88</v>
      </c>
      <c r="D49" s="4">
        <f t="shared" si="8"/>
        <v>0.17045454545454544</v>
      </c>
      <c r="E49" s="106">
        <f>[5]A07!S118+[5]A07!T118+[5]A32!X82+[5]A32!Y82</f>
        <v>31</v>
      </c>
      <c r="F49" s="106">
        <f>'1,6 CN'!F49</f>
        <v>128</v>
      </c>
      <c r="G49" s="4">
        <f t="shared" si="9"/>
        <v>0.2421875</v>
      </c>
      <c r="H49" s="106">
        <f>[6]A07!S118+[6]A07!T118+[6]A32!X82+[6]A32!Y82</f>
        <v>41</v>
      </c>
      <c r="I49" s="106">
        <f>'1,6 CN'!I49</f>
        <v>172</v>
      </c>
      <c r="J49" s="4">
        <f t="shared" si="10"/>
        <v>0.23837209302325582</v>
      </c>
      <c r="K49" s="106">
        <f>[7]A07!S118+[7]A07!T118+[7]A32!X82+[7]A32!Y82</f>
        <v>38</v>
      </c>
      <c r="L49" s="106">
        <f>'1,6 CN'!L49</f>
        <v>142</v>
      </c>
      <c r="M49" s="4">
        <f t="shared" si="0"/>
        <v>0.26760563380281688</v>
      </c>
      <c r="N49" s="106">
        <f>[8]A07!V118+[8]A07!W118+[8]A32!AA82+[8]A32!AB82</f>
        <v>1</v>
      </c>
      <c r="O49" s="106">
        <f>'1,6 CN'!O49</f>
        <v>124</v>
      </c>
      <c r="P49" s="4">
        <f t="shared" si="1"/>
        <v>8.0645161290322578E-3</v>
      </c>
      <c r="Q49" s="106">
        <f>[9]A07!V118+[9]A07!W118+[9]A32!AA82+[9]A32!AB82</f>
        <v>4</v>
      </c>
      <c r="R49" s="106">
        <f>'1,6 CN'!R49</f>
        <v>125</v>
      </c>
      <c r="S49" s="4">
        <f t="shared" si="2"/>
        <v>3.2000000000000001E-2</v>
      </c>
      <c r="T49" s="83">
        <f>[10]A07!V118+[10]A07!W118+[10]A32!AA82+[10]A32!AB82</f>
        <v>8</v>
      </c>
      <c r="U49" s="83">
        <f>'1,6 CN'!U49</f>
        <v>132</v>
      </c>
      <c r="V49" s="4">
        <f t="shared" si="3"/>
        <v>6.0606060606060608E-2</v>
      </c>
      <c r="W49" s="83">
        <f>[11]A07!V118+[11]A07!W118+[11]A32!AA82+[11]A32!AB82</f>
        <v>6</v>
      </c>
      <c r="X49" s="83">
        <f>'1,6 CN'!X49</f>
        <v>110</v>
      </c>
      <c r="Y49" s="4">
        <f t="shared" si="4"/>
        <v>5.4545454545454543E-2</v>
      </c>
      <c r="Z49" s="83">
        <f>[12]A07!V118+[12]A07!W118+[12]A32!AA82+[12]A32!AB82</f>
        <v>2</v>
      </c>
      <c r="AA49" s="83">
        <f>'1,6 CN'!AA49</f>
        <v>127</v>
      </c>
      <c r="AB49" s="4">
        <f t="shared" si="5"/>
        <v>1.5748031496062992E-2</v>
      </c>
      <c r="AC49" s="83">
        <f>[13]A07!V118+[13]A07!W118+[13]A32!AA82+[13]A32!AB82</f>
        <v>2</v>
      </c>
      <c r="AD49" s="83">
        <f>'1,6 CN'!AD49</f>
        <v>128</v>
      </c>
      <c r="AE49" s="4">
        <f t="shared" si="6"/>
        <v>1.5625E-2</v>
      </c>
      <c r="AF49" s="83">
        <f>[14]A07!V118+[14]A07!W118+[14]A32!AA82+[14]A32!AB82</f>
        <v>1</v>
      </c>
      <c r="AG49" s="83">
        <f>'1,6 CN'!AG49</f>
        <v>56</v>
      </c>
      <c r="AH49" s="4">
        <f t="shared" si="7"/>
        <v>1.7857142857142856E-2</v>
      </c>
      <c r="AI49" s="6"/>
      <c r="AJ49" s="6"/>
      <c r="AK49" s="4" t="e">
        <f t="shared" si="11"/>
        <v>#DIV/0!</v>
      </c>
      <c r="AL49" s="94">
        <f t="shared" si="12"/>
        <v>130</v>
      </c>
      <c r="AM49" s="94">
        <f t="shared" si="13"/>
        <v>779</v>
      </c>
      <c r="AN49" s="4">
        <f t="shared" si="14"/>
        <v>0.1668806161745828</v>
      </c>
      <c r="AO49" s="98" t="str">
        <f>IF(AN49&gt;18%,"1","0")</f>
        <v>0</v>
      </c>
      <c r="AS49" s="152" t="s">
        <v>182</v>
      </c>
    </row>
    <row r="50" spans="1:45" x14ac:dyDescent="0.15">
      <c r="A50" s="77" t="s">
        <v>135</v>
      </c>
      <c r="B50" s="106">
        <f>[4]A07!S119+[4]A07!T119+[4]A32!X83+[4]A32!Y83</f>
        <v>74</v>
      </c>
      <c r="C50" s="106">
        <f>'1,6 CN'!C50</f>
        <v>605</v>
      </c>
      <c r="D50" s="4">
        <f t="shared" si="8"/>
        <v>0.12231404958677686</v>
      </c>
      <c r="E50" s="106">
        <f>[5]A07!S119+[5]A07!T119+[5]A32!X83+[5]A32!Y83</f>
        <v>50</v>
      </c>
      <c r="F50" s="106">
        <f>'1,6 CN'!F50</f>
        <v>524</v>
      </c>
      <c r="G50" s="4">
        <f t="shared" si="9"/>
        <v>9.5419847328244281E-2</v>
      </c>
      <c r="H50" s="106">
        <f>[6]A07!S119+[6]A07!T119+[6]A32!X83+[6]A32!Y83</f>
        <v>91</v>
      </c>
      <c r="I50" s="106">
        <f>'1,6 CN'!I50</f>
        <v>702</v>
      </c>
      <c r="J50" s="4">
        <f t="shared" si="10"/>
        <v>0.12962962962962962</v>
      </c>
      <c r="K50" s="106">
        <f>[7]A07!S119+[7]A07!T119+[7]A32!X83+[7]A32!Y83</f>
        <v>99</v>
      </c>
      <c r="L50" s="106">
        <f>'1,6 CN'!L50</f>
        <v>646</v>
      </c>
      <c r="M50" s="4">
        <f t="shared" si="0"/>
        <v>0.15325077399380804</v>
      </c>
      <c r="N50" s="106">
        <f>[8]A07!V119+[8]A07!W119+[8]A32!AA83+[8]A32!AB83</f>
        <v>36</v>
      </c>
      <c r="O50" s="106">
        <f>'1,6 CN'!O50</f>
        <v>556</v>
      </c>
      <c r="P50" s="4">
        <f t="shared" si="1"/>
        <v>6.4748201438848921E-2</v>
      </c>
      <c r="Q50" s="106">
        <f>[9]A07!V119+[9]A07!W119+[9]A32!AA83+[9]A32!AB83</f>
        <v>40</v>
      </c>
      <c r="R50" s="106">
        <f>'1,6 CN'!R50</f>
        <v>462</v>
      </c>
      <c r="S50" s="4">
        <f t="shared" si="2"/>
        <v>8.6580086580086577E-2</v>
      </c>
      <c r="T50" s="83">
        <f>[10]A07!V119+[10]A07!W119+[10]A32!AA83+[10]A32!AB83</f>
        <v>35</v>
      </c>
      <c r="U50" s="83">
        <f>'1,6 CN'!U50</f>
        <v>439</v>
      </c>
      <c r="V50" s="4">
        <f t="shared" si="3"/>
        <v>7.9726651480637817E-2</v>
      </c>
      <c r="W50" s="83">
        <f>[11]A07!V119+[11]A07!W119+[11]A32!AA83+[11]A32!AB83</f>
        <v>37</v>
      </c>
      <c r="X50" s="83">
        <f>'1,6 CN'!X50</f>
        <v>559</v>
      </c>
      <c r="Y50" s="4">
        <f t="shared" si="4"/>
        <v>6.6189624329159216E-2</v>
      </c>
      <c r="Z50" s="83">
        <f>[12]A07!V119+[12]A07!W119+[12]A32!AA83+[12]A32!AB83</f>
        <v>25</v>
      </c>
      <c r="AA50" s="83">
        <f>'1,6 CN'!AA50</f>
        <v>375</v>
      </c>
      <c r="AB50" s="4">
        <f t="shared" si="5"/>
        <v>6.6666666666666666E-2</v>
      </c>
      <c r="AC50" s="83">
        <f>[13]A07!V119+[13]A07!W119+[13]A32!AA83+[13]A32!AB83</f>
        <v>50</v>
      </c>
      <c r="AD50" s="83">
        <f>'1,6 CN'!AD50</f>
        <v>523</v>
      </c>
      <c r="AE50" s="4">
        <f t="shared" si="6"/>
        <v>9.5602294455066919E-2</v>
      </c>
      <c r="AF50" s="83">
        <f>[14]A07!V119+[14]A07!W119+[14]A32!AA83+[14]A32!AB83</f>
        <v>54</v>
      </c>
      <c r="AG50" s="83">
        <f>'1,6 CN'!AG50</f>
        <v>411</v>
      </c>
      <c r="AH50" s="4">
        <f t="shared" si="7"/>
        <v>0.13138686131386862</v>
      </c>
      <c r="AI50" s="6"/>
      <c r="AJ50" s="6"/>
      <c r="AK50" s="4" t="e">
        <f t="shared" si="11"/>
        <v>#DIV/0!</v>
      </c>
      <c r="AL50" s="94">
        <f t="shared" si="12"/>
        <v>390</v>
      </c>
      <c r="AM50" s="94">
        <f t="shared" si="13"/>
        <v>3495</v>
      </c>
      <c r="AN50" s="4">
        <f t="shared" si="14"/>
        <v>0.11158798283261803</v>
      </c>
      <c r="AO50" s="98" t="str">
        <f>IF(AN50&gt;14%,"1","0")</f>
        <v>0</v>
      </c>
      <c r="AS50" s="152" t="s">
        <v>181</v>
      </c>
    </row>
    <row r="51" spans="1:45" x14ac:dyDescent="0.15">
      <c r="A51" s="77" t="s">
        <v>136</v>
      </c>
      <c r="B51" s="106">
        <f>[4]A07!S120+[4]A07!T120+[4]A32!X84+[4]A32!Y84</f>
        <v>8</v>
      </c>
      <c r="C51" s="106">
        <f>'1,6 CN'!C51</f>
        <v>258</v>
      </c>
      <c r="D51" s="4">
        <f t="shared" si="8"/>
        <v>3.1007751937984496E-2</v>
      </c>
      <c r="E51" s="106">
        <f>[5]A07!S120+[5]A07!T120+[5]A32!X84+[5]A32!Y84</f>
        <v>11</v>
      </c>
      <c r="F51" s="106">
        <f>'1,6 CN'!F51</f>
        <v>154</v>
      </c>
      <c r="G51" s="4">
        <f t="shared" si="9"/>
        <v>7.1428571428571425E-2</v>
      </c>
      <c r="H51" s="106">
        <f>[6]A07!S120+[6]A07!T120+[6]A32!X84+[6]A32!Y84</f>
        <v>7</v>
      </c>
      <c r="I51" s="106">
        <f>'1,6 CN'!I51</f>
        <v>272</v>
      </c>
      <c r="J51" s="4">
        <f t="shared" si="10"/>
        <v>2.5735294117647058E-2</v>
      </c>
      <c r="K51" s="106">
        <f>[7]A07!S120+[7]A07!T120+[7]A32!X84+[7]A32!Y84</f>
        <v>13</v>
      </c>
      <c r="L51" s="106">
        <f>'1,6 CN'!L51</f>
        <v>332</v>
      </c>
      <c r="M51" s="4">
        <f t="shared" si="0"/>
        <v>3.9156626506024098E-2</v>
      </c>
      <c r="N51" s="106">
        <f>[8]A07!V120+[8]A07!W120+[8]A32!AA84+[8]A32!AB84</f>
        <v>63</v>
      </c>
      <c r="O51" s="106">
        <f>'1,6 CN'!O51</f>
        <v>293</v>
      </c>
      <c r="P51" s="4">
        <f t="shared" si="1"/>
        <v>0.21501706484641639</v>
      </c>
      <c r="Q51" s="106">
        <f>[9]A07!V120+[9]A07!W120+[9]A32!AA84+[9]A32!AB84</f>
        <v>31</v>
      </c>
      <c r="R51" s="106">
        <f>'1,6 CN'!R51</f>
        <v>235</v>
      </c>
      <c r="S51" s="4">
        <f t="shared" si="2"/>
        <v>0.13191489361702127</v>
      </c>
      <c r="T51" s="83">
        <f>[10]A07!V120+[10]A07!W120+[10]A32!AA84+[10]A32!AB84</f>
        <v>53</v>
      </c>
      <c r="U51" s="83">
        <f>'1,6 CN'!U51</f>
        <v>245</v>
      </c>
      <c r="V51" s="4">
        <f t="shared" si="3"/>
        <v>0.21632653061224491</v>
      </c>
      <c r="W51" s="83">
        <f>[11]A07!V120+[11]A07!W120+[11]A32!AA84+[11]A32!AB84</f>
        <v>92</v>
      </c>
      <c r="X51" s="83">
        <f>'1,6 CN'!X51</f>
        <v>333</v>
      </c>
      <c r="Y51" s="4">
        <f t="shared" si="4"/>
        <v>0.27627627627627627</v>
      </c>
      <c r="Z51" s="83">
        <f>[12]A07!V120+[12]A07!W120+[12]A32!AA84+[12]A32!AB84</f>
        <v>66</v>
      </c>
      <c r="AA51" s="83">
        <f>'1,6 CN'!AA51</f>
        <v>297</v>
      </c>
      <c r="AB51" s="4">
        <f t="shared" si="5"/>
        <v>0.22222222222222221</v>
      </c>
      <c r="AC51" s="83">
        <f>[13]A07!V120+[13]A07!W120+[13]A32!AA84+[13]A32!AB84</f>
        <v>75</v>
      </c>
      <c r="AD51" s="83">
        <f>'1,6 CN'!AD51</f>
        <v>295</v>
      </c>
      <c r="AE51" s="4">
        <f t="shared" si="6"/>
        <v>0.25423728813559321</v>
      </c>
      <c r="AF51" s="83">
        <f>[14]A07!V120+[14]A07!W120+[14]A32!AA84+[14]A32!AB84</f>
        <v>71</v>
      </c>
      <c r="AG51" s="83">
        <f>'1,6 CN'!AG51</f>
        <v>315</v>
      </c>
      <c r="AH51" s="4">
        <f t="shared" si="7"/>
        <v>0.2253968253968254</v>
      </c>
      <c r="AI51" s="6"/>
      <c r="AJ51" s="6"/>
      <c r="AK51" s="4" t="e">
        <f t="shared" si="11"/>
        <v>#DIV/0!</v>
      </c>
      <c r="AL51" s="94">
        <f t="shared" si="12"/>
        <v>133</v>
      </c>
      <c r="AM51" s="94">
        <f t="shared" si="13"/>
        <v>1544</v>
      </c>
      <c r="AN51" s="4">
        <f t="shared" si="14"/>
        <v>8.6139896373056996E-2</v>
      </c>
      <c r="AO51" s="98" t="str">
        <f>IF(AN51&gt;10%,"1","0")</f>
        <v>0</v>
      </c>
      <c r="AS51" s="152" t="s">
        <v>180</v>
      </c>
    </row>
    <row r="52" spans="1:45" x14ac:dyDescent="0.15">
      <c r="A52" s="77" t="s">
        <v>137</v>
      </c>
      <c r="B52" s="106">
        <f>[4]A07!S121+[4]A07!T121+[4]A32!X85+[4]A32!Y85</f>
        <v>0</v>
      </c>
      <c r="C52" s="106">
        <f>'1,6 CN'!C52</f>
        <v>0</v>
      </c>
      <c r="D52" s="4" t="str">
        <f t="shared" si="8"/>
        <v/>
      </c>
      <c r="E52" s="106">
        <f>[5]A07!S121+[5]A07!T121+[5]A32!X85+[5]A32!Y85</f>
        <v>0</v>
      </c>
      <c r="F52" s="106">
        <f>'1,6 CN'!F52</f>
        <v>32</v>
      </c>
      <c r="G52" s="4">
        <f t="shared" si="9"/>
        <v>0</v>
      </c>
      <c r="H52" s="106">
        <f>[6]A07!S121+[6]A07!T121+[6]A32!X85+[6]A32!Y85</f>
        <v>0</v>
      </c>
      <c r="I52" s="106">
        <f>'1,6 CN'!I52</f>
        <v>62</v>
      </c>
      <c r="J52" s="4">
        <f t="shared" si="10"/>
        <v>0</v>
      </c>
      <c r="K52" s="106">
        <f>[7]A07!S121+[7]A07!T121+[7]A32!X85+[7]A32!Y85</f>
        <v>0</v>
      </c>
      <c r="L52" s="106">
        <f>'1,6 CN'!L52</f>
        <v>60</v>
      </c>
      <c r="M52" s="4">
        <f t="shared" si="0"/>
        <v>0</v>
      </c>
      <c r="N52" s="106">
        <f>[8]A07!V121+[8]A07!W121+[8]A32!AA85+[8]A32!AB85</f>
        <v>13</v>
      </c>
      <c r="O52" s="106">
        <f>'1,6 CN'!O52</f>
        <v>70</v>
      </c>
      <c r="P52" s="4">
        <f t="shared" si="1"/>
        <v>0.18571428571428572</v>
      </c>
      <c r="Q52" s="106">
        <f>[9]A07!V121+[9]A07!W121+[9]A32!AA85+[9]A32!AB85</f>
        <v>0</v>
      </c>
      <c r="R52" s="106">
        <f>'1,6 CN'!R52</f>
        <v>2</v>
      </c>
      <c r="S52" s="4">
        <f t="shared" si="2"/>
        <v>0</v>
      </c>
      <c r="T52" s="83">
        <f>[10]A07!V121+[10]A07!W121+[10]A32!AA85+[10]A32!AB85</f>
        <v>0</v>
      </c>
      <c r="U52" s="83">
        <f>'1,6 CN'!U52</f>
        <v>5</v>
      </c>
      <c r="V52" s="4">
        <f t="shared" si="3"/>
        <v>0</v>
      </c>
      <c r="W52" s="83">
        <f>[11]A07!V121+[11]A07!W121+[11]A32!AA85+[11]A32!AB85</f>
        <v>0</v>
      </c>
      <c r="X52" s="83">
        <f>'1,6 CN'!X52</f>
        <v>8</v>
      </c>
      <c r="Y52" s="4">
        <f t="shared" si="4"/>
        <v>0</v>
      </c>
      <c r="Z52" s="83">
        <f>[12]A07!V121+[12]A07!W121+[12]A32!AA85+[12]A32!AB85</f>
        <v>0</v>
      </c>
      <c r="AA52" s="83">
        <f>'1,6 CN'!AA52</f>
        <v>1</v>
      </c>
      <c r="AB52" s="4">
        <f t="shared" si="5"/>
        <v>0</v>
      </c>
      <c r="AC52" s="83">
        <f>[13]A07!V121+[13]A07!W121+[13]A32!AA85+[13]A32!AB85</f>
        <v>0</v>
      </c>
      <c r="AD52" s="83">
        <f>'1,6 CN'!AD52</f>
        <v>1</v>
      </c>
      <c r="AE52" s="4">
        <f t="shared" si="6"/>
        <v>0</v>
      </c>
      <c r="AF52" s="83">
        <f>[14]A07!V121+[14]A07!W121+[14]A32!AA85+[14]A32!AB85</f>
        <v>1</v>
      </c>
      <c r="AG52" s="83">
        <f>'1,6 CN'!AG52</f>
        <v>2</v>
      </c>
      <c r="AH52" s="4">
        <f t="shared" si="7"/>
        <v>0.5</v>
      </c>
      <c r="AI52" s="6"/>
      <c r="AJ52" s="6"/>
      <c r="AK52" s="4" t="e">
        <f t="shared" si="11"/>
        <v>#DIV/0!</v>
      </c>
      <c r="AL52" s="94">
        <f t="shared" si="12"/>
        <v>13</v>
      </c>
      <c r="AM52" s="94">
        <f t="shared" si="13"/>
        <v>226</v>
      </c>
      <c r="AN52" s="4">
        <f t="shared" si="14"/>
        <v>5.7522123893805309E-2</v>
      </c>
      <c r="AO52" s="98" t="str">
        <f>IF(AN52&gt;14%,"1","0")</f>
        <v>0</v>
      </c>
      <c r="AS52" s="152" t="s">
        <v>181</v>
      </c>
    </row>
    <row r="53" spans="1:45" x14ac:dyDescent="0.15">
      <c r="A53" s="77" t="s">
        <v>138</v>
      </c>
      <c r="B53" s="106">
        <f>[4]A07!S122+[4]A07!T122+[4]A32!X86+[4]A32!Y86</f>
        <v>0</v>
      </c>
      <c r="C53" s="106">
        <f>'1,6 CN'!C53</f>
        <v>0</v>
      </c>
      <c r="D53" s="4" t="str">
        <f t="shared" si="8"/>
        <v/>
      </c>
      <c r="E53" s="106">
        <f>[5]A07!S122+[5]A07!T122+[5]A32!X86+[5]A32!Y86</f>
        <v>0</v>
      </c>
      <c r="F53" s="106">
        <f>'1,6 CN'!F53</f>
        <v>0</v>
      </c>
      <c r="G53" s="4" t="str">
        <f t="shared" si="9"/>
        <v/>
      </c>
      <c r="H53" s="106">
        <f>[6]A07!S122+[6]A07!T122+[6]A32!X86+[6]A32!Y86</f>
        <v>0</v>
      </c>
      <c r="I53" s="106">
        <f>'1,6 CN'!I53</f>
        <v>0</v>
      </c>
      <c r="J53" s="4" t="str">
        <f t="shared" si="10"/>
        <v/>
      </c>
      <c r="K53" s="106">
        <f>[7]A07!S122+[7]A07!T122+[7]A32!X86+[7]A32!Y86</f>
        <v>0</v>
      </c>
      <c r="L53" s="106">
        <f>'1,6 CN'!L53</f>
        <v>0</v>
      </c>
      <c r="M53" s="4" t="e">
        <f t="shared" si="0"/>
        <v>#DIV/0!</v>
      </c>
      <c r="N53" s="106">
        <f>[8]A07!V122+[8]A07!W122+[8]A32!AA86+[8]A32!AB86</f>
        <v>0</v>
      </c>
      <c r="O53" s="106">
        <f>'1,6 CN'!O53</f>
        <v>0</v>
      </c>
      <c r="P53" s="4" t="e">
        <f t="shared" si="1"/>
        <v>#DIV/0!</v>
      </c>
      <c r="Q53" s="106">
        <f>[9]A07!V122+[9]A07!W122+[9]A32!AA86+[9]A32!AB86</f>
        <v>0</v>
      </c>
      <c r="R53" s="106">
        <f>'1,6 CN'!R53</f>
        <v>0</v>
      </c>
      <c r="S53" s="4" t="e">
        <f t="shared" si="2"/>
        <v>#DIV/0!</v>
      </c>
      <c r="T53" s="83">
        <f>[10]A07!V122+[10]A07!W122+[10]A32!AA86+[10]A32!AB86</f>
        <v>0</v>
      </c>
      <c r="U53" s="83">
        <f>'1,6 CN'!U53</f>
        <v>0</v>
      </c>
      <c r="V53" s="4" t="e">
        <f t="shared" si="3"/>
        <v>#DIV/0!</v>
      </c>
      <c r="W53" s="83">
        <f>[11]A07!V122+[11]A07!W122+[11]A32!AA86+[11]A32!AB86</f>
        <v>0</v>
      </c>
      <c r="X53" s="83">
        <f>'1,6 CN'!X53</f>
        <v>0</v>
      </c>
      <c r="Y53" s="4" t="e">
        <f t="shared" si="4"/>
        <v>#DIV/0!</v>
      </c>
      <c r="Z53" s="83">
        <f>[12]A07!V122+[12]A07!W122+[12]A32!AA86+[12]A32!AB86</f>
        <v>0</v>
      </c>
      <c r="AA53" s="83">
        <f>'1,6 CN'!AA53</f>
        <v>0</v>
      </c>
      <c r="AB53" s="4" t="e">
        <f t="shared" si="5"/>
        <v>#DIV/0!</v>
      </c>
      <c r="AC53" s="83">
        <f>[13]A07!V122+[13]A07!W122+[13]A32!AA86+[13]A32!AB86</f>
        <v>0</v>
      </c>
      <c r="AD53" s="83">
        <f>'1,6 CN'!AD53</f>
        <v>0</v>
      </c>
      <c r="AE53" s="4" t="e">
        <f t="shared" si="6"/>
        <v>#DIV/0!</v>
      </c>
      <c r="AF53" s="83">
        <f>[14]A07!V122+[14]A07!W122+[14]A32!AA86+[14]A32!AB86</f>
        <v>0</v>
      </c>
      <c r="AG53" s="83">
        <f>'1,6 CN'!AG53</f>
        <v>0</v>
      </c>
      <c r="AH53" s="4" t="e">
        <f t="shared" si="7"/>
        <v>#DIV/0!</v>
      </c>
      <c r="AI53" s="6"/>
      <c r="AJ53" s="6"/>
      <c r="AK53" s="4" t="e">
        <f t="shared" si="11"/>
        <v>#DIV/0!</v>
      </c>
      <c r="AL53" s="94">
        <f t="shared" si="12"/>
        <v>0</v>
      </c>
      <c r="AM53" s="94">
        <f t="shared" si="13"/>
        <v>0</v>
      </c>
      <c r="AN53" s="4" t="str">
        <f t="shared" si="14"/>
        <v/>
      </c>
      <c r="AO53" s="1"/>
    </row>
    <row r="54" spans="1:45" x14ac:dyDescent="0.15">
      <c r="A54" s="77" t="s">
        <v>139</v>
      </c>
      <c r="B54" s="106">
        <f>[4]A07!S123+[4]A07!T123+[4]A32!X87+[4]A32!Y87</f>
        <v>0</v>
      </c>
      <c r="C54" s="106">
        <f>'1,6 CN'!C54</f>
        <v>0</v>
      </c>
      <c r="D54" s="4" t="str">
        <f t="shared" si="8"/>
        <v/>
      </c>
      <c r="E54" s="106">
        <f>[5]A07!S123+[5]A07!T123+[5]A32!X87+[5]A32!Y87</f>
        <v>0</v>
      </c>
      <c r="F54" s="106">
        <f>'1,6 CN'!F54</f>
        <v>0</v>
      </c>
      <c r="G54" s="4" t="str">
        <f t="shared" si="9"/>
        <v/>
      </c>
      <c r="H54" s="106">
        <f>[6]A07!S123+[6]A07!T123+[6]A32!X87+[6]A32!Y87</f>
        <v>0</v>
      </c>
      <c r="I54" s="106">
        <f>'1,6 CN'!I54</f>
        <v>0</v>
      </c>
      <c r="J54" s="4" t="str">
        <f t="shared" si="10"/>
        <v/>
      </c>
      <c r="K54" s="106">
        <f>[7]A07!S123+[7]A07!T123+[7]A32!X87+[7]A32!Y87</f>
        <v>0</v>
      </c>
      <c r="L54" s="106">
        <f>'1,6 CN'!L54</f>
        <v>0</v>
      </c>
      <c r="M54" s="4" t="e">
        <f t="shared" si="0"/>
        <v>#DIV/0!</v>
      </c>
      <c r="N54" s="106">
        <f>[8]A07!V123+[8]A07!W123+[8]A32!AA87+[8]A32!AB87</f>
        <v>0</v>
      </c>
      <c r="O54" s="106">
        <f>'1,6 CN'!O54</f>
        <v>0</v>
      </c>
      <c r="P54" s="4" t="e">
        <f t="shared" si="1"/>
        <v>#DIV/0!</v>
      </c>
      <c r="Q54" s="106">
        <f>[9]A07!V123+[9]A07!W123+[9]A32!AA87+[9]A32!AB87</f>
        <v>0</v>
      </c>
      <c r="R54" s="106">
        <f>'1,6 CN'!R54</f>
        <v>0</v>
      </c>
      <c r="S54" s="4" t="e">
        <f t="shared" si="2"/>
        <v>#DIV/0!</v>
      </c>
      <c r="T54" s="83">
        <f>[10]A07!V123+[10]A07!W123+[10]A32!AA87+[10]A32!AB87</f>
        <v>0</v>
      </c>
      <c r="U54" s="83">
        <f>'1,6 CN'!U54</f>
        <v>0</v>
      </c>
      <c r="V54" s="4" t="e">
        <f t="shared" si="3"/>
        <v>#DIV/0!</v>
      </c>
      <c r="W54" s="83">
        <f>[11]A07!V123+[11]A07!W123+[11]A32!AA87+[11]A32!AB87</f>
        <v>0</v>
      </c>
      <c r="X54" s="83">
        <f>'1,6 CN'!X54</f>
        <v>0</v>
      </c>
      <c r="Y54" s="4" t="e">
        <f t="shared" si="4"/>
        <v>#DIV/0!</v>
      </c>
      <c r="Z54" s="83">
        <f>[12]A07!V123+[12]A07!W123+[12]A32!AA87+[12]A32!AB87</f>
        <v>0</v>
      </c>
      <c r="AA54" s="83">
        <f>'1,6 CN'!AA54</f>
        <v>0</v>
      </c>
      <c r="AB54" s="4" t="e">
        <f t="shared" si="5"/>
        <v>#DIV/0!</v>
      </c>
      <c r="AC54" s="83">
        <f>[13]A07!V123+[13]A07!W123+[13]A32!AA87+[13]A32!AB87</f>
        <v>0</v>
      </c>
      <c r="AD54" s="83">
        <f>'1,6 CN'!AD54</f>
        <v>0</v>
      </c>
      <c r="AE54" s="4" t="e">
        <f t="shared" si="6"/>
        <v>#DIV/0!</v>
      </c>
      <c r="AF54" s="83">
        <f>[14]A07!V123+[14]A07!W123+[14]A32!AA87+[14]A32!AB87</f>
        <v>0</v>
      </c>
      <c r="AG54" s="83">
        <f>'1,6 CN'!AG54</f>
        <v>0</v>
      </c>
      <c r="AH54" s="4" t="e">
        <f t="shared" si="7"/>
        <v>#DIV/0!</v>
      </c>
      <c r="AI54" s="6"/>
      <c r="AJ54" s="6"/>
      <c r="AK54" s="4" t="e">
        <f t="shared" si="11"/>
        <v>#DIV/0!</v>
      </c>
      <c r="AL54" s="94">
        <f t="shared" si="12"/>
        <v>0</v>
      </c>
      <c r="AM54" s="94">
        <f t="shared" si="13"/>
        <v>0</v>
      </c>
      <c r="AN54" s="4" t="str">
        <f t="shared" si="14"/>
        <v/>
      </c>
      <c r="AO54" s="1"/>
    </row>
    <row r="55" spans="1:45" x14ac:dyDescent="0.15">
      <c r="A55" s="76" t="s">
        <v>140</v>
      </c>
      <c r="B55" s="106">
        <f>[4]A07!S124+[4]A07!T124+[4]A32!X88+[4]A32!Y88</f>
        <v>0</v>
      </c>
      <c r="C55" s="106">
        <f>'1,6 CN'!C55</f>
        <v>0</v>
      </c>
      <c r="D55" s="4" t="str">
        <f t="shared" si="8"/>
        <v/>
      </c>
      <c r="E55" s="106">
        <f>[5]A07!S124+[5]A07!T124+[5]A32!X88+[5]A32!Y88</f>
        <v>0</v>
      </c>
      <c r="F55" s="106">
        <f>'1,6 CN'!F55</f>
        <v>0</v>
      </c>
      <c r="G55" s="4" t="str">
        <f t="shared" si="9"/>
        <v/>
      </c>
      <c r="H55" s="106">
        <f>[6]A07!S124+[6]A07!T124+[6]A32!X88+[6]A32!Y88</f>
        <v>0</v>
      </c>
      <c r="I55" s="106">
        <f>'1,6 CN'!I55</f>
        <v>0</v>
      </c>
      <c r="J55" s="4" t="str">
        <f t="shared" si="10"/>
        <v/>
      </c>
      <c r="K55" s="106">
        <f>[7]A07!S124+[7]A07!T124+[7]A32!X88+[7]A32!Y88</f>
        <v>0</v>
      </c>
      <c r="L55" s="106">
        <f>'1,6 CN'!L55</f>
        <v>0</v>
      </c>
      <c r="M55" s="4" t="e">
        <f t="shared" si="0"/>
        <v>#DIV/0!</v>
      </c>
      <c r="N55" s="106">
        <f>[8]A07!V124+[8]A07!W124+[8]A32!AA88+[8]A32!AB88</f>
        <v>0</v>
      </c>
      <c r="O55" s="106">
        <f>'1,6 CN'!O55</f>
        <v>0</v>
      </c>
      <c r="P55" s="4" t="e">
        <f t="shared" si="1"/>
        <v>#DIV/0!</v>
      </c>
      <c r="Q55" s="106">
        <f>[9]A07!V124+[9]A07!W124+[9]A32!AA88+[9]A32!AB88</f>
        <v>0</v>
      </c>
      <c r="R55" s="106">
        <f>'1,6 CN'!R55</f>
        <v>0</v>
      </c>
      <c r="S55" s="4" t="e">
        <f t="shared" si="2"/>
        <v>#DIV/0!</v>
      </c>
      <c r="T55" s="83">
        <f>[10]A07!V124+[10]A07!W124+[10]A32!AA88+[10]A32!AB88</f>
        <v>0</v>
      </c>
      <c r="U55" s="83">
        <f>'1,6 CN'!U55</f>
        <v>0</v>
      </c>
      <c r="V55" s="4" t="e">
        <f t="shared" si="3"/>
        <v>#DIV/0!</v>
      </c>
      <c r="W55" s="83">
        <f>[11]A07!V124+[11]A07!W124+[11]A32!AA88+[11]A32!AB88</f>
        <v>0</v>
      </c>
      <c r="X55" s="83">
        <f>'1,6 CN'!X55</f>
        <v>0</v>
      </c>
      <c r="Y55" s="4" t="e">
        <f t="shared" si="4"/>
        <v>#DIV/0!</v>
      </c>
      <c r="Z55" s="83">
        <f>[12]A07!V124+[12]A07!W124+[12]A32!AA88+[12]A32!AB88</f>
        <v>0</v>
      </c>
      <c r="AA55" s="83">
        <f>'1,6 CN'!AA55</f>
        <v>0</v>
      </c>
      <c r="AB55" s="4" t="e">
        <f t="shared" si="5"/>
        <v>#DIV/0!</v>
      </c>
      <c r="AC55" s="83">
        <f>[13]A07!V124+[13]A07!W124+[13]A32!AA88+[13]A32!AB88</f>
        <v>0</v>
      </c>
      <c r="AD55" s="83">
        <f>'1,6 CN'!AD55</f>
        <v>0</v>
      </c>
      <c r="AE55" s="4" t="e">
        <f t="shared" si="6"/>
        <v>#DIV/0!</v>
      </c>
      <c r="AF55" s="83">
        <f>[14]A07!V124+[14]A07!W124+[14]A32!AA88+[14]A32!AB88</f>
        <v>0</v>
      </c>
      <c r="AG55" s="83">
        <f>'1,6 CN'!AG55</f>
        <v>0</v>
      </c>
      <c r="AH55" s="4" t="e">
        <f t="shared" si="7"/>
        <v>#DIV/0!</v>
      </c>
      <c r="AI55" s="6"/>
      <c r="AJ55" s="6"/>
      <c r="AK55" s="4" t="e">
        <f t="shared" si="11"/>
        <v>#DIV/0!</v>
      </c>
      <c r="AL55" s="94">
        <f t="shared" si="12"/>
        <v>0</v>
      </c>
      <c r="AM55" s="94">
        <f t="shared" si="13"/>
        <v>0</v>
      </c>
      <c r="AN55" s="4" t="str">
        <f t="shared" si="14"/>
        <v/>
      </c>
      <c r="AO55" s="1"/>
    </row>
    <row r="56" spans="1:45" x14ac:dyDescent="0.15">
      <c r="A56" s="78" t="s">
        <v>141</v>
      </c>
      <c r="B56" s="106">
        <f>[4]A07!S125+[4]A07!T125+[4]A32!X89+[4]A32!Y89</f>
        <v>0</v>
      </c>
      <c r="C56" s="106">
        <f>'1,6 CN'!C56</f>
        <v>0</v>
      </c>
      <c r="D56" s="4" t="str">
        <f t="shared" si="8"/>
        <v/>
      </c>
      <c r="E56" s="106">
        <f>[5]A07!S125+[5]A07!T125+[5]A32!X89+[5]A32!Y89</f>
        <v>0</v>
      </c>
      <c r="F56" s="106">
        <f>'1,6 CN'!F56</f>
        <v>0</v>
      </c>
      <c r="G56" s="4" t="str">
        <f t="shared" si="9"/>
        <v/>
      </c>
      <c r="H56" s="106">
        <f>[6]A07!S125+[6]A07!T125+[6]A32!X89+[6]A32!Y89</f>
        <v>0</v>
      </c>
      <c r="I56" s="106">
        <f>'1,6 CN'!I56</f>
        <v>0</v>
      </c>
      <c r="J56" s="4" t="str">
        <f t="shared" si="10"/>
        <v/>
      </c>
      <c r="K56" s="106">
        <f>[7]A07!S125+[7]A07!T125+[7]A32!X89+[7]A32!Y89</f>
        <v>0</v>
      </c>
      <c r="L56" s="106">
        <f>'1,6 CN'!L56</f>
        <v>0</v>
      </c>
      <c r="M56" s="4" t="e">
        <f t="shared" si="0"/>
        <v>#DIV/0!</v>
      </c>
      <c r="N56" s="106">
        <f>[8]A07!V125+[8]A07!W125+[8]A32!AA89+[8]A32!AB89</f>
        <v>0</v>
      </c>
      <c r="O56" s="106">
        <f>'1,6 CN'!O56</f>
        <v>0</v>
      </c>
      <c r="P56" s="4" t="e">
        <f t="shared" si="1"/>
        <v>#DIV/0!</v>
      </c>
      <c r="Q56" s="106">
        <f>[9]A07!V125+[9]A07!W125+[9]A32!AA89+[9]A32!AB89</f>
        <v>0</v>
      </c>
      <c r="R56" s="106">
        <f>'1,6 CN'!R56</f>
        <v>0</v>
      </c>
      <c r="S56" s="4" t="e">
        <f t="shared" si="2"/>
        <v>#DIV/0!</v>
      </c>
      <c r="T56" s="83">
        <f>[10]A07!V125+[10]A07!W125+[10]A32!AA89+[10]A32!AB89</f>
        <v>0</v>
      </c>
      <c r="U56" s="83">
        <f>'1,6 CN'!U56</f>
        <v>0</v>
      </c>
      <c r="V56" s="4" t="e">
        <f t="shared" si="3"/>
        <v>#DIV/0!</v>
      </c>
      <c r="W56" s="83">
        <f>[11]A07!V125+[11]A07!W125+[11]A32!AA89+[11]A32!AB89</f>
        <v>0</v>
      </c>
      <c r="X56" s="83">
        <f>'1,6 CN'!X56</f>
        <v>0</v>
      </c>
      <c r="Y56" s="4" t="e">
        <f t="shared" si="4"/>
        <v>#DIV/0!</v>
      </c>
      <c r="Z56" s="83">
        <f>[12]A07!V125+[12]A07!W125+[12]A32!AA89+[12]A32!AB89</f>
        <v>0</v>
      </c>
      <c r="AA56" s="83">
        <f>'1,6 CN'!AA56</f>
        <v>0</v>
      </c>
      <c r="AB56" s="4" t="e">
        <f t="shared" si="5"/>
        <v>#DIV/0!</v>
      </c>
      <c r="AC56" s="83">
        <f>[13]A07!V125+[13]A07!W125+[13]A32!AA89+[13]A32!AB89</f>
        <v>0</v>
      </c>
      <c r="AD56" s="83">
        <f>'1,6 CN'!AD56</f>
        <v>0</v>
      </c>
      <c r="AE56" s="4" t="e">
        <f t="shared" si="6"/>
        <v>#DIV/0!</v>
      </c>
      <c r="AF56" s="83">
        <f>[14]A07!V125+[14]A07!W125+[14]A32!AA89+[14]A32!AB89</f>
        <v>0</v>
      </c>
      <c r="AG56" s="83">
        <f>'1,6 CN'!AG56</f>
        <v>0</v>
      </c>
      <c r="AH56" s="4" t="e">
        <f t="shared" si="7"/>
        <v>#DIV/0!</v>
      </c>
      <c r="AI56" s="6"/>
      <c r="AJ56" s="6"/>
      <c r="AK56" s="4" t="e">
        <f t="shared" si="11"/>
        <v>#DIV/0!</v>
      </c>
      <c r="AL56" s="94">
        <f t="shared" si="12"/>
        <v>0</v>
      </c>
      <c r="AM56" s="94">
        <f t="shared" si="13"/>
        <v>0</v>
      </c>
      <c r="AN56" s="4" t="str">
        <f t="shared" si="14"/>
        <v/>
      </c>
      <c r="AO56" s="1"/>
    </row>
    <row r="57" spans="1:45" x14ac:dyDescent="0.25">
      <c r="B57" s="1">
        <f>SUM(B2:B56)</f>
        <v>773</v>
      </c>
      <c r="C57" s="6">
        <f>SUM(C2:C56)</f>
        <v>5255</v>
      </c>
      <c r="D57" s="4">
        <f t="shared" ref="D57" si="15">B57/C57</f>
        <v>0.14709800190294958</v>
      </c>
      <c r="E57" s="1">
        <f>SUM(E2:E56)</f>
        <v>751</v>
      </c>
      <c r="F57" s="1">
        <f>SUM(F2:F56)</f>
        <v>4297</v>
      </c>
      <c r="G57" s="4">
        <f t="shared" ref="G57" si="16">E57/F57</f>
        <v>0.17477309750989062</v>
      </c>
      <c r="H57" s="1">
        <f>SUM(H2:H56)</f>
        <v>846</v>
      </c>
      <c r="I57" s="1">
        <f>SUM(I2:I56)</f>
        <v>5800</v>
      </c>
      <c r="J57" s="4">
        <f t="shared" ref="J57" si="17">H57/I57</f>
        <v>0.14586206896551723</v>
      </c>
      <c r="K57" s="1">
        <f>SUM(K2:K56)</f>
        <v>726</v>
      </c>
      <c r="L57" s="1">
        <f>SUM(L2:L56)</f>
        <v>5910</v>
      </c>
      <c r="M57" s="4">
        <f t="shared" si="0"/>
        <v>0.12284263959390863</v>
      </c>
      <c r="N57" s="1">
        <f>SUM(N2:N56)</f>
        <v>877</v>
      </c>
      <c r="O57" s="1">
        <f>SUM(O2:O56)</f>
        <v>5026</v>
      </c>
      <c r="P57" s="4">
        <f t="shared" si="1"/>
        <v>0.17449263828093911</v>
      </c>
      <c r="Q57" s="1">
        <f>SUM(Q2:Q56)</f>
        <v>966</v>
      </c>
      <c r="R57" s="1">
        <f>SUM(R2:R56)</f>
        <v>4580</v>
      </c>
      <c r="S57" s="4">
        <f t="shared" si="2"/>
        <v>0.2109170305676856</v>
      </c>
      <c r="T57" s="1">
        <f>SUM(T2:T56)</f>
        <v>908</v>
      </c>
      <c r="U57" s="1">
        <f>SUM(U2:U56)</f>
        <v>5080</v>
      </c>
      <c r="V57" s="4">
        <f t="shared" si="3"/>
        <v>0.17874015748031497</v>
      </c>
      <c r="W57" s="1">
        <f>SUM(W2:W56)</f>
        <v>852</v>
      </c>
      <c r="X57" s="1">
        <f>SUM(X2:X56)</f>
        <v>4871</v>
      </c>
      <c r="Y57" s="4">
        <f t="shared" si="4"/>
        <v>0.17491274892219258</v>
      </c>
      <c r="Z57" s="1">
        <f>SUM(Z2:Z56)</f>
        <v>810</v>
      </c>
      <c r="AA57" s="1">
        <f>SUM(AA2:AA56)</f>
        <v>4777</v>
      </c>
      <c r="AB57" s="4">
        <f t="shared" si="5"/>
        <v>0.16956248691647477</v>
      </c>
      <c r="AC57" s="1">
        <f>SUM(AC2:AC56)</f>
        <v>1013</v>
      </c>
      <c r="AD57" s="1">
        <f>SUM(AD2:AD56)</f>
        <v>5286</v>
      </c>
      <c r="AE57" s="4">
        <f t="shared" si="6"/>
        <v>0.19163828982217176</v>
      </c>
      <c r="AF57" s="1">
        <f>SUM(AF2:AF56)</f>
        <v>855</v>
      </c>
      <c r="AG57" s="1">
        <f>SUM(AG2:AG56)</f>
        <v>4823</v>
      </c>
      <c r="AH57" s="4">
        <f t="shared" si="7"/>
        <v>0.17727555463404521</v>
      </c>
      <c r="AI57" s="1">
        <f>SUM(AI2:AI56)</f>
        <v>0</v>
      </c>
      <c r="AJ57" s="1">
        <f>SUM(AJ2:AJ56)</f>
        <v>0</v>
      </c>
      <c r="AK57" s="4" t="e">
        <f>AI57/AJ57</f>
        <v>#DIV/0!</v>
      </c>
      <c r="AL57" s="91">
        <f>SUM(AL2:AL56)</f>
        <v>4939</v>
      </c>
      <c r="AM57" s="91">
        <f>SUM(AM2:AM56)</f>
        <v>30868</v>
      </c>
      <c r="AN57" s="4">
        <f t="shared" ref="AN57" si="18">AL57/AM57</f>
        <v>0.1600038875210574</v>
      </c>
      <c r="AO57" s="93">
        <f>AO2+AO3+AO4+AO5+AO6+AO7+AO8+AO9+AO10+AO11+AO12+AO13+AO14+AO15+AO16+AO17+AO18+AO19+AO20+AO21+AO22+AO23+AO24+AO25+AO26+AO27+AO28+AO29+AO30+AO31+AO32+AO33+AO34+AO35+AO36+AO37+AO38+AO39+AO40+AO41+AO42+AO43+AO44+AO45+AO46+AO47+AO48+AO49+AO50+AO51+AO52+AO53+AO54+AO55+AO56</f>
        <v>15</v>
      </c>
      <c r="AP57" s="1">
        <v>24</v>
      </c>
      <c r="AQ57" s="4">
        <f>AO57/AP57</f>
        <v>0.625</v>
      </c>
      <c r="AR57" s="4">
        <v>0.6</v>
      </c>
    </row>
    <row r="59" spans="1:45" x14ac:dyDescent="0.25">
      <c r="A59" s="2" t="s">
        <v>234</v>
      </c>
      <c r="B59" s="83">
        <f>[15]A07!$V$71+[15]A07!$W$71+[15]A32!$AA$35+[15]A32!$AB$35</f>
        <v>19</v>
      </c>
      <c r="C59" s="106"/>
    </row>
  </sheetData>
  <autoFilter ref="A1:AS57" xr:uid="{7F7DA218-D84F-4BEA-A8ED-1CC0CF1A235A}"/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T59"/>
  <sheetViews>
    <sheetView showGridLines="0" zoomScale="80" zoomScaleNormal="80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AR62" sqref="AR62"/>
    </sheetView>
  </sheetViews>
  <sheetFormatPr baseColWidth="10" defaultColWidth="11.42578125" defaultRowHeight="13.5" x14ac:dyDescent="0.25"/>
  <cols>
    <col min="1" max="1" width="51.42578125" style="2" customWidth="1"/>
    <col min="2" max="4" width="15.7109375" style="2" customWidth="1"/>
    <col min="5" max="13" width="11.42578125" style="2" customWidth="1"/>
    <col min="14" max="38" width="11.42578125" style="2"/>
    <col min="39" max="39" width="12.42578125" style="2" customWidth="1"/>
    <col min="40" max="16384" width="11.42578125" style="2"/>
  </cols>
  <sheetData>
    <row r="1" spans="1:46" ht="33.6" customHeight="1" x14ac:dyDescent="0.25">
      <c r="A1" s="17" t="s">
        <v>169</v>
      </c>
      <c r="B1" s="109" t="s">
        <v>49</v>
      </c>
      <c r="C1" s="149" t="s">
        <v>50</v>
      </c>
      <c r="D1" s="5" t="s">
        <v>48</v>
      </c>
      <c r="E1" s="109" t="s">
        <v>51</v>
      </c>
      <c r="F1" s="149" t="s">
        <v>52</v>
      </c>
      <c r="G1" s="5" t="s">
        <v>53</v>
      </c>
      <c r="H1" s="109" t="s">
        <v>56</v>
      </c>
      <c r="I1" s="149" t="s">
        <v>54</v>
      </c>
      <c r="J1" s="5" t="s">
        <v>55</v>
      </c>
      <c r="K1" s="109" t="s">
        <v>57</v>
      </c>
      <c r="L1" s="149" t="s">
        <v>58</v>
      </c>
      <c r="M1" s="5" t="s">
        <v>59</v>
      </c>
      <c r="N1" s="109" t="s">
        <v>60</v>
      </c>
      <c r="O1" s="149" t="s">
        <v>61</v>
      </c>
      <c r="P1" s="5" t="s">
        <v>62</v>
      </c>
      <c r="Q1" s="1" t="s">
        <v>63</v>
      </c>
      <c r="R1" s="5" t="s">
        <v>64</v>
      </c>
      <c r="S1" s="5" t="s">
        <v>65</v>
      </c>
      <c r="T1" s="1" t="s">
        <v>66</v>
      </c>
      <c r="U1" s="5" t="s">
        <v>67</v>
      </c>
      <c r="V1" s="5" t="s">
        <v>68</v>
      </c>
      <c r="W1" s="1" t="s">
        <v>69</v>
      </c>
      <c r="X1" s="5" t="s">
        <v>70</v>
      </c>
      <c r="Y1" s="5" t="s">
        <v>71</v>
      </c>
      <c r="Z1" s="1" t="s">
        <v>72</v>
      </c>
      <c r="AA1" s="5" t="s">
        <v>73</v>
      </c>
      <c r="AB1" s="5" t="s">
        <v>74</v>
      </c>
      <c r="AC1" s="1" t="s">
        <v>75</v>
      </c>
      <c r="AD1" s="5" t="s">
        <v>76</v>
      </c>
      <c r="AE1" s="5" t="s">
        <v>77</v>
      </c>
      <c r="AF1" s="1" t="s">
        <v>78</v>
      </c>
      <c r="AG1" s="5" t="s">
        <v>79</v>
      </c>
      <c r="AH1" s="5" t="s">
        <v>80</v>
      </c>
      <c r="AI1" s="1" t="s">
        <v>81</v>
      </c>
      <c r="AJ1" s="5" t="s">
        <v>82</v>
      </c>
      <c r="AK1" s="5" t="s">
        <v>83</v>
      </c>
      <c r="AL1" s="91" t="s">
        <v>84</v>
      </c>
      <c r="AM1" s="92" t="s">
        <v>85</v>
      </c>
      <c r="AN1" s="5" t="s">
        <v>86</v>
      </c>
      <c r="AO1" s="3" t="s">
        <v>4</v>
      </c>
      <c r="AP1" s="3" t="s">
        <v>1</v>
      </c>
      <c r="AQ1" s="97" t="s">
        <v>162</v>
      </c>
      <c r="AR1" s="2" t="s">
        <v>163</v>
      </c>
      <c r="AS1" s="2" t="s">
        <v>164</v>
      </c>
      <c r="AT1" s="111" t="s">
        <v>170</v>
      </c>
    </row>
    <row r="2" spans="1:46" x14ac:dyDescent="0.15">
      <c r="A2" s="76" t="s">
        <v>87</v>
      </c>
      <c r="B2" s="106">
        <f>[4]A07!$X$12+[4]A07!$AB$12+[4]A30!$B$13+[4]A30!$C$13+[4]A30!$D$13+[4]A30!$E$13+[4]A30!$F$13+[4]A30!$G$13+[4]A30!$H$13+[4]A30!$I$13+[4]A32!$Z$35+[4]A32!$AE$35</f>
        <v>70</v>
      </c>
      <c r="C2" s="106">
        <f>[4]A07!B12+[4]A30!R13+[4]A30!S13+[4]A30!T13+[4]A30!U13+[4]A30!V13+[4]A30!W13+[4]A30!X13+[4]A30!Y13+[4]A32!B35</f>
        <v>217</v>
      </c>
      <c r="D2" s="4">
        <f>IFERROR(B2/C2,"")</f>
        <v>0.32258064516129031</v>
      </c>
      <c r="E2" s="106">
        <f>[5]A07!$X$12+[5]A07!$AB$12+[5]A30!$B$13+[5]A30!$C$13+[5]A30!$D$13+[5]A30!$E$13+[5]A30!$F$13+[5]A30!$G$13+[5]A30!$H$13+[5]A30!$I$13+[5]A32!$Z$35+[5]A32!$AE$35</f>
        <v>72</v>
      </c>
      <c r="F2" s="106">
        <f>[5]A07!$B$12+[5]A30!$R$13+[5]A30!$S$13+[5]A30!$T$13+[5]A30!$U$13+[5]A30!$V$13+[5]A30!$W$13+[5]A30!$X$13+[5]A30!$Y$13+[5]A32!$B$35</f>
        <v>268</v>
      </c>
      <c r="G2" s="4">
        <f>IFERROR(E2/F2,"")</f>
        <v>0.26865671641791045</v>
      </c>
      <c r="H2" s="106">
        <f>[6]A07!X12+[6]A07!AB12+[6]A30!B13+[6]A30!C13+[6]A30!D13+[6]A30!E13+[6]A30!F13+[6]A30!G13+[6]A30!H13+[6]A30!I13+[6]A32!Z35+[6]A32!AE35</f>
        <v>86</v>
      </c>
      <c r="I2" s="106">
        <f>[6]A07!B12+[6]A30!R13+[6]A30!S13+[6]A30!T13+[6]A30!U13+[6]A30!V13+[6]A30!W13+[6]A30!X13+[6]A30!Y13+[6]A32!B35</f>
        <v>370</v>
      </c>
      <c r="J2" s="4">
        <f>IFERROR(H2/I2,"")</f>
        <v>0.23243243243243245</v>
      </c>
      <c r="K2" s="106">
        <f>[7]A07!X12+[7]A07!AB12+[7]A30!B13+[7]A30!C13+[7]A30!D13+[7]A30!E13+[7]A30!F13+[7]A30!G13+[7]A30!H13+[7]A30!I13+[7]A32!Z35+[7]A32!AE35</f>
        <v>62</v>
      </c>
      <c r="L2" s="106">
        <f>[7]A07!B12+[7]A30!R13+[7]A30!S13+[7]A30!T13+[7]A30!U13+[7]A30!V13+[7]A30!W13+[7]A30!X13+[7]A30!Y13+[7]A32!B35</f>
        <v>342</v>
      </c>
      <c r="M2" s="4">
        <f>IFERROR(K2/L2,"")</f>
        <v>0.18128654970760233</v>
      </c>
      <c r="N2" s="106">
        <f>[8]A07!X12+[8]A07!AB12+[8]A30!B13+[8]A30!C13+[8]A30!D13+[8]A30!E13+[8]A30!F13+[8]A30!G13+[8]A30!H13+[8]A30!I13+[8]A32!Z35+[8]A32!AE35</f>
        <v>80</v>
      </c>
      <c r="O2" s="106">
        <f>[8]A07!B12+[8]A30!R13+[8]A30!S13+[8]A30!T13+[8]A30!U13+[8]A30!V13+[8]A30!W13+[8]A30!X13+[8]A30!Y13+[8]A32!B35</f>
        <v>298</v>
      </c>
      <c r="P2" s="150">
        <f t="shared" ref="P2:P57" si="0">N2/O2</f>
        <v>0.26845637583892618</v>
      </c>
      <c r="Q2" s="6">
        <f>[15]A07!X12+[15]A07!AB12+[15]A30!B13+[15]A30!C13+[15]A30!D13+[15]A30!E13+[15]A30!F13+[15]A30!G13+[15]A30!H13+[15]A30!I13+[15]A32!Z35+[15]A32!AE35</f>
        <v>47</v>
      </c>
      <c r="R2" s="6">
        <f>[15]A07!B12+[15]A30!R13+[15]A30!S13+[15]A30!T13+[15]A30!U13+[15]A30!V13+[15]A30!W13+[15]A30!X13+[15]A30!Y13+[15]A32!B35</f>
        <v>149</v>
      </c>
      <c r="S2" s="150">
        <f t="shared" ref="S2:S57" si="1">Q2/R2</f>
        <v>0.31543624161073824</v>
      </c>
      <c r="T2" s="6">
        <f>[10]A07!X12+[10]A07!AB12+[10]A30!B13+[10]A30!C13+[10]A30!D13+[10]A30!E13+[10]A30!F13+[10]A30!G13+[10]A30!H13+[10]A30!I13+[10]A32!Z35+[10]A32!AE35</f>
        <v>62</v>
      </c>
      <c r="U2" s="6">
        <f>[10]A07!B12+[10]A30!R13+[10]A30!S13+[10]A30!T13+[10]A30!U13+[10]A30!V13+[10]A30!W13+[10]A30!X13+[10]A30!Y13+[10]A32!B35</f>
        <v>187</v>
      </c>
      <c r="V2" s="150">
        <f t="shared" ref="V2:V57" si="2">T2/U2</f>
        <v>0.33155080213903743</v>
      </c>
      <c r="W2" s="6">
        <f>[11]A07!X12+[11]A07!AB12+[11]A30!B13+[11]A30!C13+[11]A30!D13+[11]A30!E13+[11]A30!F13+[11]A30!G13+[11]A30!H13+[11]A30!I13+[11]A32!Z35+[11]A32!AE35</f>
        <v>46</v>
      </c>
      <c r="X2" s="6">
        <f>[11]A07!B12+[11]A30!R13+[11]A30!S13+[11]A30!T13+[11]A30!U13+[11]A30!V13+[11]A30!W13+[11]A30!X13+[11]A30!Y13+[11]A32!B35</f>
        <v>167</v>
      </c>
      <c r="Y2" s="150">
        <f t="shared" ref="Y2:Y57" si="3">W2/X2</f>
        <v>0.27544910179640719</v>
      </c>
      <c r="Z2" s="6">
        <f>[12]A07!X12+[12]A07!AB12+[12]A30!B13+[12]A30!C13+[12]A30!D13+[12]A30!E13+[12]A30!F13+[12]A30!G13+[12]A30!H13+[12]A30!I13+[12]A32!Z35+[12]A32!AE35</f>
        <v>58</v>
      </c>
      <c r="AA2" s="6">
        <f>[12]A07!B12+[12]A30!R13+[12]A30!S13+[12]A30!T13+[12]A30!U13+[12]A30!V13+[12]A30!W13+[12]A30!X13+[12]A30!Y13+[12]A32!B35</f>
        <v>202</v>
      </c>
      <c r="AB2" s="150">
        <f t="shared" ref="AB2:AB57" si="4">Z2/AA2</f>
        <v>0.28712871287128711</v>
      </c>
      <c r="AC2" s="6">
        <f>[13]A07!X12+[13]A07!AB12+[13]A30!B13+[13]A30!C13+[13]A30!D13+[13]A30!E13+[13]A30!F13+[13]A30!G13+[13]A30!H13+[13]A30!I13+[13]A32!Z35+[13]A32!AE35</f>
        <v>57</v>
      </c>
      <c r="AD2" s="6">
        <f>[13]A07!B12+[13]A30!R13+[13]A30!S13+[13]A30!T13+[13]A30!U13+[13]A30!V13+[13]A30!W13+[13]A30!X13+[13]A30!Y13+[13]A32!B35</f>
        <v>208</v>
      </c>
      <c r="AE2" s="150">
        <f t="shared" ref="AE2:AE57" si="5">AC2/AD2</f>
        <v>0.27403846153846156</v>
      </c>
      <c r="AF2" s="6">
        <f>[14]A07!X12+[14]A07!AB12+[14]A30!B13+[14]A30!C13+[14]A30!D13+[14]A30!E13+[14]A30!F13+[14]A30!G13+[14]A30!H13+[14]A30!I13+[14]A32!Z35+[14]A32!AE35</f>
        <v>64</v>
      </c>
      <c r="AG2" s="6">
        <f>[14]A07!B12+[14]A30!R13+[14]A30!S13+[14]A30!T13+[14]A30!U13+[14]A30!V13+[14]A30!W13+[14]A30!X13+[14]A30!Y13+[14]A32!B35</f>
        <v>214</v>
      </c>
      <c r="AH2" s="150">
        <f t="shared" ref="AH2:AH57" si="6">AF2/AG2</f>
        <v>0.29906542056074764</v>
      </c>
      <c r="AI2" s="6"/>
      <c r="AJ2" s="6"/>
      <c r="AK2" s="4" t="e">
        <f>+AI2/AJ2</f>
        <v>#DIV/0!</v>
      </c>
      <c r="AL2" s="94">
        <f>B2+E2+H2+K2+N2</f>
        <v>370</v>
      </c>
      <c r="AM2" s="94">
        <f>C2+F2+I2+L2+O2</f>
        <v>1495</v>
      </c>
      <c r="AN2" s="4">
        <f>IFERROR(AL2/AM2,"")</f>
        <v>0.24749163879598662</v>
      </c>
      <c r="AO2" s="109" t="str">
        <f>IF(AN2&gt;33%,"1","0")</f>
        <v>0</v>
      </c>
      <c r="AP2" s="1"/>
      <c r="AQ2" s="1"/>
      <c r="AT2" s="151" t="s">
        <v>174</v>
      </c>
    </row>
    <row r="3" spans="1:46" x14ac:dyDescent="0.15">
      <c r="A3" s="77" t="s">
        <v>88</v>
      </c>
      <c r="B3" s="106">
        <f>[4]A07!X13+[4]A07!AB13+[4]A30!B14+[4]A30!C14+[4]A30!D14+[4]A30!E14+[4]A30!F14+[4]A30!G14+[4]A30!H14+[4]A30!I14+[4]A32!Z36+[4]A32!AE36</f>
        <v>146</v>
      </c>
      <c r="C3" s="106">
        <f>[4]A07!B13+[4]A30!R14+[4]A30!S14+[4]A30!T14+[4]A30!U14+[4]A30!V14+[4]A30!W14+[4]A30!X14+[4]A30!Y14+[4]A32!B36</f>
        <v>610</v>
      </c>
      <c r="D3" s="4">
        <f t="shared" ref="D3:D56" si="7">IFERROR(B3/C3,"")</f>
        <v>0.23934426229508196</v>
      </c>
      <c r="E3" s="106">
        <f>[5]A07!X13+[5]A07!AB13+[5]A30!B14+[5]A30!C14+[5]A30!D14+[5]A30!E14+[5]A30!F14+[5]A30!G14+[5]A30!H14+[5]A30!I14+[5]A32!Z36+[5]A32!AE36</f>
        <v>71</v>
      </c>
      <c r="F3" s="106">
        <f>[5]A07!$B$13+[5]A30!$R$14+[5]A30!$S$14+[5]A30!$T$14+[5]A30!$U$14+[5]A30!$V$14+[5]A30!$W$14+[5]A30!$X$14+[5]A30!$Y$14+[5]A32!$B$36</f>
        <v>445</v>
      </c>
      <c r="G3" s="4">
        <f t="shared" ref="G3:G56" si="8">IFERROR(E3/F3,"")</f>
        <v>0.15955056179775282</v>
      </c>
      <c r="H3" s="106">
        <f>[6]A07!X13+[6]A07!AB13+[6]A30!B14+[6]A30!C14+[6]A30!D14+[6]A30!E14+[6]A30!F14+[6]A30!G14+[6]A30!H14+[6]A30!I14+[6]A32!Z36+[6]A32!AE36</f>
        <v>52</v>
      </c>
      <c r="I3" s="106">
        <f>[6]A07!B13+[6]A30!R14+[6]A30!S14+[6]A30!T14+[6]A30!U14+[6]A30!V14+[6]A30!W14+[6]A30!X14+[6]A30!Y14+[6]A32!B36</f>
        <v>341</v>
      </c>
      <c r="J3" s="4">
        <f t="shared" ref="J3:J56" si="9">IFERROR(H3/I3,"")</f>
        <v>0.15249266862170088</v>
      </c>
      <c r="K3" s="106">
        <f>[7]A07!X13+[7]A07!AB13+[7]A30!B14+[7]A30!C14+[7]A30!D14+[7]A30!E14+[7]A30!F14+[7]A30!G14+[7]A30!H14+[7]A30!I14+[7]A32!Z36+[7]A32!AE36</f>
        <v>137</v>
      </c>
      <c r="L3" s="106">
        <f>[7]A07!B13+[7]A30!R14+[7]A30!S14+[7]A30!T14+[7]A30!U14+[7]A30!V14+[7]A30!W14+[7]A30!X14+[7]A30!Y14+[7]A32!B36</f>
        <v>602</v>
      </c>
      <c r="M3" s="4">
        <f t="shared" ref="M3:M56" si="10">IFERROR(K3/L3,"")</f>
        <v>0.22757475083056478</v>
      </c>
      <c r="N3" s="106">
        <f>[8]A07!X13+[8]A07!AB13+[8]A30!B14+[8]A30!C14+[8]A30!D14+[8]A30!E14+[8]A30!F14+[8]A30!G14+[8]A30!H14+[8]A30!I14+[8]A32!Z36+[8]A32!AE36</f>
        <v>103</v>
      </c>
      <c r="O3" s="106">
        <f>[8]A07!B13+[8]A30!R14+[8]A30!S14+[8]A30!T14+[8]A30!U14+[8]A30!V14+[8]A30!W14+[8]A30!X14+[8]A30!Y14+[8]A32!B36</f>
        <v>459</v>
      </c>
      <c r="P3" s="150">
        <f t="shared" si="0"/>
        <v>0.22440087145969498</v>
      </c>
      <c r="Q3" s="6">
        <f>[15]A07!X13+[15]A07!AB13+[15]A30!B14+[15]A30!C14+[15]A30!D14+[15]A30!E14+[15]A30!F14+[15]A30!G14+[15]A30!H14+[15]A30!I14+[15]A32!Z36+[15]A32!AE36</f>
        <v>114</v>
      </c>
      <c r="R3" s="6">
        <f>[15]A07!B13+[15]A30!R14+[15]A30!S14+[15]A30!T14+[15]A30!U14+[15]A30!V14+[15]A30!W14+[15]A30!X14+[15]A30!Y14+[15]A32!B36</f>
        <v>493</v>
      </c>
      <c r="S3" s="150">
        <f t="shared" si="1"/>
        <v>0.23123732251521298</v>
      </c>
      <c r="T3" s="6">
        <f>[10]A07!X13+[10]A07!AB13+[10]A30!B14+[10]A30!C14+[10]A30!D14+[10]A30!E14+[10]A30!F14+[10]A30!G14+[10]A30!H14+[10]A30!I14+[10]A32!Z36+[10]A32!AE36</f>
        <v>141</v>
      </c>
      <c r="U3" s="6">
        <f>[10]A07!B13+[10]A30!R14+[10]A30!S14+[10]A30!T14+[10]A30!U14+[10]A30!V14+[10]A30!W14+[10]A30!X14+[10]A30!Y14+[10]A32!B36</f>
        <v>714</v>
      </c>
      <c r="V3" s="150">
        <f t="shared" si="2"/>
        <v>0.19747899159663865</v>
      </c>
      <c r="W3" s="6">
        <f>[11]A07!X13+[11]A07!AB13+[11]A30!B14+[11]A30!C14+[11]A30!D14+[11]A30!E14+[11]A30!F14+[11]A30!G14+[11]A30!H14+[11]A30!I14+[11]A32!Z36+[11]A32!AE36</f>
        <v>66</v>
      </c>
      <c r="X3" s="6">
        <f>[11]A07!B13+[11]A30!R14+[11]A30!S14+[11]A30!T14+[11]A30!U14+[11]A30!V14+[11]A30!W14+[11]A30!X14+[11]A30!Y14+[11]A32!B36</f>
        <v>402</v>
      </c>
      <c r="Y3" s="150">
        <f t="shared" si="3"/>
        <v>0.16417910447761194</v>
      </c>
      <c r="Z3" s="6">
        <f>[12]A07!X13+[12]A07!AB13+[12]A30!B14+[12]A30!C14+[12]A30!D14+[12]A30!E14+[12]A30!F14+[12]A30!G14+[12]A30!H14+[12]A30!I14+[12]A32!Z36+[12]A32!AE36</f>
        <v>110</v>
      </c>
      <c r="AA3" s="6">
        <f>[12]A07!B13+[12]A30!R14+[12]A30!S14+[12]A30!T14+[12]A30!U14+[12]A30!V14+[12]A30!W14+[12]A30!X14+[12]A30!Y14+[12]A32!B36</f>
        <v>489</v>
      </c>
      <c r="AB3" s="150">
        <f t="shared" si="4"/>
        <v>0.22494887525562371</v>
      </c>
      <c r="AC3" s="6">
        <f>[13]A07!X13+[13]A07!AB13+[13]A30!B14+[13]A30!C14+[13]A30!D14+[13]A30!E14+[13]A30!F14+[13]A30!G14+[13]A30!H14+[13]A30!I14+[13]A32!Z36+[13]A32!AE36</f>
        <v>130</v>
      </c>
      <c r="AD3" s="6">
        <f>[13]A07!B13+[13]A30!R14+[13]A30!S14+[13]A30!T14+[13]A30!U14+[13]A30!V14+[13]A30!W14+[13]A30!X14+[13]A30!Y14+[13]A32!B36</f>
        <v>578</v>
      </c>
      <c r="AE3" s="150">
        <f t="shared" si="5"/>
        <v>0.22491349480968859</v>
      </c>
      <c r="AF3" s="6">
        <f>[14]A07!X13+[14]A07!AB13+[14]A30!B14+[14]A30!C14+[14]A30!D14+[14]A30!E14+[14]A30!F14+[14]A30!G14+[14]A30!H14+[14]A30!I14+[14]A32!Z36+[14]A32!AE36</f>
        <v>107</v>
      </c>
      <c r="AG3" s="6">
        <f>[14]A07!B13+[14]A30!R14+[14]A30!S14+[14]A30!T14+[14]A30!U14+[14]A30!V14+[14]A30!W14+[14]A30!X14+[14]A30!Y14+[14]A32!B36</f>
        <v>369</v>
      </c>
      <c r="AH3" s="150">
        <f t="shared" si="6"/>
        <v>0.28997289972899731</v>
      </c>
      <c r="AI3" s="6"/>
      <c r="AJ3" s="6"/>
      <c r="AK3" s="4" t="e">
        <f t="shared" ref="AK3:AK56" si="11">+AI3/AJ3</f>
        <v>#DIV/0!</v>
      </c>
      <c r="AL3" s="94">
        <f t="shared" ref="AL3:AL14" si="12">B3+E3+H3+K3+N3</f>
        <v>509</v>
      </c>
      <c r="AM3" s="94">
        <f t="shared" ref="AM3:AM56" si="13">C3+F3+I3+L3+O3</f>
        <v>2457</v>
      </c>
      <c r="AN3" s="4">
        <f t="shared" ref="AN3:AN56" si="14">IFERROR(AL3/AM3,"")</f>
        <v>0.20716320716320716</v>
      </c>
      <c r="AO3" s="109" t="str">
        <f>IF(AN3&gt;40%,"1","0")</f>
        <v>0</v>
      </c>
      <c r="AP3" s="1"/>
      <c r="AQ3" s="1"/>
      <c r="AT3" s="151" t="s">
        <v>175</v>
      </c>
    </row>
    <row r="4" spans="1:46" x14ac:dyDescent="0.15">
      <c r="A4" s="77" t="s">
        <v>89</v>
      </c>
      <c r="B4" s="106">
        <f>[4]A07!X14+[4]A07!AB14+[4]A30!B15+[4]A30!C15+[4]A30!D15+[4]A30!E15+[4]A30!F15+[4]A30!G15+[4]A30!H15+[4]A30!I15+[4]A32!Z37+[4]A32!AE37</f>
        <v>0</v>
      </c>
      <c r="C4" s="106">
        <f>[4]A07!B14+[4]A30!R15+[4]A30!S15+[4]A30!T15+[4]A30!U15+[4]A30!V15+[4]A30!W15+[4]A30!X15+[4]A30!Y15+[4]A32!B37</f>
        <v>0</v>
      </c>
      <c r="D4" s="4" t="str">
        <f t="shared" si="7"/>
        <v/>
      </c>
      <c r="E4" s="106">
        <f>[5]A07!X14+[5]A07!AB14+[5]A30!B15+[5]A30!C15+[5]A30!D15+[5]A30!E15+[5]A30!F15+[5]A30!G15+[5]A30!H15+[5]A30!I15+[5]A32!Z37+[5]A32!AE37</f>
        <v>0</v>
      </c>
      <c r="F4" s="106">
        <f>[5]A07!B14+[5]A30!R15+[5]A30!S15+[5]A30!T15+[5]A30!U15+[5]A30!V15+[5]A30!W15+[5]A30!X15+[5]A30!Y15+[5]A32!B37</f>
        <v>0</v>
      </c>
      <c r="G4" s="4" t="str">
        <f t="shared" si="8"/>
        <v/>
      </c>
      <c r="H4" s="106">
        <f>[6]A07!X14+[6]A07!AB14+[6]A30!B15+[6]A30!C15+[6]A30!D15+[6]A30!E15+[6]A30!F15+[6]A30!G15+[6]A30!H15+[6]A30!I15+[6]A32!Z37+[6]A32!AE37</f>
        <v>0</v>
      </c>
      <c r="I4" s="106">
        <f>[6]A07!B14+[6]A30!R15+[6]A30!S15+[6]A30!T15+[6]A30!U15+[6]A30!V15+[6]A30!W15+[6]A30!X15+[6]A30!Y15+[6]A32!B37</f>
        <v>0</v>
      </c>
      <c r="J4" s="4" t="str">
        <f t="shared" si="9"/>
        <v/>
      </c>
      <c r="K4" s="106">
        <f>[7]A07!X14+[7]A07!AB14+[7]A30!B15+[7]A30!C15+[7]A30!D15+[7]A30!E15+[7]A30!F15+[7]A30!G15+[7]A30!H15+[7]A30!I15+[7]A32!Z37+[7]A32!AE37</f>
        <v>0</v>
      </c>
      <c r="L4" s="106">
        <f>[7]A07!B14+[7]A30!R15+[7]A30!S15+[7]A30!T15+[7]A30!U15+[7]A30!V15+[7]A30!W15+[7]A30!X15+[7]A30!Y15+[7]A32!B37</f>
        <v>0</v>
      </c>
      <c r="M4" s="4" t="str">
        <f t="shared" si="10"/>
        <v/>
      </c>
      <c r="N4" s="106">
        <f>[8]A07!X14+[8]A07!AB14+[8]A30!B15+[8]A30!C15+[8]A30!D15+[8]A30!E15+[8]A30!F15+[8]A30!G15+[8]A30!H15+[8]A30!I15+[8]A32!Z37+[8]A32!AE37</f>
        <v>0</v>
      </c>
      <c r="O4" s="106">
        <f>[8]A07!B14+[8]A30!R15+[8]A30!S15+[8]A30!T15+[8]A30!U15+[8]A30!V15+[8]A30!W15+[8]A30!X15+[8]A30!Y15+[8]A32!B37</f>
        <v>0</v>
      </c>
      <c r="P4" s="150" t="e">
        <f t="shared" si="0"/>
        <v>#DIV/0!</v>
      </c>
      <c r="Q4" s="6">
        <f>[15]A07!X14+[15]A07!AB14+[15]A30!B15+[15]A30!C15+[15]A30!D15+[15]A30!E15+[15]A30!F15+[15]A30!G15+[15]A30!H15+[15]A30!I15+[15]A32!Z37+[15]A32!AE37</f>
        <v>0</v>
      </c>
      <c r="R4" s="6">
        <f>[15]A07!B14+[15]A30!R15+[15]A30!S15+[15]A30!T15+[15]A30!U15+[15]A30!V15+[15]A30!W15+[15]A30!X15+[15]A30!Y15+[15]A32!B37</f>
        <v>0</v>
      </c>
      <c r="S4" s="150" t="e">
        <f t="shared" si="1"/>
        <v>#DIV/0!</v>
      </c>
      <c r="T4" s="6">
        <f>[10]A07!X14+[10]A07!AB14+[10]A30!B15+[10]A30!C15+[10]A30!D15+[10]A30!E15+[10]A30!F15+[10]A30!G15+[10]A30!H15+[10]A30!I15+[10]A32!Z37+[10]A32!AE37</f>
        <v>0</v>
      </c>
      <c r="U4" s="6">
        <f>[10]A07!B14+[10]A30!R15+[10]A30!S15+[10]A30!T15+[10]A30!U15+[10]A30!V15+[10]A30!W15+[10]A30!X15+[10]A30!Y15+[10]A32!B37</f>
        <v>0</v>
      </c>
      <c r="V4" s="150" t="e">
        <f t="shared" si="2"/>
        <v>#DIV/0!</v>
      </c>
      <c r="W4" s="6">
        <f>[11]A07!X14+[11]A07!AB14+[11]A30!B15+[11]A30!C15+[11]A30!D15+[11]A30!E15+[11]A30!F15+[11]A30!G15+[11]A30!H15+[11]A30!I15+[11]A32!Z37+[11]A32!AE37</f>
        <v>0</v>
      </c>
      <c r="X4" s="6">
        <f>[11]A07!B14+[11]A30!R15+[11]A30!S15+[11]A30!T15+[11]A30!U15+[11]A30!V15+[11]A30!W15+[11]A30!X15+[11]A30!Y15+[11]A32!B37</f>
        <v>0</v>
      </c>
      <c r="Y4" s="150" t="e">
        <f t="shared" si="3"/>
        <v>#DIV/0!</v>
      </c>
      <c r="Z4" s="6">
        <f>[12]A07!X14+[12]A07!AB14+[12]A30!B15+[12]A30!C15+[12]A30!D15+[12]A30!E15+[12]A30!F15+[12]A30!G15+[12]A30!H15+[12]A30!I15+[12]A32!Z37+[12]A32!AE37</f>
        <v>0</v>
      </c>
      <c r="AA4" s="6">
        <f>[12]A07!B14+[12]A30!R15+[12]A30!S15+[12]A30!T15+[12]A30!U15+[12]A30!V15+[12]A30!W15+[12]A30!X15+[12]A30!Y15+[12]A32!B37</f>
        <v>0</v>
      </c>
      <c r="AB4" s="150" t="e">
        <f t="shared" si="4"/>
        <v>#DIV/0!</v>
      </c>
      <c r="AC4" s="6">
        <f>[13]A07!X14+[13]A07!AB14+[13]A30!B15+[13]A30!C15+[13]A30!D15+[13]A30!E15+[13]A30!F15+[13]A30!G15+[13]A30!H15+[13]A30!I15+[13]A32!Z37+[13]A32!AE37</f>
        <v>0</v>
      </c>
      <c r="AD4" s="6">
        <f>[13]A07!B14+[13]A30!R15+[13]A30!S15+[13]A30!T15+[13]A30!U15+[13]A30!V15+[13]A30!W15+[13]A30!X15+[13]A30!Y15+[13]A32!B37</f>
        <v>0</v>
      </c>
      <c r="AE4" s="150" t="e">
        <f t="shared" si="5"/>
        <v>#DIV/0!</v>
      </c>
      <c r="AF4" s="6">
        <f>[14]A07!X14+[14]A07!AB14+[14]A30!B15+[14]A30!C15+[14]A30!D15+[14]A30!E15+[14]A30!F15+[14]A30!G15+[14]A30!H15+[14]A30!I15+[14]A32!Z37+[14]A32!AE37</f>
        <v>0</v>
      </c>
      <c r="AG4" s="6">
        <f>[14]A07!B14+[14]A30!R15+[14]A30!S15+[14]A30!T15+[14]A30!U15+[14]A30!V15+[14]A30!W15+[14]A30!X15+[14]A30!Y15+[14]A32!B37</f>
        <v>0</v>
      </c>
      <c r="AH4" s="150" t="e">
        <f t="shared" si="6"/>
        <v>#DIV/0!</v>
      </c>
      <c r="AI4" s="6"/>
      <c r="AJ4" s="6"/>
      <c r="AK4" s="4" t="e">
        <f t="shared" si="11"/>
        <v>#DIV/0!</v>
      </c>
      <c r="AL4" s="94">
        <f t="shared" si="12"/>
        <v>0</v>
      </c>
      <c r="AM4" s="94">
        <f t="shared" si="13"/>
        <v>0</v>
      </c>
      <c r="AN4" s="4" t="str">
        <f t="shared" si="14"/>
        <v/>
      </c>
      <c r="AO4" s="1"/>
      <c r="AT4" s="1"/>
    </row>
    <row r="5" spans="1:46" x14ac:dyDescent="0.15">
      <c r="A5" s="77" t="s">
        <v>90</v>
      </c>
      <c r="B5" s="106">
        <f>[4]A07!X15+[4]A07!AB15+[4]A30!B16+[4]A30!C16+[4]A30!D16+[4]A30!E16+[4]A30!F16+[4]A30!G16+[4]A30!H16+[4]A30!I16+[4]A32!Z38+[4]A32!AE38</f>
        <v>0</v>
      </c>
      <c r="C5" s="106">
        <f>[4]A07!B15+[4]A30!R16+[4]A30!S16+[4]A30!T16+[4]A30!U16+[4]A30!V16+[4]A30!W16+[4]A30!X16+[4]A30!Y16+[4]A32!B38</f>
        <v>0</v>
      </c>
      <c r="D5" s="4" t="str">
        <f t="shared" si="7"/>
        <v/>
      </c>
      <c r="E5" s="106">
        <f>[5]A07!X15+[5]A07!AB15+[5]A30!B16+[5]A30!C16+[5]A30!D16+[5]A30!E16+[5]A30!F16+[5]A30!G16+[5]A30!H16+[5]A30!I16+[5]A32!Z38+[5]A32!AE38</f>
        <v>0</v>
      </c>
      <c r="F5" s="106">
        <f>[5]A07!B15+[5]A30!R16+[5]A30!S16+[5]A30!T16+[5]A30!U16+[5]A30!V16+[5]A30!W16+[5]A30!X16+[5]A30!Y16+[5]A32!B38</f>
        <v>0</v>
      </c>
      <c r="G5" s="4" t="str">
        <f t="shared" si="8"/>
        <v/>
      </c>
      <c r="H5" s="106">
        <f>[6]A07!X15+[6]A07!AB15+[6]A30!B16+[6]A30!C16+[6]A30!D16+[6]A30!E16+[6]A30!F16+[6]A30!G16+[6]A30!H16+[6]A30!I16+[6]A32!Z38+[6]A32!AE38</f>
        <v>0</v>
      </c>
      <c r="I5" s="106">
        <f>[6]A07!B15+[6]A30!R16+[6]A30!S16+[6]A30!T16+[6]A30!U16+[6]A30!V16+[6]A30!W16+[6]A30!X16+[6]A30!Y16+[6]A32!B38</f>
        <v>0</v>
      </c>
      <c r="J5" s="4" t="str">
        <f t="shared" si="9"/>
        <v/>
      </c>
      <c r="K5" s="106">
        <f>[7]A07!X15+[7]A07!AB15+[7]A30!B16+[7]A30!C16+[7]A30!D16+[7]A30!E16+[7]A30!F16+[7]A30!G16+[7]A30!H16+[7]A30!I16+[7]A32!Z38+[7]A32!AE38</f>
        <v>0</v>
      </c>
      <c r="L5" s="106">
        <f>[7]A07!B15+[7]A30!R16+[7]A30!S16+[7]A30!T16+[7]A30!U16+[7]A30!V16+[7]A30!W16+[7]A30!X16+[7]A30!Y16+[7]A32!B38</f>
        <v>0</v>
      </c>
      <c r="M5" s="4" t="str">
        <f t="shared" si="10"/>
        <v/>
      </c>
      <c r="N5" s="106">
        <f>[8]A07!X15+[8]A07!AB15+[8]A30!B16+[8]A30!C16+[8]A30!D16+[8]A30!E16+[8]A30!F16+[8]A30!G16+[8]A30!H16+[8]A30!I16+[8]A32!Z38+[8]A32!AE38</f>
        <v>0</v>
      </c>
      <c r="O5" s="106">
        <f>[8]A07!B15+[8]A30!R16+[8]A30!S16+[8]A30!T16+[8]A30!U16+[8]A30!V16+[8]A30!W16+[8]A30!X16+[8]A30!Y16+[8]A32!B38</f>
        <v>0</v>
      </c>
      <c r="P5" s="150" t="e">
        <f t="shared" si="0"/>
        <v>#DIV/0!</v>
      </c>
      <c r="Q5" s="6">
        <f>[15]A07!X15+[15]A07!AB15+[15]A30!B16+[15]A30!C16+[15]A30!D16+[15]A30!E16+[15]A30!F16+[15]A30!G16+[15]A30!H16+[15]A30!I16+[15]A32!Z38+[15]A32!AE38</f>
        <v>0</v>
      </c>
      <c r="R5" s="6">
        <f>[15]A07!B15+[15]A30!R16+[15]A30!S16+[15]A30!T16+[15]A30!U16+[15]A30!V16+[15]A30!W16+[15]A30!X16+[15]A30!Y16+[15]A32!B38</f>
        <v>0</v>
      </c>
      <c r="S5" s="150" t="e">
        <f t="shared" si="1"/>
        <v>#DIV/0!</v>
      </c>
      <c r="T5" s="6">
        <f>[10]A07!X15+[10]A07!AB15+[10]A30!B16+[10]A30!C16+[10]A30!D16+[10]A30!E16+[10]A30!F16+[10]A30!G16+[10]A30!H16+[10]A30!I16+[10]A32!Z38+[10]A32!AE38</f>
        <v>0</v>
      </c>
      <c r="U5" s="6">
        <f>[10]A07!B15+[10]A30!R16+[10]A30!S16+[10]A30!T16+[10]A30!U16+[10]A30!V16+[10]A30!W16+[10]A30!X16+[10]A30!Y16+[10]A32!B38</f>
        <v>0</v>
      </c>
      <c r="V5" s="150" t="e">
        <f t="shared" si="2"/>
        <v>#DIV/0!</v>
      </c>
      <c r="W5" s="6">
        <f>[11]A07!X15+[11]A07!AB15+[11]A30!B16+[11]A30!C16+[11]A30!D16+[11]A30!E16+[11]A30!F16+[11]A30!G16+[11]A30!H16+[11]A30!I16+[11]A32!Z38+[11]A32!AE38</f>
        <v>0</v>
      </c>
      <c r="X5" s="6">
        <f>[11]A07!B15+[11]A30!R16+[11]A30!S16+[11]A30!T16+[11]A30!U16+[11]A30!V16+[11]A30!W16+[11]A30!X16+[11]A30!Y16+[11]A32!B38</f>
        <v>0</v>
      </c>
      <c r="Y5" s="150" t="e">
        <f t="shared" si="3"/>
        <v>#DIV/0!</v>
      </c>
      <c r="Z5" s="6">
        <f>[12]A07!X15+[12]A07!AB15+[12]A30!B16+[12]A30!C16+[12]A30!D16+[12]A30!E16+[12]A30!F16+[12]A30!G16+[12]A30!H16+[12]A30!I16+[12]A32!Z38+[12]A32!AE38</f>
        <v>0</v>
      </c>
      <c r="AA5" s="6">
        <f>[12]A07!B15+[12]A30!R16+[12]A30!S16+[12]A30!T16+[12]A30!U16+[12]A30!V16+[12]A30!W16+[12]A30!X16+[12]A30!Y16+[12]A32!B38</f>
        <v>0</v>
      </c>
      <c r="AB5" s="150" t="e">
        <f t="shared" si="4"/>
        <v>#DIV/0!</v>
      </c>
      <c r="AC5" s="6">
        <f>[13]A07!X15+[13]A07!AB15+[13]A30!B16+[13]A30!C16+[13]A30!D16+[13]A30!E16+[13]A30!F16+[13]A30!G16+[13]A30!H16+[13]A30!I16+[13]A32!Z38+[13]A32!AE38</f>
        <v>0</v>
      </c>
      <c r="AD5" s="6">
        <f>[13]A07!B15+[13]A30!R16+[13]A30!S16+[13]A30!T16+[13]A30!U16+[13]A30!V16+[13]A30!W16+[13]A30!X16+[13]A30!Y16+[13]A32!B38</f>
        <v>0</v>
      </c>
      <c r="AE5" s="150" t="e">
        <f t="shared" si="5"/>
        <v>#DIV/0!</v>
      </c>
      <c r="AF5" s="6">
        <f>[14]A07!X15+[14]A07!AB15+[14]A30!B16+[14]A30!C16+[14]A30!D16+[14]A30!E16+[14]A30!F16+[14]A30!G16+[14]A30!H16+[14]A30!I16+[14]A32!Z38+[14]A32!AE38</f>
        <v>0</v>
      </c>
      <c r="AG5" s="6">
        <f>[14]A07!B15+[14]A30!R16+[14]A30!S16+[14]A30!T16+[14]A30!U16+[14]A30!V16+[14]A30!W16+[14]A30!X16+[14]A30!Y16+[14]A32!B38</f>
        <v>0</v>
      </c>
      <c r="AH5" s="150" t="e">
        <f t="shared" si="6"/>
        <v>#DIV/0!</v>
      </c>
      <c r="AI5" s="6"/>
      <c r="AJ5" s="6"/>
      <c r="AK5" s="4" t="e">
        <f t="shared" si="11"/>
        <v>#DIV/0!</v>
      </c>
      <c r="AL5" s="94">
        <f t="shared" si="12"/>
        <v>0</v>
      </c>
      <c r="AM5" s="94">
        <f t="shared" si="13"/>
        <v>0</v>
      </c>
      <c r="AN5" s="4" t="str">
        <f t="shared" si="14"/>
        <v/>
      </c>
      <c r="AO5" s="1"/>
      <c r="AT5" s="1"/>
    </row>
    <row r="6" spans="1:46" x14ac:dyDescent="0.15">
      <c r="A6" s="77" t="s">
        <v>91</v>
      </c>
      <c r="B6" s="106">
        <f>[4]A07!X16+[4]A07!AB16+[4]A30!B17+[4]A30!C17+[4]A30!D17+[4]A30!E17+[4]A30!F17+[4]A30!G17+[4]A30!H17+[4]A30!I17+[4]A32!Z39+[4]A32!AE39</f>
        <v>0</v>
      </c>
      <c r="C6" s="106">
        <f>[4]A07!B16+[4]A30!R17+[4]A30!S17+[4]A30!T17+[4]A30!U17+[4]A30!V17+[4]A30!W17+[4]A30!X17+[4]A30!Y17+[4]A32!B39</f>
        <v>0</v>
      </c>
      <c r="D6" s="4" t="str">
        <f t="shared" si="7"/>
        <v/>
      </c>
      <c r="E6" s="106">
        <f>[5]A07!X16+[5]A07!AB16+[5]A30!B17+[5]A30!C17+[5]A30!D17+[5]A30!E17+[5]A30!F17+[5]A30!G17+[5]A30!H17+[5]A30!I17+[5]A32!Z39+[5]A32!AE39</f>
        <v>0</v>
      </c>
      <c r="F6" s="106">
        <f>[5]A07!B16+[5]A30!R17+[5]A30!S17+[5]A30!T17+[5]A30!U17+[5]A30!V17+[5]A30!W17+[5]A30!X17+[5]A30!Y17+[5]A32!B39</f>
        <v>0</v>
      </c>
      <c r="G6" s="4" t="str">
        <f t="shared" si="8"/>
        <v/>
      </c>
      <c r="H6" s="106">
        <f>[6]A07!X16+[6]A07!AB16+[6]A30!B17+[6]A30!C17+[6]A30!D17+[6]A30!E17+[6]A30!F17+[6]A30!G17+[6]A30!H17+[6]A30!I17+[6]A32!Z39+[6]A32!AE39</f>
        <v>0</v>
      </c>
      <c r="I6" s="106">
        <f>[6]A07!B16+[6]A30!R17+[6]A30!S17+[6]A30!T17+[6]A30!U17+[6]A30!V17+[6]A30!W17+[6]A30!X17+[6]A30!Y17+[6]A32!B39</f>
        <v>0</v>
      </c>
      <c r="J6" s="4" t="str">
        <f t="shared" si="9"/>
        <v/>
      </c>
      <c r="K6" s="106">
        <f>[7]A07!X16+[7]A07!AB16+[7]A30!B17+[7]A30!C17+[7]A30!D17+[7]A30!E17+[7]A30!F17+[7]A30!G17+[7]A30!H17+[7]A30!I17+[7]A32!Z39+[7]A32!AE39</f>
        <v>0</v>
      </c>
      <c r="L6" s="106">
        <f>[7]A07!B16+[7]A30!R17+[7]A30!S17+[7]A30!T17+[7]A30!U17+[7]A30!V17+[7]A30!W17+[7]A30!X17+[7]A30!Y17+[7]A32!B39</f>
        <v>0</v>
      </c>
      <c r="M6" s="4" t="str">
        <f t="shared" si="10"/>
        <v/>
      </c>
      <c r="N6" s="106">
        <f>[8]A07!X16+[8]A07!AB16+[8]A30!B17+[8]A30!C17+[8]A30!D17+[8]A30!E17+[8]A30!F17+[8]A30!G17+[8]A30!H17+[8]A30!I17+[8]A32!Z39+[8]A32!AE39</f>
        <v>0</v>
      </c>
      <c r="O6" s="106">
        <f>[8]A07!B16+[8]A30!R17+[8]A30!S17+[8]A30!T17+[8]A30!U17+[8]A30!V17+[8]A30!W17+[8]A30!X17+[8]A30!Y17+[8]A32!B39</f>
        <v>0</v>
      </c>
      <c r="P6" s="150" t="e">
        <f t="shared" si="0"/>
        <v>#DIV/0!</v>
      </c>
      <c r="Q6" s="6">
        <f>[15]A07!X16+[15]A07!AB16+[15]A30!B17+[15]A30!C17+[15]A30!D17+[15]A30!E17+[15]A30!F17+[15]A30!G17+[15]A30!H17+[15]A30!I17+[15]A32!Z39+[15]A32!AE39</f>
        <v>0</v>
      </c>
      <c r="R6" s="6">
        <f>[15]A07!B16+[15]A30!R17+[15]A30!S17+[15]A30!T17+[15]A30!U17+[15]A30!V17+[15]A30!W17+[15]A30!X17+[15]A30!Y17+[15]A32!B39</f>
        <v>0</v>
      </c>
      <c r="S6" s="150" t="e">
        <f t="shared" si="1"/>
        <v>#DIV/0!</v>
      </c>
      <c r="T6" s="6">
        <f>[10]A07!X16+[10]A07!AB16+[10]A30!B17+[10]A30!C17+[10]A30!D17+[10]A30!E17+[10]A30!F17+[10]A30!G17+[10]A30!H17+[10]A30!I17+[10]A32!Z39+[10]A32!AE39</f>
        <v>0</v>
      </c>
      <c r="U6" s="6">
        <f>[10]A07!B16+[10]A30!R17+[10]A30!S17+[10]A30!T17+[10]A30!U17+[10]A30!V17+[10]A30!W17+[10]A30!X17+[10]A30!Y17+[10]A32!B39</f>
        <v>0</v>
      </c>
      <c r="V6" s="150" t="e">
        <f t="shared" si="2"/>
        <v>#DIV/0!</v>
      </c>
      <c r="W6" s="6">
        <f>[11]A07!X16+[11]A07!AB16+[11]A30!B17+[11]A30!C17+[11]A30!D17+[11]A30!E17+[11]A30!F17+[11]A30!G17+[11]A30!H17+[11]A30!I17+[11]A32!Z39+[11]A32!AE39</f>
        <v>0</v>
      </c>
      <c r="X6" s="6">
        <f>[11]A07!B16+[11]A30!R17+[11]A30!S17+[11]A30!T17+[11]A30!U17+[11]A30!V17+[11]A30!W17+[11]A30!X17+[11]A30!Y17+[11]A32!B39</f>
        <v>0</v>
      </c>
      <c r="Y6" s="150" t="e">
        <f t="shared" si="3"/>
        <v>#DIV/0!</v>
      </c>
      <c r="Z6" s="6">
        <f>[12]A07!X16+[12]A07!AB16+[12]A30!B17+[12]A30!C17+[12]A30!D17+[12]A30!E17+[12]A30!F17+[12]A30!G17+[12]A30!H17+[12]A30!I17+[12]A32!Z39+[12]A32!AE39</f>
        <v>0</v>
      </c>
      <c r="AA6" s="6">
        <f>[12]A07!B16+[12]A30!R17+[12]A30!S17+[12]A30!T17+[12]A30!U17+[12]A30!V17+[12]A30!W17+[12]A30!X17+[12]A30!Y17+[12]A32!B39</f>
        <v>0</v>
      </c>
      <c r="AB6" s="150" t="e">
        <f t="shared" si="4"/>
        <v>#DIV/0!</v>
      </c>
      <c r="AC6" s="6">
        <f>[13]A07!X16+[13]A07!AB16+[13]A30!B17+[13]A30!C17+[13]A30!D17+[13]A30!E17+[13]A30!F17+[13]A30!G17+[13]A30!H17+[13]A30!I17+[13]A32!Z39+[13]A32!AE39</f>
        <v>0</v>
      </c>
      <c r="AD6" s="6">
        <f>[13]A07!B16+[13]A30!R17+[13]A30!S17+[13]A30!T17+[13]A30!U17+[13]A30!V17+[13]A30!W17+[13]A30!X17+[13]A30!Y17+[13]A32!B39</f>
        <v>0</v>
      </c>
      <c r="AE6" s="150" t="e">
        <f t="shared" si="5"/>
        <v>#DIV/0!</v>
      </c>
      <c r="AF6" s="6">
        <f>[14]A07!X16+[14]A07!AB16+[14]A30!B17+[14]A30!C17+[14]A30!D17+[14]A30!E17+[14]A30!F17+[14]A30!G17+[14]A30!H17+[14]A30!I17+[14]A32!Z39+[14]A32!AE39</f>
        <v>0</v>
      </c>
      <c r="AG6" s="6">
        <f>[14]A07!B16+[14]A30!R17+[14]A30!S17+[14]A30!T17+[14]A30!U17+[14]A30!V17+[14]A30!W17+[14]A30!X17+[14]A30!Y17+[14]A32!B39</f>
        <v>0</v>
      </c>
      <c r="AH6" s="150" t="e">
        <f t="shared" si="6"/>
        <v>#DIV/0!</v>
      </c>
      <c r="AI6" s="6"/>
      <c r="AJ6" s="6"/>
      <c r="AK6" s="4" t="e">
        <f t="shared" si="11"/>
        <v>#DIV/0!</v>
      </c>
      <c r="AL6" s="94">
        <f t="shared" si="12"/>
        <v>0</v>
      </c>
      <c r="AM6" s="94">
        <f t="shared" si="13"/>
        <v>0</v>
      </c>
      <c r="AN6" s="4" t="str">
        <f t="shared" si="14"/>
        <v/>
      </c>
      <c r="AO6" s="1"/>
      <c r="AT6" s="1"/>
    </row>
    <row r="7" spans="1:46" x14ac:dyDescent="0.15">
      <c r="A7" s="147" t="s">
        <v>92</v>
      </c>
      <c r="B7" s="106">
        <f>[4]A07!X17+[4]A07!AB17+[4]A30!B18+[4]A30!C18+[4]A30!D18+[4]A30!E18+[4]A30!F18+[4]A30!G18+[4]A30!H18+[4]A30!I18+[4]A32!Z40+[4]A32!AE40</f>
        <v>18</v>
      </c>
      <c r="C7" s="106">
        <f>[4]A07!B17+[4]A30!R18+[4]A30!S18+[4]A30!T18+[4]A30!U18+[4]A30!V18+[4]A30!W18+[4]A30!X18+[4]A30!Y18+[4]A32!B40</f>
        <v>42</v>
      </c>
      <c r="D7" s="4">
        <f t="shared" si="7"/>
        <v>0.42857142857142855</v>
      </c>
      <c r="E7" s="106">
        <f>[5]A07!X17+[5]A07!AB17+[5]A30!B18+[5]A30!C18+[5]A30!D18+[5]A30!E18+[5]A30!F18+[5]A30!G18+[5]A30!H18+[5]A30!I18+[5]A32!Z40+[5]A32!AE40</f>
        <v>15</v>
      </c>
      <c r="F7" s="106">
        <f>[5]A07!B17+[5]A30!R18+[5]A30!S18+[5]A30!T18+[5]A30!U18+[5]A30!V18+[5]A30!W18+[5]A30!X18+[5]A30!Y18+[5]A32!B40</f>
        <v>27</v>
      </c>
      <c r="G7" s="4">
        <f t="shared" si="8"/>
        <v>0.55555555555555558</v>
      </c>
      <c r="H7" s="106">
        <f>[6]A07!X17+[6]A07!AB17+[6]A30!B18+[6]A30!C18+[6]A30!D18+[6]A30!E18+[6]A30!F18+[6]A30!G18+[6]A30!H18+[6]A30!I18+[6]A32!Z40+[6]A32!AE40</f>
        <v>28</v>
      </c>
      <c r="I7" s="106">
        <f>[6]A07!B17+[6]A30!R18+[6]A30!S18+[6]A30!T18+[6]A30!U18+[6]A30!V18+[6]A30!W18+[6]A30!X18+[6]A30!Y18+[6]A32!B40</f>
        <v>56</v>
      </c>
      <c r="J7" s="4">
        <f t="shared" si="9"/>
        <v>0.5</v>
      </c>
      <c r="K7" s="106">
        <f>[7]A07!X17+[7]A07!AB17+[7]A30!B18+[7]A30!C18+[7]A30!D18+[7]A30!E18+[7]A30!F18+[7]A30!G18+[7]A30!H18+[7]A30!I18+[7]A32!Z40+[7]A32!AE40</f>
        <v>41</v>
      </c>
      <c r="L7" s="106">
        <f>[7]A07!B17+[7]A30!R18+[7]A30!S18+[7]A30!T18+[7]A30!U18+[7]A30!V18+[7]A30!W18+[7]A30!X18+[7]A30!Y18+[7]A32!B40</f>
        <v>68</v>
      </c>
      <c r="M7" s="4">
        <f t="shared" si="10"/>
        <v>0.6029411764705882</v>
      </c>
      <c r="N7" s="106">
        <f>[8]A07!X17+[8]A07!AB17+[8]A30!B18+[8]A30!C18+[8]A30!D18+[8]A30!E18+[8]A30!F18+[8]A30!G18+[8]A30!H18+[8]A30!I18+[8]A32!Z40+[8]A32!AE40</f>
        <v>12</v>
      </c>
      <c r="O7" s="106">
        <f>[8]A07!B17+[8]A30!R18+[8]A30!S18+[8]A30!T18+[8]A30!U18+[8]A30!V18+[8]A30!W18+[8]A30!X18+[8]A30!Y18+[8]A32!B40</f>
        <v>39</v>
      </c>
      <c r="P7" s="150">
        <f t="shared" si="0"/>
        <v>0.30769230769230771</v>
      </c>
      <c r="Q7" s="6">
        <f>[15]A07!X17+[15]A07!AB17+[15]A30!B18+[15]A30!C18+[15]A30!D18+[15]A30!E18+[15]A30!F18+[15]A30!G18+[15]A30!H18+[15]A30!I18+[15]A32!Z40+[15]A32!AE40</f>
        <v>0</v>
      </c>
      <c r="R7" s="6">
        <f>[15]A07!B17+[15]A30!R18+[15]A30!S18+[15]A30!T18+[15]A30!U18+[15]A30!V18+[15]A30!W18+[15]A30!X18+[15]A30!Y18+[15]A32!B40</f>
        <v>0</v>
      </c>
      <c r="S7" s="150" t="e">
        <f t="shared" si="1"/>
        <v>#DIV/0!</v>
      </c>
      <c r="T7" s="6">
        <f>[10]A07!X17+[10]A07!AB17+[10]A30!B18+[10]A30!C18+[10]A30!D18+[10]A30!E18+[10]A30!F18+[10]A30!G18+[10]A30!H18+[10]A30!I18+[10]A32!Z40+[10]A32!AE40</f>
        <v>1</v>
      </c>
      <c r="U7" s="6">
        <f>[10]A07!B17+[10]A30!R18+[10]A30!S18+[10]A30!T18+[10]A30!U18+[10]A30!V18+[10]A30!W18+[10]A30!X18+[10]A30!Y18+[10]A32!B40</f>
        <v>9</v>
      </c>
      <c r="V7" s="150">
        <f t="shared" si="2"/>
        <v>0.1111111111111111</v>
      </c>
      <c r="W7" s="6">
        <f>[11]A07!X17+[11]A07!AB17+[11]A30!B18+[11]A30!C18+[11]A30!D18+[11]A30!E18+[11]A30!F18+[11]A30!G18+[11]A30!H18+[11]A30!I18+[11]A32!Z40+[11]A32!AE40</f>
        <v>0</v>
      </c>
      <c r="X7" s="6">
        <f>[11]A07!B17+[11]A30!R18+[11]A30!S18+[11]A30!T18+[11]A30!U18+[11]A30!V18+[11]A30!W18+[11]A30!X18+[11]A30!Y18+[11]A32!B40</f>
        <v>27</v>
      </c>
      <c r="Y7" s="150">
        <f t="shared" si="3"/>
        <v>0</v>
      </c>
      <c r="Z7" s="6">
        <f>[12]A07!X17+[12]A07!AB17+[12]A30!B18+[12]A30!C18+[12]A30!D18+[12]A30!E18+[12]A30!F18+[12]A30!G18+[12]A30!H18+[12]A30!I18+[12]A32!Z40+[12]A32!AE40</f>
        <v>0</v>
      </c>
      <c r="AA7" s="6">
        <f>[12]A07!B17+[12]A30!R18+[12]A30!S18+[12]A30!T18+[12]A30!U18+[12]A30!V18+[12]A30!W18+[12]A30!X18+[12]A30!Y18+[12]A32!B40</f>
        <v>15</v>
      </c>
      <c r="AB7" s="150">
        <f t="shared" si="4"/>
        <v>0</v>
      </c>
      <c r="AC7" s="6">
        <f>[13]A07!X17+[13]A07!AB17+[13]A30!B18+[13]A30!C18+[13]A30!D18+[13]A30!E18+[13]A30!F18+[13]A30!G18+[13]A30!H18+[13]A30!I18+[13]A32!Z40+[13]A32!AE40</f>
        <v>0</v>
      </c>
      <c r="AD7" s="6">
        <f>[13]A07!B17+[13]A30!R18+[13]A30!S18+[13]A30!T18+[13]A30!U18+[13]A30!V18+[13]A30!W18+[13]A30!X18+[13]A30!Y18+[13]A32!B40</f>
        <v>21</v>
      </c>
      <c r="AE7" s="150">
        <f t="shared" si="5"/>
        <v>0</v>
      </c>
      <c r="AF7" s="6">
        <f>[14]A07!X17+[14]A07!AB17+[14]A30!B18+[14]A30!C18+[14]A30!D18+[14]A30!E18+[14]A30!F18+[14]A30!G18+[14]A30!H18+[14]A30!I18+[14]A32!Z40+[14]A32!AE40</f>
        <v>20</v>
      </c>
      <c r="AG7" s="6">
        <f>[14]A07!B17+[14]A30!R18+[14]A30!S18+[14]A30!T18+[14]A30!U18+[14]A30!V18+[14]A30!W18+[14]A30!X18+[14]A30!Y18+[14]A32!B40</f>
        <v>40</v>
      </c>
      <c r="AH7" s="150">
        <f t="shared" si="6"/>
        <v>0.5</v>
      </c>
      <c r="AI7" s="6"/>
      <c r="AJ7" s="6"/>
      <c r="AK7" s="4" t="e">
        <f t="shared" si="11"/>
        <v>#DIV/0!</v>
      </c>
      <c r="AL7" s="94">
        <f t="shared" si="12"/>
        <v>114</v>
      </c>
      <c r="AM7" s="94">
        <f t="shared" si="13"/>
        <v>232</v>
      </c>
      <c r="AN7" s="4">
        <f t="shared" si="14"/>
        <v>0.49137931034482757</v>
      </c>
      <c r="AO7" s="109" t="str">
        <f t="shared" ref="AO7:AO51" si="15">IF(AN7&gt;40%,"1","0")</f>
        <v>1</v>
      </c>
      <c r="AT7" s="151" t="s">
        <v>175</v>
      </c>
    </row>
    <row r="8" spans="1:46" x14ac:dyDescent="0.15">
      <c r="A8" s="147" t="s">
        <v>93</v>
      </c>
      <c r="B8" s="106">
        <f>[4]A07!X18+[4]A07!AB18+[4]A30!B19+[4]A30!C19+[4]A30!D19+[4]A30!E19+[4]A30!F19+[4]A30!G19+[4]A30!H19+[4]A30!I19+[4]A32!Z41+[4]A32!AE41</f>
        <v>22</v>
      </c>
      <c r="C8" s="106">
        <f>[4]A07!B18+[4]A30!R19+[4]A30!S19+[4]A30!T19+[4]A30!U19+[4]A30!V19+[4]A30!W19+[4]A30!X19+[4]A30!Y19+[4]A32!B41</f>
        <v>204</v>
      </c>
      <c r="D8" s="4">
        <f t="shared" si="7"/>
        <v>0.10784313725490197</v>
      </c>
      <c r="E8" s="106">
        <f>[5]A07!X18+[5]A07!AB18+[5]A30!B19+[5]A30!C19+[5]A30!D19+[5]A30!E19+[5]A30!F19+[5]A30!G19+[5]A30!H19+[5]A30!I19+[5]A32!Z41+[5]A32!AE41</f>
        <v>18</v>
      </c>
      <c r="F8" s="106">
        <f>[5]A07!B18+[5]A30!R19+[5]A30!S19+[5]A30!T19+[5]A30!U19+[5]A30!V19+[5]A30!W19+[5]A30!X19+[5]A30!Y19+[5]A32!B41</f>
        <v>166</v>
      </c>
      <c r="G8" s="4">
        <f t="shared" si="8"/>
        <v>0.10843373493975904</v>
      </c>
      <c r="H8" s="106">
        <f>[6]A07!X18+[6]A07!AB18+[6]A30!B19+[6]A30!C19+[6]A30!D19+[6]A30!E19+[6]A30!F19+[6]A30!G19+[6]A30!H19+[6]A30!I19+[6]A32!Z41+[6]A32!AE41</f>
        <v>22</v>
      </c>
      <c r="I8" s="106">
        <f>[6]A07!B18+[6]A30!R19+[6]A30!S19+[6]A30!T19+[6]A30!U19+[6]A30!V19+[6]A30!W19+[6]A30!X19+[6]A30!Y19+[6]A32!B41</f>
        <v>195</v>
      </c>
      <c r="J8" s="4">
        <f t="shared" si="9"/>
        <v>0.11282051282051282</v>
      </c>
      <c r="K8" s="106">
        <f>[7]A07!X18+[7]A07!AB18+[7]A30!B19+[7]A30!C19+[7]A30!D19+[7]A30!E19+[7]A30!F19+[7]A30!G19+[7]A30!H19+[7]A30!I19+[7]A32!Z41+[7]A32!AE41</f>
        <v>43</v>
      </c>
      <c r="L8" s="106">
        <f>[7]A07!B18+[7]A30!R19+[7]A30!S19+[7]A30!T19+[7]A30!U19+[7]A30!V19+[7]A30!W19+[7]A30!X19+[7]A30!Y19+[7]A32!B41</f>
        <v>214</v>
      </c>
      <c r="M8" s="4">
        <f t="shared" si="10"/>
        <v>0.20093457943925233</v>
      </c>
      <c r="N8" s="106">
        <f>[8]A07!X18+[8]A07!AB18+[8]A30!B19+[8]A30!C19+[8]A30!D19+[8]A30!E19+[8]A30!F19+[8]A30!G19+[8]A30!H19+[8]A30!I19+[8]A32!Z41+[8]A32!AE41</f>
        <v>38</v>
      </c>
      <c r="O8" s="106">
        <f>[8]A07!B18+[8]A30!R19+[8]A30!S19+[8]A30!T19+[8]A30!U19+[8]A30!V19+[8]A30!W19+[8]A30!X19+[8]A30!Y19+[8]A32!B41</f>
        <v>219</v>
      </c>
      <c r="P8" s="150">
        <f t="shared" si="0"/>
        <v>0.17351598173515981</v>
      </c>
      <c r="Q8" s="6">
        <f>[15]A07!X18+[15]A07!AB18+[15]A30!B19+[15]A30!C19+[15]A30!D19+[15]A30!E19+[15]A30!F19+[15]A30!G19+[15]A30!H19+[15]A30!I19+[15]A32!Z41+[15]A32!AE41</f>
        <v>0</v>
      </c>
      <c r="R8" s="6">
        <f>[15]A07!B18+[15]A30!R19+[15]A30!S19+[15]A30!T19+[15]A30!U19+[15]A30!V19+[15]A30!W19+[15]A30!X19+[15]A30!Y19+[15]A32!B41</f>
        <v>0</v>
      </c>
      <c r="S8" s="150" t="e">
        <f t="shared" si="1"/>
        <v>#DIV/0!</v>
      </c>
      <c r="T8" s="6">
        <f>[10]A07!X18+[10]A07!AB18+[10]A30!B19+[10]A30!C19+[10]A30!D19+[10]A30!E19+[10]A30!F19+[10]A30!G19+[10]A30!H19+[10]A30!I19+[10]A32!Z41+[10]A32!AE41</f>
        <v>0</v>
      </c>
      <c r="U8" s="6">
        <f>[10]A07!B18+[10]A30!R19+[10]A30!S19+[10]A30!T19+[10]A30!U19+[10]A30!V19+[10]A30!W19+[10]A30!X19+[10]A30!Y19+[10]A32!B41</f>
        <v>0</v>
      </c>
      <c r="V8" s="150" t="e">
        <f t="shared" si="2"/>
        <v>#DIV/0!</v>
      </c>
      <c r="W8" s="6">
        <f>[11]A07!X18+[11]A07!AB18+[11]A30!B19+[11]A30!C19+[11]A30!D19+[11]A30!E19+[11]A30!F19+[11]A30!G19+[11]A30!H19+[11]A30!I19+[11]A32!Z41+[11]A32!AE41</f>
        <v>0</v>
      </c>
      <c r="X8" s="6">
        <f>[11]A07!B18+[11]A30!R19+[11]A30!S19+[11]A30!T19+[11]A30!U19+[11]A30!V19+[11]A30!W19+[11]A30!X19+[11]A30!Y19+[11]A32!B41</f>
        <v>0</v>
      </c>
      <c r="Y8" s="150" t="e">
        <f t="shared" si="3"/>
        <v>#DIV/0!</v>
      </c>
      <c r="Z8" s="6">
        <f>[12]A07!X18+[12]A07!AB18+[12]A30!B19+[12]A30!C19+[12]A30!D19+[12]A30!E19+[12]A30!F19+[12]A30!G19+[12]A30!H19+[12]A30!I19+[12]A32!Z41+[12]A32!AE41</f>
        <v>0</v>
      </c>
      <c r="AA8" s="6">
        <f>[12]A07!B18+[12]A30!R19+[12]A30!S19+[12]A30!T19+[12]A30!U19+[12]A30!V19+[12]A30!W19+[12]A30!X19+[12]A30!Y19+[12]A32!B41</f>
        <v>30</v>
      </c>
      <c r="AB8" s="150">
        <f t="shared" si="4"/>
        <v>0</v>
      </c>
      <c r="AC8" s="6">
        <f>[13]A07!X18+[13]A07!AB18+[13]A30!B19+[13]A30!C19+[13]A30!D19+[13]A30!E19+[13]A30!F19+[13]A30!G19+[13]A30!H19+[13]A30!I19+[13]A32!Z41+[13]A32!AE41</f>
        <v>0</v>
      </c>
      <c r="AD8" s="6">
        <f>[13]A07!B18+[13]A30!R19+[13]A30!S19+[13]A30!T19+[13]A30!U19+[13]A30!V19+[13]A30!W19+[13]A30!X19+[13]A30!Y19+[13]A32!B41</f>
        <v>41</v>
      </c>
      <c r="AE8" s="150">
        <f t="shared" si="5"/>
        <v>0</v>
      </c>
      <c r="AF8" s="6">
        <f>[14]A07!X18+[14]A07!AB18+[14]A30!B19+[14]A30!C19+[14]A30!D19+[14]A30!E19+[14]A30!F19+[14]A30!G19+[14]A30!H19+[14]A30!I19+[14]A32!Z41+[14]A32!AE41</f>
        <v>0</v>
      </c>
      <c r="AG8" s="6">
        <f>[14]A07!B18+[14]A30!R19+[14]A30!S19+[14]A30!T19+[14]A30!U19+[14]A30!V19+[14]A30!W19+[14]A30!X19+[14]A30!Y19+[14]A32!B41</f>
        <v>7</v>
      </c>
      <c r="AH8" s="150">
        <f t="shared" si="6"/>
        <v>0</v>
      </c>
      <c r="AI8" s="6"/>
      <c r="AJ8" s="6"/>
      <c r="AK8" s="4" t="e">
        <f t="shared" si="11"/>
        <v>#DIV/0!</v>
      </c>
      <c r="AL8" s="94">
        <f t="shared" si="12"/>
        <v>143</v>
      </c>
      <c r="AM8" s="94">
        <f t="shared" si="13"/>
        <v>998</v>
      </c>
      <c r="AN8" s="4">
        <f t="shared" si="14"/>
        <v>0.14328657314629259</v>
      </c>
      <c r="AO8" s="109" t="str">
        <f>IF(AN8&gt;20%,"1","0")</f>
        <v>0</v>
      </c>
      <c r="AT8" s="151" t="s">
        <v>172</v>
      </c>
    </row>
    <row r="9" spans="1:46" x14ac:dyDescent="0.15">
      <c r="A9" s="77" t="s">
        <v>94</v>
      </c>
      <c r="B9" s="106">
        <f>[4]A07!X19+[4]A07!AB19+[4]A30!B20+[4]A30!C20+[4]A30!D20+[4]A30!E20+[4]A30!F20+[4]A30!G20+[4]A30!H20+[4]A30!I20+[4]A32!Z42+[4]A32!AE42</f>
        <v>14</v>
      </c>
      <c r="C9" s="106">
        <f>[4]A07!B19+[4]A30!R20+[4]A30!S20+[4]A30!T20+[4]A30!U20+[4]A30!V20+[4]A30!W20+[4]A30!X20+[4]A30!Y20+[4]A32!B42</f>
        <v>85</v>
      </c>
      <c r="D9" s="4">
        <f t="shared" si="7"/>
        <v>0.16470588235294117</v>
      </c>
      <c r="E9" s="106">
        <f>[5]A07!X19+[5]A07!AB19+[5]A30!B20+[5]A30!C20+[5]A30!D20+[5]A30!E20+[5]A30!F20+[5]A30!G20+[5]A30!H20+[5]A30!I20+[5]A32!Z42+[5]A32!AE42</f>
        <v>10</v>
      </c>
      <c r="F9" s="106">
        <f>[5]A07!B19+[5]A30!R20+[5]A30!S20+[5]A30!T20+[5]A30!U20+[5]A30!V20+[5]A30!W20+[5]A30!X20+[5]A30!Y20+[5]A32!B42</f>
        <v>87</v>
      </c>
      <c r="G9" s="4">
        <f t="shared" si="8"/>
        <v>0.11494252873563218</v>
      </c>
      <c r="H9" s="106">
        <f>[6]A07!X19+[6]A07!AB19+[6]A30!B20+[6]A30!C20+[6]A30!D20+[6]A30!E20+[6]A30!F20+[6]A30!G20+[6]A30!H20+[6]A30!I20+[6]A32!Z42+[6]A32!AE42</f>
        <v>12</v>
      </c>
      <c r="I9" s="106">
        <f>[6]A07!B19+[6]A30!R20+[6]A30!S20+[6]A30!T20+[6]A30!U20+[6]A30!V20+[6]A30!W20+[6]A30!X20+[6]A30!Y20+[6]A32!B42</f>
        <v>80</v>
      </c>
      <c r="J9" s="4">
        <f t="shared" si="9"/>
        <v>0.15</v>
      </c>
      <c r="K9" s="106">
        <f>[7]A07!X19+[7]A07!AB19+[7]A30!B20+[7]A30!C20+[7]A30!D20+[7]A30!E20+[7]A30!F20+[7]A30!G20+[7]A30!H20+[7]A30!I20+[7]A32!Z42+[7]A32!AE42</f>
        <v>11</v>
      </c>
      <c r="L9" s="106">
        <f>[7]A07!B19+[7]A30!R20+[7]A30!S20+[7]A30!T20+[7]A30!U20+[7]A30!V20+[7]A30!W20+[7]A30!X20+[7]A30!Y20+[7]A32!B42</f>
        <v>77</v>
      </c>
      <c r="M9" s="4">
        <f t="shared" si="10"/>
        <v>0.14285714285714285</v>
      </c>
      <c r="N9" s="106">
        <f>[8]A07!X19+[8]A07!AB19+[8]A30!B20+[8]A30!C20+[8]A30!D20+[8]A30!E20+[8]A30!F20+[8]A30!G20+[8]A30!H20+[8]A30!I20+[8]A32!Z42+[8]A32!AE42</f>
        <v>13</v>
      </c>
      <c r="O9" s="106">
        <f>[8]A07!B19+[8]A30!R20+[8]A30!S20+[8]A30!T20+[8]A30!U20+[8]A30!V20+[8]A30!W20+[8]A30!X20+[8]A30!Y20+[8]A32!B42</f>
        <v>74</v>
      </c>
      <c r="P9" s="150">
        <f t="shared" si="0"/>
        <v>0.17567567567567569</v>
      </c>
      <c r="Q9" s="6">
        <f>[15]A07!X19+[15]A07!AB19+[15]A30!B20+[15]A30!C20+[15]A30!D20+[15]A30!E20+[15]A30!F20+[15]A30!G20+[15]A30!H20+[15]A30!I20+[15]A32!Z42+[15]A32!AE42</f>
        <v>15</v>
      </c>
      <c r="R9" s="6">
        <f>[15]A07!B19+[15]A30!R20+[15]A30!S20+[15]A30!T20+[15]A30!U20+[15]A30!V20+[15]A30!W20+[15]A30!X20+[15]A30!Y20+[15]A32!B42</f>
        <v>59</v>
      </c>
      <c r="S9" s="150">
        <f t="shared" si="1"/>
        <v>0.25423728813559321</v>
      </c>
      <c r="T9" s="6">
        <f>[10]A07!X19+[10]A07!AB19+[10]A30!B20+[10]A30!C20+[10]A30!D20+[10]A30!E20+[10]A30!F20+[10]A30!G20+[10]A30!H20+[10]A30!I20+[10]A32!Z42+[10]A32!AE42</f>
        <v>16</v>
      </c>
      <c r="U9" s="6">
        <f>[10]A07!B19+[10]A30!R20+[10]A30!S20+[10]A30!T20+[10]A30!U20+[10]A30!V20+[10]A30!W20+[10]A30!X20+[10]A30!Y20+[10]A32!B42</f>
        <v>72</v>
      </c>
      <c r="V9" s="150">
        <f t="shared" si="2"/>
        <v>0.22222222222222221</v>
      </c>
      <c r="W9" s="6">
        <f>[11]A07!X19+[11]A07!AB19+[11]A30!B20+[11]A30!C20+[11]A30!D20+[11]A30!E20+[11]A30!F20+[11]A30!G20+[11]A30!H20+[11]A30!I20+[11]A32!Z42+[11]A32!AE42</f>
        <v>12</v>
      </c>
      <c r="X9" s="6">
        <f>[11]A07!B19+[11]A30!R20+[11]A30!S20+[11]A30!T20+[11]A30!U20+[11]A30!V20+[11]A30!W20+[11]A30!X20+[11]A30!Y20+[11]A32!B42</f>
        <v>53</v>
      </c>
      <c r="Y9" s="150">
        <f t="shared" si="3"/>
        <v>0.22641509433962265</v>
      </c>
      <c r="Z9" s="6">
        <f>[12]A07!X19+[12]A07!AB19+[12]A30!B20+[12]A30!C20+[12]A30!D20+[12]A30!E20+[12]A30!F20+[12]A30!G20+[12]A30!H20+[12]A30!I20+[12]A32!Z42+[12]A32!AE42</f>
        <v>20</v>
      </c>
      <c r="AA9" s="6">
        <f>[12]A07!B19+[12]A30!R20+[12]A30!S20+[12]A30!T20+[12]A30!U20+[12]A30!V20+[12]A30!W20+[12]A30!X20+[12]A30!Y20+[12]A32!B42</f>
        <v>90</v>
      </c>
      <c r="AB9" s="150">
        <f t="shared" si="4"/>
        <v>0.22222222222222221</v>
      </c>
      <c r="AC9" s="6">
        <f>[13]A07!X19+[13]A07!AB19+[13]A30!B20+[13]A30!C20+[13]A30!D20+[13]A30!E20+[13]A30!F20+[13]A30!G20+[13]A30!H20+[13]A30!I20+[13]A32!Z42+[13]A32!AE42</f>
        <v>17</v>
      </c>
      <c r="AD9" s="6">
        <f>[13]A07!B19+[13]A30!R20+[13]A30!S20+[13]A30!T20+[13]A30!U20+[13]A30!V20+[13]A30!W20+[13]A30!X20+[13]A30!Y20+[13]A32!B42</f>
        <v>55</v>
      </c>
      <c r="AE9" s="150">
        <f t="shared" si="5"/>
        <v>0.30909090909090908</v>
      </c>
      <c r="AF9" s="6">
        <f>[14]A07!X19+[14]A07!AB19+[14]A30!B20+[14]A30!C20+[14]A30!D20+[14]A30!E20+[14]A30!F20+[14]A30!G20+[14]A30!H20+[14]A30!I20+[14]A32!Z42+[14]A32!AE42</f>
        <v>14</v>
      </c>
      <c r="AG9" s="6">
        <f>[14]A07!B19+[14]A30!R20+[14]A30!S20+[14]A30!T20+[14]A30!U20+[14]A30!V20+[14]A30!W20+[14]A30!X20+[14]A30!Y20+[14]A32!B42</f>
        <v>81</v>
      </c>
      <c r="AH9" s="150">
        <f t="shared" si="6"/>
        <v>0.1728395061728395</v>
      </c>
      <c r="AI9" s="6"/>
      <c r="AJ9" s="6"/>
      <c r="AK9" s="4" t="e">
        <f t="shared" si="11"/>
        <v>#DIV/0!</v>
      </c>
      <c r="AL9" s="94">
        <f t="shared" si="12"/>
        <v>60</v>
      </c>
      <c r="AM9" s="94">
        <f t="shared" si="13"/>
        <v>403</v>
      </c>
      <c r="AN9" s="4">
        <f t="shared" si="14"/>
        <v>0.14888337468982629</v>
      </c>
      <c r="AO9" s="109" t="str">
        <f>IF(AN9&gt;25%,"1","0")</f>
        <v>0</v>
      </c>
      <c r="AP9" s="1"/>
      <c r="AQ9" s="1"/>
      <c r="AT9" s="151" t="s">
        <v>173</v>
      </c>
    </row>
    <row r="10" spans="1:46" x14ac:dyDescent="0.15">
      <c r="A10" s="77" t="s">
        <v>95</v>
      </c>
      <c r="B10" s="106">
        <f>[4]A07!X20+[4]A07!AB20+[4]A30!B21+[4]A30!C21+[4]A30!D21+[4]A30!E21+[4]A30!F21+[4]A30!G21+[4]A30!H21+[4]A30!I21+[4]A32!Z43+[4]A32!AE43</f>
        <v>0</v>
      </c>
      <c r="C10" s="106">
        <f>[4]A07!B20+[4]A30!R21+[4]A30!S21+[4]A30!T21+[4]A30!U21+[4]A30!V21+[4]A30!W21+[4]A30!X21+[4]A30!Y21+[4]A32!B43</f>
        <v>0</v>
      </c>
      <c r="D10" s="4" t="str">
        <f t="shared" si="7"/>
        <v/>
      </c>
      <c r="E10" s="106">
        <f>[5]A07!X20+[5]A07!AB20+[5]A30!B21+[5]A30!C21+[5]A30!D21+[5]A30!E21+[5]A30!F21+[5]A30!G21+[5]A30!H21+[5]A30!I21+[5]A32!Z43+[5]A32!AE43</f>
        <v>0</v>
      </c>
      <c r="F10" s="106">
        <f>[5]A07!B20+[5]A30!R21+[5]A30!S21+[5]A30!T21+[5]A30!U21+[5]A30!V21+[5]A30!W21+[5]A30!X21+[5]A30!Y21+[5]A32!B43</f>
        <v>0</v>
      </c>
      <c r="G10" s="4" t="str">
        <f t="shared" si="8"/>
        <v/>
      </c>
      <c r="H10" s="106">
        <f>[6]A07!X20+[6]A07!AB20+[6]A30!B21+[6]A30!C21+[6]A30!D21+[6]A30!E21+[6]A30!F21+[6]A30!G21+[6]A30!H21+[6]A30!I21+[6]A32!Z43+[6]A32!AE43</f>
        <v>0</v>
      </c>
      <c r="I10" s="106">
        <f>[6]A07!B20+[6]A30!R21+[6]A30!S21+[6]A30!T21+[6]A30!U21+[6]A30!V21+[6]A30!W21+[6]A30!X21+[6]A30!Y21+[6]A32!B43</f>
        <v>0</v>
      </c>
      <c r="J10" s="4" t="str">
        <f t="shared" si="9"/>
        <v/>
      </c>
      <c r="K10" s="106">
        <f>[7]A07!X20+[7]A07!AB20+[7]A30!B21+[7]A30!C21+[7]A30!D21+[7]A30!E21+[7]A30!F21+[7]A30!G21+[7]A30!H21+[7]A30!I21+[7]A32!Z43+[7]A32!AE43</f>
        <v>0</v>
      </c>
      <c r="L10" s="106">
        <f>[7]A07!B20+[7]A30!R21+[7]A30!S21+[7]A30!T21+[7]A30!U21+[7]A30!V21+[7]A30!W21+[7]A30!X21+[7]A30!Y21+[7]A32!B43</f>
        <v>0</v>
      </c>
      <c r="M10" s="4" t="str">
        <f t="shared" si="10"/>
        <v/>
      </c>
      <c r="N10" s="106">
        <f>[8]A07!X20+[8]A07!AB20+[8]A30!B21+[8]A30!C21+[8]A30!D21+[8]A30!E21+[8]A30!F21+[8]A30!G21+[8]A30!H21+[8]A30!I21+[8]A32!Z43+[8]A32!AE43</f>
        <v>0</v>
      </c>
      <c r="O10" s="106">
        <f>[8]A07!B20+[8]A30!R21+[8]A30!S21+[8]A30!T21+[8]A30!U21+[8]A30!V21+[8]A30!W21+[8]A30!X21+[8]A30!Y21+[8]A32!B43</f>
        <v>0</v>
      </c>
      <c r="P10" s="150" t="e">
        <f t="shared" si="0"/>
        <v>#DIV/0!</v>
      </c>
      <c r="Q10" s="6">
        <f>[15]A07!X20+[15]A07!AB20+[15]A30!B21+[15]A30!C21+[15]A30!D21+[15]A30!E21+[15]A30!F21+[15]A30!G21+[15]A30!H21+[15]A30!I21+[15]A32!Z43+[15]A32!AE43</f>
        <v>0</v>
      </c>
      <c r="R10" s="6">
        <f>[15]A07!B20+[15]A30!R21+[15]A30!S21+[15]A30!T21+[15]A30!U21+[15]A30!V21+[15]A30!W21+[15]A30!X21+[15]A30!Y21+[15]A32!B43</f>
        <v>0</v>
      </c>
      <c r="S10" s="150" t="e">
        <f t="shared" si="1"/>
        <v>#DIV/0!</v>
      </c>
      <c r="T10" s="6">
        <f>[10]A07!X20+[10]A07!AB20+[10]A30!B21+[10]A30!C21+[10]A30!D21+[10]A30!E21+[10]A30!F21+[10]A30!G21+[10]A30!H21+[10]A30!I21+[10]A32!Z43+[10]A32!AE43</f>
        <v>0</v>
      </c>
      <c r="U10" s="6">
        <f>[10]A07!B20+[10]A30!R21+[10]A30!S21+[10]A30!T21+[10]A30!U21+[10]A30!V21+[10]A30!W21+[10]A30!X21+[10]A30!Y21+[10]A32!B43</f>
        <v>0</v>
      </c>
      <c r="V10" s="150" t="e">
        <f t="shared" si="2"/>
        <v>#DIV/0!</v>
      </c>
      <c r="W10" s="6">
        <f>[11]A07!X20+[11]A07!AB20+[11]A30!B21+[11]A30!C21+[11]A30!D21+[11]A30!E21+[11]A30!F21+[11]A30!G21+[11]A30!H21+[11]A30!I21+[11]A32!Z43+[11]A32!AE43</f>
        <v>0</v>
      </c>
      <c r="X10" s="6">
        <f>[11]A07!B20+[11]A30!R21+[11]A30!S21+[11]A30!T21+[11]A30!U21+[11]A30!V21+[11]A30!W21+[11]A30!X21+[11]A30!Y21+[11]A32!B43</f>
        <v>0</v>
      </c>
      <c r="Y10" s="150" t="e">
        <f t="shared" si="3"/>
        <v>#DIV/0!</v>
      </c>
      <c r="Z10" s="6">
        <f>[12]A07!X20+[12]A07!AB20+[12]A30!B21+[12]A30!C21+[12]A30!D21+[12]A30!E21+[12]A30!F21+[12]A30!G21+[12]A30!H21+[12]A30!I21+[12]A32!Z43+[12]A32!AE43</f>
        <v>0</v>
      </c>
      <c r="AA10" s="6">
        <f>[12]A07!B20+[12]A30!R21+[12]A30!S21+[12]A30!T21+[12]A30!U21+[12]A30!V21+[12]A30!W21+[12]A30!X21+[12]A30!Y21+[12]A32!B43</f>
        <v>0</v>
      </c>
      <c r="AB10" s="150" t="e">
        <f t="shared" si="4"/>
        <v>#DIV/0!</v>
      </c>
      <c r="AC10" s="6">
        <f>[13]A07!X20+[13]A07!AB20+[13]A30!B21+[13]A30!C21+[13]A30!D21+[13]A30!E21+[13]A30!F21+[13]A30!G21+[13]A30!H21+[13]A30!I21+[13]A32!Z43+[13]A32!AE43</f>
        <v>0</v>
      </c>
      <c r="AD10" s="6">
        <f>[13]A07!B20+[13]A30!R21+[13]A30!S21+[13]A30!T21+[13]A30!U21+[13]A30!V21+[13]A30!W21+[13]A30!X21+[13]A30!Y21+[13]A32!B43</f>
        <v>0</v>
      </c>
      <c r="AE10" s="150" t="e">
        <f t="shared" si="5"/>
        <v>#DIV/0!</v>
      </c>
      <c r="AF10" s="6">
        <f>[14]A07!X20+[14]A07!AB20+[14]A30!B21+[14]A30!C21+[14]A30!D21+[14]A30!E21+[14]A30!F21+[14]A30!G21+[14]A30!H21+[14]A30!I21+[14]A32!Z43+[14]A32!AE43</f>
        <v>0</v>
      </c>
      <c r="AG10" s="6">
        <f>[14]A07!B20+[14]A30!R21+[14]A30!S21+[14]A30!T21+[14]A30!U21+[14]A30!V21+[14]A30!W21+[14]A30!X21+[14]A30!Y21+[14]A32!B43</f>
        <v>0</v>
      </c>
      <c r="AH10" s="150" t="e">
        <f t="shared" si="6"/>
        <v>#DIV/0!</v>
      </c>
      <c r="AI10" s="6"/>
      <c r="AJ10" s="6"/>
      <c r="AK10" s="4" t="e">
        <f t="shared" si="11"/>
        <v>#DIV/0!</v>
      </c>
      <c r="AL10" s="94">
        <f t="shared" si="12"/>
        <v>0</v>
      </c>
      <c r="AM10" s="94">
        <f t="shared" si="13"/>
        <v>0</v>
      </c>
      <c r="AN10" s="4" t="str">
        <f t="shared" si="14"/>
        <v/>
      </c>
      <c r="AO10" s="1"/>
      <c r="AT10" s="1"/>
    </row>
    <row r="11" spans="1:46" x14ac:dyDescent="0.15">
      <c r="A11" s="77" t="s">
        <v>96</v>
      </c>
      <c r="B11" s="106">
        <f>[4]A07!X21+[4]A07!AB21+[4]A30!B22+[4]A30!C22+[4]A30!D22+[4]A30!E22+[4]A30!F22+[4]A30!G22+[4]A30!H22+[4]A30!I22+[4]A32!Z44+[4]A32!AE44</f>
        <v>0</v>
      </c>
      <c r="C11" s="106">
        <f>[4]A07!B21+[4]A30!R22+[4]A30!S22+[4]A30!T22+[4]A30!U22+[4]A30!V22+[4]A30!W22+[4]A30!X22+[4]A30!Y22+[4]A32!B44</f>
        <v>0</v>
      </c>
      <c r="D11" s="4" t="str">
        <f t="shared" si="7"/>
        <v/>
      </c>
      <c r="E11" s="106">
        <f>[5]A07!X21+[5]A07!AB21+[5]A30!B22+[5]A30!C22+[5]A30!D22+[5]A30!E22+[5]A30!F22+[5]A30!G22+[5]A30!H22+[5]A30!I22+[5]A32!Z44+[5]A32!AE44</f>
        <v>0</v>
      </c>
      <c r="F11" s="106">
        <f>[5]A07!B21+[5]A30!R22+[5]A30!S22+[5]A30!T22+[5]A30!U22+[5]A30!V22+[5]A30!W22+[5]A30!X22+[5]A30!Y22+[5]A32!B44</f>
        <v>0</v>
      </c>
      <c r="G11" s="4" t="str">
        <f t="shared" si="8"/>
        <v/>
      </c>
      <c r="H11" s="106">
        <f>[6]A07!X21+[6]A07!AB21+[6]A30!B22+[6]A30!C22+[6]A30!D22+[6]A30!E22+[6]A30!F22+[6]A30!G22+[6]A30!H22+[6]A30!I22+[6]A32!Z44+[6]A32!AE44</f>
        <v>0</v>
      </c>
      <c r="I11" s="106">
        <f>[6]A07!B21+[6]A30!R22+[6]A30!S22+[6]A30!T22+[6]A30!U22+[6]A30!V22+[6]A30!W22+[6]A30!X22+[6]A30!Y22+[6]A32!B44</f>
        <v>0</v>
      </c>
      <c r="J11" s="4" t="str">
        <f t="shared" si="9"/>
        <v/>
      </c>
      <c r="K11" s="106">
        <f>[7]A07!X21+[7]A07!AB21+[7]A30!B22+[7]A30!C22+[7]A30!D22+[7]A30!E22+[7]A30!F22+[7]A30!G22+[7]A30!H22+[7]A30!I22+[7]A32!Z44+[7]A32!AE44</f>
        <v>0</v>
      </c>
      <c r="L11" s="106">
        <f>[7]A07!B21+[7]A30!R22+[7]A30!S22+[7]A30!T22+[7]A30!U22+[7]A30!V22+[7]A30!W22+[7]A30!X22+[7]A30!Y22+[7]A32!B44</f>
        <v>0</v>
      </c>
      <c r="M11" s="4" t="str">
        <f t="shared" si="10"/>
        <v/>
      </c>
      <c r="N11" s="106">
        <f>[8]A07!X21+[8]A07!AB21+[8]A30!B22+[8]A30!C22+[8]A30!D22+[8]A30!E22+[8]A30!F22+[8]A30!G22+[8]A30!H22+[8]A30!I22+[8]A32!Z44+[8]A32!AE44</f>
        <v>0</v>
      </c>
      <c r="O11" s="106">
        <f>[8]A07!B21+[8]A30!R22+[8]A30!S22+[8]A30!T22+[8]A30!U22+[8]A30!V22+[8]A30!W22+[8]A30!X22+[8]A30!Y22+[8]A32!B44</f>
        <v>0</v>
      </c>
      <c r="P11" s="150" t="e">
        <f t="shared" si="0"/>
        <v>#DIV/0!</v>
      </c>
      <c r="Q11" s="6">
        <f>[15]A07!X21+[15]A07!AB21+[15]A30!B22+[15]A30!C22+[15]A30!D22+[15]A30!E22+[15]A30!F22+[15]A30!G22+[15]A30!H22+[15]A30!I22+[15]A32!Z44+[15]A32!AE44</f>
        <v>0</v>
      </c>
      <c r="R11" s="6">
        <f>[15]A07!B21+[15]A30!R22+[15]A30!S22+[15]A30!T22+[15]A30!U22+[15]A30!V22+[15]A30!W22+[15]A30!X22+[15]A30!Y22+[15]A32!B44</f>
        <v>0</v>
      </c>
      <c r="S11" s="150" t="e">
        <f t="shared" si="1"/>
        <v>#DIV/0!</v>
      </c>
      <c r="T11" s="6">
        <f>[10]A07!X21+[10]A07!AB21+[10]A30!B22+[10]A30!C22+[10]A30!D22+[10]A30!E22+[10]A30!F22+[10]A30!G22+[10]A30!H22+[10]A30!I22+[10]A32!Z44+[10]A32!AE44</f>
        <v>0</v>
      </c>
      <c r="U11" s="6">
        <f>[10]A07!B21+[10]A30!R22+[10]A30!S22+[10]A30!T22+[10]A30!U22+[10]A30!V22+[10]A30!W22+[10]A30!X22+[10]A30!Y22+[10]A32!B44</f>
        <v>0</v>
      </c>
      <c r="V11" s="150" t="e">
        <f t="shared" si="2"/>
        <v>#DIV/0!</v>
      </c>
      <c r="W11" s="6">
        <f>[11]A07!X21+[11]A07!AB21+[11]A30!B22+[11]A30!C22+[11]A30!D22+[11]A30!E22+[11]A30!F22+[11]A30!G22+[11]A30!H22+[11]A30!I22+[11]A32!Z44+[11]A32!AE44</f>
        <v>0</v>
      </c>
      <c r="X11" s="6">
        <f>[11]A07!B21+[11]A30!R22+[11]A30!S22+[11]A30!T22+[11]A30!U22+[11]A30!V22+[11]A30!W22+[11]A30!X22+[11]A30!Y22+[11]A32!B44</f>
        <v>0</v>
      </c>
      <c r="Y11" s="150" t="e">
        <f t="shared" si="3"/>
        <v>#DIV/0!</v>
      </c>
      <c r="Z11" s="6">
        <f>[12]A07!X21+[12]A07!AB21+[12]A30!B22+[12]A30!C22+[12]A30!D22+[12]A30!E22+[12]A30!F22+[12]A30!G22+[12]A30!H22+[12]A30!I22+[12]A32!Z44+[12]A32!AE44</f>
        <v>0</v>
      </c>
      <c r="AA11" s="6">
        <f>[12]A07!B21+[12]A30!R22+[12]A30!S22+[12]A30!T22+[12]A30!U22+[12]A30!V22+[12]A30!W22+[12]A30!X22+[12]A30!Y22+[12]A32!B44</f>
        <v>0</v>
      </c>
      <c r="AB11" s="150" t="e">
        <f t="shared" si="4"/>
        <v>#DIV/0!</v>
      </c>
      <c r="AC11" s="6">
        <f>[13]A07!X21+[13]A07!AB21+[13]A30!B22+[13]A30!C22+[13]A30!D22+[13]A30!E22+[13]A30!F22+[13]A30!G22+[13]A30!H22+[13]A30!I22+[13]A32!Z44+[13]A32!AE44</f>
        <v>0</v>
      </c>
      <c r="AD11" s="6">
        <f>[13]A07!B21+[13]A30!R22+[13]A30!S22+[13]A30!T22+[13]A30!U22+[13]A30!V22+[13]A30!W22+[13]A30!X22+[13]A30!Y22+[13]A32!B44</f>
        <v>0</v>
      </c>
      <c r="AE11" s="150" t="e">
        <f t="shared" si="5"/>
        <v>#DIV/0!</v>
      </c>
      <c r="AF11" s="6">
        <f>[14]A07!X21+[14]A07!AB21+[14]A30!B22+[14]A30!C22+[14]A30!D22+[14]A30!E22+[14]A30!F22+[14]A30!G22+[14]A30!H22+[14]A30!I22+[14]A32!Z44+[14]A32!AE44</f>
        <v>0</v>
      </c>
      <c r="AG11" s="6">
        <f>[14]A07!B21+[14]A30!R22+[14]A30!S22+[14]A30!T22+[14]A30!U22+[14]A30!V22+[14]A30!W22+[14]A30!X22+[14]A30!Y22+[14]A32!B44</f>
        <v>0</v>
      </c>
      <c r="AH11" s="150" t="e">
        <f t="shared" si="6"/>
        <v>#DIV/0!</v>
      </c>
      <c r="AI11" s="6"/>
      <c r="AJ11" s="6"/>
      <c r="AK11" s="4" t="e">
        <f t="shared" si="11"/>
        <v>#DIV/0!</v>
      </c>
      <c r="AL11" s="94">
        <f t="shared" si="12"/>
        <v>0</v>
      </c>
      <c r="AM11" s="94">
        <f t="shared" si="13"/>
        <v>0</v>
      </c>
      <c r="AN11" s="4" t="str">
        <f t="shared" si="14"/>
        <v/>
      </c>
      <c r="AO11" s="1"/>
      <c r="AT11" s="1"/>
    </row>
    <row r="12" spans="1:46" x14ac:dyDescent="0.15">
      <c r="A12" s="77" t="s">
        <v>97</v>
      </c>
      <c r="B12" s="106">
        <f>[4]A07!X22+[4]A07!AB22+[4]A30!B23+[4]A30!C23+[4]A30!D23+[4]A30!E23+[4]A30!F23+[4]A30!G23+[4]A30!H23+[4]A30!I23+[4]A32!Z45+[4]A32!AE45</f>
        <v>3</v>
      </c>
      <c r="C12" s="106">
        <f>[4]A07!B22+[4]A30!R23+[4]A30!S23+[4]A30!T23+[4]A30!U23+[4]A30!V23+[4]A30!W23+[4]A30!X23+[4]A30!Y23+[4]A32!B45</f>
        <v>8</v>
      </c>
      <c r="D12" s="4">
        <f t="shared" si="7"/>
        <v>0.375</v>
      </c>
      <c r="E12" s="106">
        <f>[5]A07!X22+[5]A07!AB22+[5]A30!B23+[5]A30!C23+[5]A30!D23+[5]A30!E23+[5]A30!F23+[5]A30!G23+[5]A30!H23+[5]A30!I23+[5]A32!Z45+[5]A32!AE45</f>
        <v>0</v>
      </c>
      <c r="F12" s="106">
        <f>[5]A07!B22+[5]A30!R23+[5]A30!S23+[5]A30!T23+[5]A30!U23+[5]A30!V23+[5]A30!W23+[5]A30!X23+[5]A30!Y23+[5]A32!B45</f>
        <v>0</v>
      </c>
      <c r="G12" s="4" t="str">
        <f t="shared" si="8"/>
        <v/>
      </c>
      <c r="H12" s="106">
        <f>[6]A07!X22+[6]A07!AB22+[6]A30!B23+[6]A30!C23+[6]A30!D23+[6]A30!E23+[6]A30!F23+[6]A30!G23+[6]A30!H23+[6]A30!I23+[6]A32!Z45+[6]A32!AE45</f>
        <v>22</v>
      </c>
      <c r="I12" s="106">
        <f>[6]A07!B22+[6]A30!R23+[6]A30!S23+[6]A30!T23+[6]A30!U23+[6]A30!V23+[6]A30!W23+[6]A30!X23+[6]A30!Y23+[6]A32!B45</f>
        <v>44</v>
      </c>
      <c r="J12" s="4">
        <f t="shared" si="9"/>
        <v>0.5</v>
      </c>
      <c r="K12" s="106">
        <f>[7]A07!X22+[7]A07!AB22+[7]A30!B23+[7]A30!C23+[7]A30!D23+[7]A30!E23+[7]A30!F23+[7]A30!G23+[7]A30!H23+[7]A30!I23+[7]A32!Z45+[7]A32!AE45</f>
        <v>24</v>
      </c>
      <c r="L12" s="106">
        <f>[7]A07!B22+[7]A30!R23+[7]A30!S23+[7]A30!T23+[7]A30!U23+[7]A30!V23+[7]A30!W23+[7]A30!X23+[7]A30!Y23+[7]A32!B45</f>
        <v>40</v>
      </c>
      <c r="M12" s="4">
        <f t="shared" si="10"/>
        <v>0.6</v>
      </c>
      <c r="N12" s="106">
        <f>[8]A07!X22+[8]A07!AB22+[8]A30!B23+[8]A30!C23+[8]A30!D23+[8]A30!E23+[8]A30!F23+[8]A30!G23+[8]A30!H23+[8]A30!I23+[8]A32!Z45+[8]A32!AE45</f>
        <v>14</v>
      </c>
      <c r="O12" s="106">
        <f>[8]A07!B22+[8]A30!R23+[8]A30!S23+[8]A30!T23+[8]A30!U23+[8]A30!V23+[8]A30!W23+[8]A30!X23+[8]A30!Y23+[8]A32!B45</f>
        <v>23</v>
      </c>
      <c r="P12" s="150">
        <f t="shared" si="0"/>
        <v>0.60869565217391308</v>
      </c>
      <c r="Q12" s="6">
        <f>[15]A07!X22+[15]A07!AB22+[15]A30!B23+[15]A30!C23+[15]A30!D23+[15]A30!E23+[15]A30!F23+[15]A30!G23+[15]A30!H23+[15]A30!I23+[15]A32!Z45+[15]A32!AE45</f>
        <v>5</v>
      </c>
      <c r="R12" s="6">
        <f>[15]A07!B22+[15]A30!R23+[15]A30!S23+[15]A30!T23+[15]A30!U23+[15]A30!V23+[15]A30!W23+[15]A30!X23+[15]A30!Y23+[15]A32!B45</f>
        <v>17</v>
      </c>
      <c r="S12" s="150">
        <f t="shared" si="1"/>
        <v>0.29411764705882354</v>
      </c>
      <c r="T12" s="6">
        <f>[10]A07!X22+[10]A07!AB22+[10]A30!B23+[10]A30!C23+[10]A30!D23+[10]A30!E23+[10]A30!F23+[10]A30!G23+[10]A30!H23+[10]A30!I23+[10]A32!Z45+[10]A32!AE45</f>
        <v>6</v>
      </c>
      <c r="U12" s="6">
        <f>[10]A07!B22+[10]A30!R23+[10]A30!S23+[10]A30!T23+[10]A30!U23+[10]A30!V23+[10]A30!W23+[10]A30!X23+[10]A30!Y23+[10]A32!B45</f>
        <v>23</v>
      </c>
      <c r="V12" s="150">
        <f t="shared" si="2"/>
        <v>0.2608695652173913</v>
      </c>
      <c r="W12" s="6">
        <f>[11]A07!X22+[11]A07!AB22+[11]A30!B23+[11]A30!C23+[11]A30!D23+[11]A30!E23+[11]A30!F23+[11]A30!G23+[11]A30!H23+[11]A30!I23+[11]A32!Z45+[11]A32!AE45</f>
        <v>12</v>
      </c>
      <c r="X12" s="6">
        <f>[11]A07!B22+[11]A30!R23+[11]A30!S23+[11]A30!T23+[11]A30!U23+[11]A30!V23+[11]A30!W23+[11]A30!X23+[11]A30!Y23+[11]A32!B45</f>
        <v>56</v>
      </c>
      <c r="Y12" s="150">
        <f t="shared" si="3"/>
        <v>0.21428571428571427</v>
      </c>
      <c r="Z12" s="6">
        <f>[12]A07!X22+[12]A07!AB22+[12]A30!B23+[12]A30!C23+[12]A30!D23+[12]A30!E23+[12]A30!F23+[12]A30!G23+[12]A30!H23+[12]A30!I23+[12]A32!Z45+[12]A32!AE45</f>
        <v>4</v>
      </c>
      <c r="AA12" s="6">
        <f>[12]A07!B22+[12]A30!R23+[12]A30!S23+[12]A30!T23+[12]A30!U23+[12]A30!V23+[12]A30!W23+[12]A30!X23+[12]A30!Y23+[12]A32!B45</f>
        <v>50</v>
      </c>
      <c r="AB12" s="150">
        <f t="shared" si="4"/>
        <v>0.08</v>
      </c>
      <c r="AC12" s="6">
        <f>[13]A07!X22+[13]A07!AB22+[13]A30!B23+[13]A30!C23+[13]A30!D23+[13]A30!E23+[13]A30!F23+[13]A30!G23+[13]A30!H23+[13]A30!I23+[13]A32!Z45+[13]A32!AE45</f>
        <v>3</v>
      </c>
      <c r="AD12" s="6">
        <f>[13]A07!B22+[13]A30!R23+[13]A30!S23+[13]A30!T23+[13]A30!U23+[13]A30!V23+[13]A30!W23+[13]A30!X23+[13]A30!Y23+[13]A32!B45</f>
        <v>44</v>
      </c>
      <c r="AE12" s="150">
        <f t="shared" si="5"/>
        <v>6.8181818181818177E-2</v>
      </c>
      <c r="AF12" s="6">
        <f>[14]A07!X22+[14]A07!AB22+[14]A30!B23+[14]A30!C23+[14]A30!D23+[14]A30!E23+[14]A30!F23+[14]A30!G23+[14]A30!H23+[14]A30!I23+[14]A32!Z45+[14]A32!AE45</f>
        <v>10</v>
      </c>
      <c r="AG12" s="6">
        <f>[14]A07!B22+[14]A30!R23+[14]A30!S23+[14]A30!T23+[14]A30!U23+[14]A30!V23+[14]A30!W23+[14]A30!X23+[14]A30!Y23+[14]A32!B45</f>
        <v>49</v>
      </c>
      <c r="AH12" s="150">
        <f t="shared" si="6"/>
        <v>0.20408163265306123</v>
      </c>
      <c r="AI12" s="6"/>
      <c r="AJ12" s="6"/>
      <c r="AK12" s="4" t="e">
        <f t="shared" si="11"/>
        <v>#DIV/0!</v>
      </c>
      <c r="AL12" s="94">
        <f t="shared" si="12"/>
        <v>63</v>
      </c>
      <c r="AM12" s="94">
        <f t="shared" si="13"/>
        <v>115</v>
      </c>
      <c r="AN12" s="4">
        <f t="shared" si="14"/>
        <v>0.54782608695652169</v>
      </c>
      <c r="AO12" s="109" t="str">
        <f t="shared" si="15"/>
        <v>1</v>
      </c>
      <c r="AT12" s="151" t="s">
        <v>175</v>
      </c>
    </row>
    <row r="13" spans="1:46" x14ac:dyDescent="0.15">
      <c r="A13" s="77" t="s">
        <v>98</v>
      </c>
      <c r="B13" s="106">
        <f>[4]A07!X23+[4]A07!AB23+[4]A30!B24+[4]A30!C24+[4]A30!D24+[4]A30!E24+[4]A30!F24+[4]A30!G24+[4]A30!H24+[4]A30!I24+[4]A32!Z46+[4]A32!AE46</f>
        <v>0</v>
      </c>
      <c r="C13" s="106">
        <f>[4]A07!B23+[4]A30!R24+[4]A30!S24+[4]A30!T24+[4]A30!U24+[4]A30!V24+[4]A30!W24+[4]A30!X24+[4]A30!Y24+[4]A32!B46</f>
        <v>0</v>
      </c>
      <c r="D13" s="4" t="str">
        <f t="shared" si="7"/>
        <v/>
      </c>
      <c r="E13" s="106">
        <f>[5]A07!X23+[5]A07!AB23+[5]A30!B24+[5]A30!C24+[5]A30!D24+[5]A30!E24+[5]A30!F24+[5]A30!G24+[5]A30!H24+[5]A30!I24+[5]A32!Z46+[5]A32!AE46</f>
        <v>0</v>
      </c>
      <c r="F13" s="106">
        <f>[5]A07!B23+[5]A30!R24+[5]A30!S24+[5]A30!T24+[5]A30!U24+[5]A30!V24+[5]A30!W24+[5]A30!X24+[5]A30!Y24+[5]A32!B46</f>
        <v>0</v>
      </c>
      <c r="G13" s="4" t="str">
        <f t="shared" si="8"/>
        <v/>
      </c>
      <c r="H13" s="106">
        <f>[6]A07!X23+[6]A07!AB23+[6]A30!B24+[6]A30!C24+[6]A30!D24+[6]A30!E24+[6]A30!F24+[6]A30!G24+[6]A30!H24+[6]A30!I24+[6]A32!Z46+[6]A32!AE46</f>
        <v>0</v>
      </c>
      <c r="I13" s="106">
        <f>[6]A07!B23+[6]A30!R24+[6]A30!S24+[6]A30!T24+[6]A30!U24+[6]A30!V24+[6]A30!W24+[6]A30!X24+[6]A30!Y24+[6]A32!B46</f>
        <v>0</v>
      </c>
      <c r="J13" s="4" t="str">
        <f t="shared" si="9"/>
        <v/>
      </c>
      <c r="K13" s="106">
        <f>[7]A07!X23+[7]A07!AB23+[7]A30!B24+[7]A30!C24+[7]A30!D24+[7]A30!E24+[7]A30!F24+[7]A30!G24+[7]A30!H24+[7]A30!I24+[7]A32!Z46+[7]A32!AE46</f>
        <v>0</v>
      </c>
      <c r="L13" s="106">
        <f>[7]A07!B23+[7]A30!R24+[7]A30!S24+[7]A30!T24+[7]A30!U24+[7]A30!V24+[7]A30!W24+[7]A30!X24+[7]A30!Y24+[7]A32!B46</f>
        <v>0</v>
      </c>
      <c r="M13" s="4" t="str">
        <f t="shared" si="10"/>
        <v/>
      </c>
      <c r="N13" s="106">
        <f>[8]A07!X23+[8]A07!AB23+[8]A30!B24+[8]A30!C24+[8]A30!D24+[8]A30!E24+[8]A30!F24+[8]A30!G24+[8]A30!H24+[8]A30!I24+[8]A32!Z46+[8]A32!AE46</f>
        <v>0</v>
      </c>
      <c r="O13" s="106">
        <f>[8]A07!B23+[8]A30!R24+[8]A30!S24+[8]A30!T24+[8]A30!U24+[8]A30!V24+[8]A30!W24+[8]A30!X24+[8]A30!Y24+[8]A32!B46</f>
        <v>0</v>
      </c>
      <c r="P13" s="150" t="e">
        <f t="shared" si="0"/>
        <v>#DIV/0!</v>
      </c>
      <c r="Q13" s="6">
        <f>[15]A07!X23+[15]A07!AB23+[15]A30!B24+[15]A30!C24+[15]A30!D24+[15]A30!E24+[15]A30!F24+[15]A30!G24+[15]A30!H24+[15]A30!I24+[15]A32!Z46+[15]A32!AE46</f>
        <v>0</v>
      </c>
      <c r="R13" s="6">
        <f>[15]A07!B23+[15]A30!R24+[15]A30!S24+[15]A30!T24+[15]A30!U24+[15]A30!V24+[15]A30!W24+[15]A30!X24+[15]A30!Y24+[15]A32!B46</f>
        <v>0</v>
      </c>
      <c r="S13" s="150" t="e">
        <f t="shared" si="1"/>
        <v>#DIV/0!</v>
      </c>
      <c r="T13" s="6">
        <f>[10]A07!X23+[10]A07!AB23+[10]A30!B24+[10]A30!C24+[10]A30!D24+[10]A30!E24+[10]A30!F24+[10]A30!G24+[10]A30!H24+[10]A30!I24+[10]A32!Z46+[10]A32!AE46</f>
        <v>0</v>
      </c>
      <c r="U13" s="6">
        <f>[10]A07!B23+[10]A30!R24+[10]A30!S24+[10]A30!T24+[10]A30!U24+[10]A30!V24+[10]A30!W24+[10]A30!X24+[10]A30!Y24+[10]A32!B46</f>
        <v>0</v>
      </c>
      <c r="V13" s="150" t="e">
        <f t="shared" si="2"/>
        <v>#DIV/0!</v>
      </c>
      <c r="W13" s="6">
        <f>[11]A07!X23+[11]A07!AB23+[11]A30!B24+[11]A30!C24+[11]A30!D24+[11]A30!E24+[11]A30!F24+[11]A30!G24+[11]A30!H24+[11]A30!I24+[11]A32!Z46+[11]A32!AE46</f>
        <v>0</v>
      </c>
      <c r="X13" s="6">
        <f>[11]A07!B23+[11]A30!R24+[11]A30!S24+[11]A30!T24+[11]A30!U24+[11]A30!V24+[11]A30!W24+[11]A30!X24+[11]A30!Y24+[11]A32!B46</f>
        <v>0</v>
      </c>
      <c r="Y13" s="150" t="e">
        <f t="shared" si="3"/>
        <v>#DIV/0!</v>
      </c>
      <c r="Z13" s="6">
        <f>[12]A07!X23+[12]A07!AB23+[12]A30!B24+[12]A30!C24+[12]A30!D24+[12]A30!E24+[12]A30!F24+[12]A30!G24+[12]A30!H24+[12]A30!I24+[12]A32!Z46+[12]A32!AE46</f>
        <v>0</v>
      </c>
      <c r="AA13" s="6">
        <f>[12]A07!B23+[12]A30!R24+[12]A30!S24+[12]A30!T24+[12]A30!U24+[12]A30!V24+[12]A30!W24+[12]A30!X24+[12]A30!Y24+[12]A32!B46</f>
        <v>0</v>
      </c>
      <c r="AB13" s="150" t="e">
        <f t="shared" si="4"/>
        <v>#DIV/0!</v>
      </c>
      <c r="AC13" s="6">
        <f>[13]A07!X23+[13]A07!AB23+[13]A30!B24+[13]A30!C24+[13]A30!D24+[13]A30!E24+[13]A30!F24+[13]A30!G24+[13]A30!H24+[13]A30!I24+[13]A32!Z46+[13]A32!AE46</f>
        <v>0</v>
      </c>
      <c r="AD13" s="6">
        <f>[13]A07!B23+[13]A30!R24+[13]A30!S24+[13]A30!T24+[13]A30!U24+[13]A30!V24+[13]A30!W24+[13]A30!X24+[13]A30!Y24+[13]A32!B46</f>
        <v>0</v>
      </c>
      <c r="AE13" s="150" t="e">
        <f t="shared" si="5"/>
        <v>#DIV/0!</v>
      </c>
      <c r="AF13" s="6">
        <f>[14]A07!X23+[14]A07!AB23+[14]A30!B24+[14]A30!C24+[14]A30!D24+[14]A30!E24+[14]A30!F24+[14]A30!G24+[14]A30!H24+[14]A30!I24+[14]A32!Z46+[14]A32!AE46</f>
        <v>0</v>
      </c>
      <c r="AG13" s="6">
        <f>[14]A07!B23+[14]A30!R24+[14]A30!S24+[14]A30!T24+[14]A30!U24+[14]A30!V24+[14]A30!W24+[14]A30!X24+[14]A30!Y24+[14]A32!B46</f>
        <v>0</v>
      </c>
      <c r="AH13" s="150" t="e">
        <f t="shared" si="6"/>
        <v>#DIV/0!</v>
      </c>
      <c r="AI13" s="6"/>
      <c r="AJ13" s="6"/>
      <c r="AK13" s="4" t="e">
        <f t="shared" si="11"/>
        <v>#DIV/0!</v>
      </c>
      <c r="AL13" s="94">
        <f t="shared" si="12"/>
        <v>0</v>
      </c>
      <c r="AM13" s="94">
        <f t="shared" si="13"/>
        <v>0</v>
      </c>
      <c r="AN13" s="4" t="str">
        <f t="shared" si="14"/>
        <v/>
      </c>
      <c r="AO13" s="1"/>
      <c r="AT13" s="1"/>
    </row>
    <row r="14" spans="1:46" x14ac:dyDescent="0.15">
      <c r="A14" s="77" t="s">
        <v>99</v>
      </c>
      <c r="B14" s="106">
        <f>[4]A07!X24+[4]A07!AB24+[4]A30!B25+[4]A30!C25+[4]A30!D25+[4]A30!E25+[4]A30!F25+[4]A30!G25+[4]A30!H25+[4]A30!I25+[4]A32!Z47+[4]A32!AE47</f>
        <v>0</v>
      </c>
      <c r="C14" s="106">
        <f>[4]A07!B24+[4]A30!R25+[4]A30!S25+[4]A30!T25+[4]A30!U25+[4]A30!V25+[4]A30!W25+[4]A30!X25+[4]A30!Y25+[4]A32!B47</f>
        <v>0</v>
      </c>
      <c r="D14" s="4" t="str">
        <f t="shared" si="7"/>
        <v/>
      </c>
      <c r="E14" s="106">
        <f>[5]A07!X24+[5]A07!AB24+[5]A30!B25+[5]A30!C25+[5]A30!D25+[5]A30!E25+[5]A30!F25+[5]A30!G25+[5]A30!H25+[5]A30!I25+[5]A32!Z47+[5]A32!AE47</f>
        <v>0</v>
      </c>
      <c r="F14" s="106">
        <f>[5]A07!B24+[5]A30!R25+[5]A30!S25+[5]A30!T25+[5]A30!U25+[5]A30!V25+[5]A30!W25+[5]A30!X25+[5]A30!Y25+[5]A32!B47</f>
        <v>0</v>
      </c>
      <c r="G14" s="4" t="str">
        <f t="shared" si="8"/>
        <v/>
      </c>
      <c r="H14" s="106">
        <f>[6]A07!X24+[6]A07!AB24+[6]A30!B25+[6]A30!C25+[6]A30!D25+[6]A30!E25+[6]A30!F25+[6]A30!G25+[6]A30!H25+[6]A30!I25+[6]A32!Z47+[6]A32!AE47</f>
        <v>0</v>
      </c>
      <c r="I14" s="106">
        <f>[6]A07!B24+[6]A30!R25+[6]A30!S25+[6]A30!T25+[6]A30!U25+[6]A30!V25+[6]A30!W25+[6]A30!X25+[6]A30!Y25+[6]A32!B47</f>
        <v>0</v>
      </c>
      <c r="J14" s="4" t="str">
        <f t="shared" si="9"/>
        <v/>
      </c>
      <c r="K14" s="106">
        <f>[7]A07!X24+[7]A07!AB24+[7]A30!B25+[7]A30!C25+[7]A30!D25+[7]A30!E25+[7]A30!F25+[7]A30!G25+[7]A30!H25+[7]A30!I25+[7]A32!Z47+[7]A32!AE47</f>
        <v>0</v>
      </c>
      <c r="L14" s="106">
        <f>[7]A07!B24+[7]A30!R25+[7]A30!S25+[7]A30!T25+[7]A30!U25+[7]A30!V25+[7]A30!W25+[7]A30!X25+[7]A30!Y25+[7]A32!B47</f>
        <v>0</v>
      </c>
      <c r="M14" s="4" t="str">
        <f t="shared" si="10"/>
        <v/>
      </c>
      <c r="N14" s="106">
        <f>[8]A07!X24+[8]A07!AB24+[8]A30!B25+[8]A30!C25+[8]A30!D25+[8]A30!E25+[8]A30!F25+[8]A30!G25+[8]A30!H25+[8]A30!I25+[8]A32!Z47+[8]A32!AE47</f>
        <v>0</v>
      </c>
      <c r="O14" s="106">
        <f>[8]A07!B24+[8]A30!R25+[8]A30!S25+[8]A30!T25+[8]A30!U25+[8]A30!V25+[8]A30!W25+[8]A30!X25+[8]A30!Y25+[8]A32!B47</f>
        <v>0</v>
      </c>
      <c r="P14" s="150" t="e">
        <f t="shared" si="0"/>
        <v>#DIV/0!</v>
      </c>
      <c r="Q14" s="6">
        <f>[15]A07!X24+[15]A07!AB24+[15]A30!B25+[15]A30!C25+[15]A30!D25+[15]A30!E25+[15]A30!F25+[15]A30!G25+[15]A30!H25+[15]A30!I25+[15]A32!Z47+[15]A32!AE47</f>
        <v>0</v>
      </c>
      <c r="R14" s="6">
        <f>[15]A07!B24+[15]A30!R25+[15]A30!S25+[15]A30!T25+[15]A30!U25+[15]A30!V25+[15]A30!W25+[15]A30!X25+[15]A30!Y25+[15]A32!B47</f>
        <v>0</v>
      </c>
      <c r="S14" s="150" t="e">
        <f t="shared" si="1"/>
        <v>#DIV/0!</v>
      </c>
      <c r="T14" s="6">
        <f>[10]A07!X24+[10]A07!AB24+[10]A30!B25+[10]A30!C25+[10]A30!D25+[10]A30!E25+[10]A30!F25+[10]A30!G25+[10]A30!H25+[10]A30!I25+[10]A32!Z47+[10]A32!AE47</f>
        <v>0</v>
      </c>
      <c r="U14" s="6">
        <f>[10]A07!B24+[10]A30!R25+[10]A30!S25+[10]A30!T25+[10]A30!U25+[10]A30!V25+[10]A30!W25+[10]A30!X25+[10]A30!Y25+[10]A32!B47</f>
        <v>0</v>
      </c>
      <c r="V14" s="150" t="e">
        <f t="shared" si="2"/>
        <v>#DIV/0!</v>
      </c>
      <c r="W14" s="6">
        <f>[11]A07!X24+[11]A07!AB24+[11]A30!B25+[11]A30!C25+[11]A30!D25+[11]A30!E25+[11]A30!F25+[11]A30!G25+[11]A30!H25+[11]A30!I25+[11]A32!Z47+[11]A32!AE47</f>
        <v>0</v>
      </c>
      <c r="X14" s="6">
        <f>[11]A07!B24+[11]A30!R25+[11]A30!S25+[11]A30!T25+[11]A30!U25+[11]A30!V25+[11]A30!W25+[11]A30!X25+[11]A30!Y25+[11]A32!B47</f>
        <v>0</v>
      </c>
      <c r="Y14" s="150" t="e">
        <f t="shared" si="3"/>
        <v>#DIV/0!</v>
      </c>
      <c r="Z14" s="6">
        <f>[12]A07!X24+[12]A07!AB24+[12]A30!B25+[12]A30!C25+[12]A30!D25+[12]A30!E25+[12]A30!F25+[12]A30!G25+[12]A30!H25+[12]A30!I25+[12]A32!Z47+[12]A32!AE47</f>
        <v>0</v>
      </c>
      <c r="AA14" s="6">
        <f>[12]A07!B24+[12]A30!R25+[12]A30!S25+[12]A30!T25+[12]A30!U25+[12]A30!V25+[12]A30!W25+[12]A30!X25+[12]A30!Y25+[12]A32!B47</f>
        <v>0</v>
      </c>
      <c r="AB14" s="150" t="e">
        <f t="shared" si="4"/>
        <v>#DIV/0!</v>
      </c>
      <c r="AC14" s="6">
        <f>[13]A07!X24+[13]A07!AB24+[13]A30!B25+[13]A30!C25+[13]A30!D25+[13]A30!E25+[13]A30!F25+[13]A30!G25+[13]A30!H25+[13]A30!I25+[13]A32!Z47+[13]A32!AE47</f>
        <v>0</v>
      </c>
      <c r="AD14" s="6">
        <f>[13]A07!B24+[13]A30!R25+[13]A30!S25+[13]A30!T25+[13]A30!U25+[13]A30!V25+[13]A30!W25+[13]A30!X25+[13]A30!Y25+[13]A32!B47</f>
        <v>0</v>
      </c>
      <c r="AE14" s="150" t="e">
        <f t="shared" si="5"/>
        <v>#DIV/0!</v>
      </c>
      <c r="AF14" s="6">
        <f>[14]A07!X24+[14]A07!AB24+[14]A30!B25+[14]A30!C25+[14]A30!D25+[14]A30!E25+[14]A30!F25+[14]A30!G25+[14]A30!H25+[14]A30!I25+[14]A32!Z47+[14]A32!AE47</f>
        <v>0</v>
      </c>
      <c r="AG14" s="6">
        <f>[14]A07!B24+[14]A30!R25+[14]A30!S25+[14]A30!T25+[14]A30!U25+[14]A30!V25+[14]A30!W25+[14]A30!X25+[14]A30!Y25+[14]A32!B47</f>
        <v>0</v>
      </c>
      <c r="AH14" s="150" t="e">
        <f t="shared" si="6"/>
        <v>#DIV/0!</v>
      </c>
      <c r="AI14" s="6"/>
      <c r="AJ14" s="6"/>
      <c r="AK14" s="4" t="e">
        <f t="shared" si="11"/>
        <v>#DIV/0!</v>
      </c>
      <c r="AL14" s="94">
        <f t="shared" si="12"/>
        <v>0</v>
      </c>
      <c r="AM14" s="94">
        <f t="shared" si="13"/>
        <v>0</v>
      </c>
      <c r="AN14" s="4" t="str">
        <f t="shared" si="14"/>
        <v/>
      </c>
      <c r="AO14" s="1"/>
      <c r="AT14" s="1"/>
    </row>
    <row r="15" spans="1:46" x14ac:dyDescent="0.15">
      <c r="A15" s="78" t="s">
        <v>100</v>
      </c>
      <c r="B15" s="106">
        <f>[4]A07!X25+[4]A07!AB25+[4]A30!B26+[4]A30!C26+[4]A30!D26+[4]A30!E26+[4]A30!F26+[4]A30!G26+[4]A30!H26+[4]A30!I26+[4]A32!Z48+[4]A32!AE48</f>
        <v>0</v>
      </c>
      <c r="C15" s="106">
        <f>[4]A07!B25+[4]A30!R26+[4]A30!S26+[4]A30!T26+[4]A30!U26+[4]A30!V26+[4]A30!W26+[4]A30!X26+[4]A30!Y26+[4]A32!B48</f>
        <v>0</v>
      </c>
      <c r="D15" s="4" t="str">
        <f t="shared" si="7"/>
        <v/>
      </c>
      <c r="E15" s="106">
        <f>[5]A07!X25+[5]A07!AB25+[5]A30!B26+[5]A30!C26+[5]A30!D26+[5]A30!E26+[5]A30!F26+[5]A30!G26+[5]A30!H26+[5]A30!I26+[5]A32!Z48+[5]A32!AE48</f>
        <v>0</v>
      </c>
      <c r="F15" s="106">
        <f>[5]A07!B25+[5]A30!R26+[5]A30!S26+[5]A30!T26+[5]A30!U26+[5]A30!V26+[5]A30!W26+[5]A30!X26+[5]A30!Y26+[5]A32!B48</f>
        <v>0</v>
      </c>
      <c r="G15" s="4" t="str">
        <f t="shared" si="8"/>
        <v/>
      </c>
      <c r="H15" s="106">
        <f>[6]A07!X25+[6]A07!AB25+[6]A30!B26+[6]A30!C26+[6]A30!D26+[6]A30!E26+[6]A30!F26+[6]A30!G26+[6]A30!H26+[6]A30!I26+[6]A32!Z48+[6]A32!AE48</f>
        <v>0</v>
      </c>
      <c r="I15" s="106">
        <f>[6]A07!B25+[6]A30!R26+[6]A30!S26+[6]A30!T26+[6]A30!U26+[6]A30!V26+[6]A30!W26+[6]A30!X26+[6]A30!Y26+[6]A32!B48</f>
        <v>0</v>
      </c>
      <c r="J15" s="4" t="str">
        <f t="shared" si="9"/>
        <v/>
      </c>
      <c r="K15" s="106">
        <f>[7]A07!X25+[7]A07!AB25+[7]A30!B26+[7]A30!C26+[7]A30!D26+[7]A30!E26+[7]A30!F26+[7]A30!G26+[7]A30!H26+[7]A30!I26+[7]A32!Z48+[7]A32!AE48</f>
        <v>0</v>
      </c>
      <c r="L15" s="106">
        <f>[7]A07!B25+[7]A30!R26+[7]A30!S26+[7]A30!T26+[7]A30!U26+[7]A30!V26+[7]A30!W26+[7]A30!X26+[7]A30!Y26+[7]A32!B48</f>
        <v>0</v>
      </c>
      <c r="M15" s="4" t="str">
        <f t="shared" si="10"/>
        <v/>
      </c>
      <c r="N15" s="106">
        <f>[8]A07!X25+[8]A07!AB25+[8]A30!B26+[8]A30!C26+[8]A30!D26+[8]A30!E26+[8]A30!F26+[8]A30!G26+[8]A30!H26+[8]A30!I26+[8]A32!Z48+[8]A32!AE48</f>
        <v>0</v>
      </c>
      <c r="O15" s="106">
        <f>[8]A07!B25+[8]A30!R26+[8]A30!S26+[8]A30!T26+[8]A30!U26+[8]A30!V26+[8]A30!W26+[8]A30!X26+[8]A30!Y26+[8]A32!B48</f>
        <v>0</v>
      </c>
      <c r="P15" s="150" t="e">
        <f t="shared" si="0"/>
        <v>#DIV/0!</v>
      </c>
      <c r="Q15" s="6">
        <f>[15]A07!X25+[15]A07!AB25+[15]A30!B26+[15]A30!C26+[15]A30!D26+[15]A30!E26+[15]A30!F26+[15]A30!G26+[15]A30!H26+[15]A30!I26+[15]A32!Z48+[15]A32!AE48</f>
        <v>0</v>
      </c>
      <c r="R15" s="6">
        <f>[15]A07!B25+[15]A30!R26+[15]A30!S26+[15]A30!T26+[15]A30!U26+[15]A30!V26+[15]A30!W26+[15]A30!X26+[15]A30!Y26+[15]A32!B48</f>
        <v>0</v>
      </c>
      <c r="S15" s="150" t="e">
        <f t="shared" si="1"/>
        <v>#DIV/0!</v>
      </c>
      <c r="T15" s="6">
        <f>[10]A07!X25+[10]A07!AB25+[10]A30!B26+[10]A30!C26+[10]A30!D26+[10]A30!E26+[10]A30!F26+[10]A30!G26+[10]A30!H26+[10]A30!I26+[10]A32!Z48+[10]A32!AE48</f>
        <v>0</v>
      </c>
      <c r="U15" s="6">
        <f>[10]A07!B25+[10]A30!R26+[10]A30!S26+[10]A30!T26+[10]A30!U26+[10]A30!V26+[10]A30!W26+[10]A30!X26+[10]A30!Y26+[10]A32!B48</f>
        <v>0</v>
      </c>
      <c r="V15" s="150" t="e">
        <f t="shared" si="2"/>
        <v>#DIV/0!</v>
      </c>
      <c r="W15" s="6">
        <f>[11]A07!X25+[11]A07!AB25+[11]A30!B26+[11]A30!C26+[11]A30!D26+[11]A30!E26+[11]A30!F26+[11]A30!G26+[11]A30!H26+[11]A30!I26+[11]A32!Z48+[11]A32!AE48</f>
        <v>0</v>
      </c>
      <c r="X15" s="6">
        <f>[11]A07!B25+[11]A30!R26+[11]A30!S26+[11]A30!T26+[11]A30!U26+[11]A30!V26+[11]A30!W26+[11]A30!X26+[11]A30!Y26+[11]A32!B48</f>
        <v>0</v>
      </c>
      <c r="Y15" s="150" t="e">
        <f t="shared" si="3"/>
        <v>#DIV/0!</v>
      </c>
      <c r="Z15" s="6">
        <f>[12]A07!X25+[12]A07!AB25+[12]A30!B26+[12]A30!C26+[12]A30!D26+[12]A30!E26+[12]A30!F26+[12]A30!G26+[12]A30!H26+[12]A30!I26+[12]A32!Z48+[12]A32!AE48</f>
        <v>0</v>
      </c>
      <c r="AA15" s="6">
        <f>[12]A07!B25+[12]A30!R26+[12]A30!S26+[12]A30!T26+[12]A30!U26+[12]A30!V26+[12]A30!W26+[12]A30!X26+[12]A30!Y26+[12]A32!B48</f>
        <v>0</v>
      </c>
      <c r="AB15" s="150" t="e">
        <f t="shared" si="4"/>
        <v>#DIV/0!</v>
      </c>
      <c r="AC15" s="6">
        <f>[13]A07!X25+[13]A07!AB25+[13]A30!B26+[13]A30!C26+[13]A30!D26+[13]A30!E26+[13]A30!F26+[13]A30!G26+[13]A30!H26+[13]A30!I26+[13]A32!Z48+[13]A32!AE48</f>
        <v>0</v>
      </c>
      <c r="AD15" s="6">
        <f>[13]A07!B25+[13]A30!R26+[13]A30!S26+[13]A30!T26+[13]A30!U26+[13]A30!V26+[13]A30!W26+[13]A30!X26+[13]A30!Y26+[13]A32!B48</f>
        <v>0</v>
      </c>
      <c r="AE15" s="150" t="e">
        <f t="shared" si="5"/>
        <v>#DIV/0!</v>
      </c>
      <c r="AF15" s="6">
        <f>[14]A07!X25+[14]A07!AB25+[14]A30!B26+[14]A30!C26+[14]A30!D26+[14]A30!E26+[14]A30!F26+[14]A30!G26+[14]A30!H26+[14]A30!I26+[14]A32!Z48+[14]A32!AE48</f>
        <v>0</v>
      </c>
      <c r="AG15" s="6">
        <f>[14]A07!B25+[14]A30!R26+[14]A30!S26+[14]A30!T26+[14]A30!U26+[14]A30!V26+[14]A30!W26+[14]A30!X26+[14]A30!Y26+[14]A32!B48</f>
        <v>0</v>
      </c>
      <c r="AH15" s="150" t="e">
        <f t="shared" si="6"/>
        <v>#DIV/0!</v>
      </c>
      <c r="AI15" s="6"/>
      <c r="AJ15" s="6"/>
      <c r="AK15" s="4" t="e">
        <f t="shared" si="11"/>
        <v>#DIV/0!</v>
      </c>
      <c r="AL15" s="94">
        <f t="shared" ref="AL15:AL56" si="16">B15+E15+H15+K15+N15</f>
        <v>0</v>
      </c>
      <c r="AM15" s="94">
        <f t="shared" si="13"/>
        <v>0</v>
      </c>
      <c r="AN15" s="4" t="str">
        <f t="shared" si="14"/>
        <v/>
      </c>
      <c r="AO15" s="1"/>
      <c r="AT15" s="1"/>
    </row>
    <row r="16" spans="1:46" x14ac:dyDescent="0.15">
      <c r="A16" s="77" t="s">
        <v>101</v>
      </c>
      <c r="B16" s="106">
        <f>[4]A07!X26+[4]A07!AB26+[4]A30!B27+[4]A30!C27+[4]A30!D27+[4]A30!E27+[4]A30!F27+[4]A30!G27+[4]A30!H27+[4]A30!I27+[4]A32!Z49+[4]A32!AE49</f>
        <v>0</v>
      </c>
      <c r="C16" s="106">
        <f>[4]A07!B26+[4]A30!R27+[4]A30!S27+[4]A30!T27+[4]A30!U27+[4]A30!V27+[4]A30!W27+[4]A30!X27+[4]A30!Y27+[4]A32!B49</f>
        <v>0</v>
      </c>
      <c r="D16" s="4" t="str">
        <f t="shared" si="7"/>
        <v/>
      </c>
      <c r="E16" s="106">
        <f>[5]A07!X26+[5]A07!AB26+[5]A30!B27+[5]A30!C27+[5]A30!D27+[5]A30!E27+[5]A30!F27+[5]A30!G27+[5]A30!H27+[5]A30!I27+[5]A32!Z49+[5]A32!AE49</f>
        <v>0</v>
      </c>
      <c r="F16" s="106">
        <f>[5]A07!B26+[5]A30!R27+[5]A30!S27+[5]A30!T27+[5]A30!U27+[5]A30!V27+[5]A30!W27+[5]A30!X27+[5]A30!Y27+[5]A32!B49</f>
        <v>0</v>
      </c>
      <c r="G16" s="4" t="str">
        <f t="shared" si="8"/>
        <v/>
      </c>
      <c r="H16" s="106">
        <f>[6]A07!X26+[6]A07!AB26+[6]A30!B27+[6]A30!C27+[6]A30!D27+[6]A30!E27+[6]A30!F27+[6]A30!G27+[6]A30!H27+[6]A30!I27+[6]A32!Z49+[6]A32!AE49</f>
        <v>0</v>
      </c>
      <c r="I16" s="106">
        <f>[6]A07!B26+[6]A30!R27+[6]A30!S27+[6]A30!T27+[6]A30!U27+[6]A30!V27+[6]A30!W27+[6]A30!X27+[6]A30!Y27+[6]A32!B49</f>
        <v>0</v>
      </c>
      <c r="J16" s="4" t="str">
        <f t="shared" si="9"/>
        <v/>
      </c>
      <c r="K16" s="106">
        <f>[7]A07!X26+[7]A07!AB26+[7]A30!B27+[7]A30!C27+[7]A30!D27+[7]A30!E27+[7]A30!F27+[7]A30!G27+[7]A30!H27+[7]A30!I27+[7]A32!Z49+[7]A32!AE49</f>
        <v>0</v>
      </c>
      <c r="L16" s="106">
        <f>[7]A07!B26+[7]A30!R27+[7]A30!S27+[7]A30!T27+[7]A30!U27+[7]A30!V27+[7]A30!W27+[7]A30!X27+[7]A30!Y27+[7]A32!B49</f>
        <v>0</v>
      </c>
      <c r="M16" s="4" t="str">
        <f t="shared" si="10"/>
        <v/>
      </c>
      <c r="N16" s="106">
        <f>[8]A07!X26+[8]A07!AB26+[8]A30!B27+[8]A30!C27+[8]A30!D27+[8]A30!E27+[8]A30!F27+[8]A30!G27+[8]A30!H27+[8]A30!I27+[8]A32!Z49+[8]A32!AE49</f>
        <v>0</v>
      </c>
      <c r="O16" s="106">
        <f>[8]A07!B26+[8]A30!R27+[8]A30!S27+[8]A30!T27+[8]A30!U27+[8]A30!V27+[8]A30!W27+[8]A30!X27+[8]A30!Y27+[8]A32!B49</f>
        <v>0</v>
      </c>
      <c r="P16" s="150" t="e">
        <f t="shared" si="0"/>
        <v>#DIV/0!</v>
      </c>
      <c r="Q16" s="6">
        <f>[15]A07!X26+[15]A07!AB26+[15]A30!B27+[15]A30!C27+[15]A30!D27+[15]A30!E27+[15]A30!F27+[15]A30!G27+[15]A30!H27+[15]A30!I27+[15]A32!Z49+[15]A32!AE49</f>
        <v>0</v>
      </c>
      <c r="R16" s="6">
        <f>[15]A07!B26+[15]A30!R27+[15]A30!S27+[15]A30!T27+[15]A30!U27+[15]A30!V27+[15]A30!W27+[15]A30!X27+[15]A30!Y27+[15]A32!B49</f>
        <v>0</v>
      </c>
      <c r="S16" s="150" t="e">
        <f t="shared" si="1"/>
        <v>#DIV/0!</v>
      </c>
      <c r="T16" s="6">
        <f>[10]A07!X26+[10]A07!AB26+[10]A30!B27+[10]A30!C27+[10]A30!D27+[10]A30!E27+[10]A30!F27+[10]A30!G27+[10]A30!H27+[10]A30!I27+[10]A32!Z49+[10]A32!AE49</f>
        <v>0</v>
      </c>
      <c r="U16" s="6">
        <f>[10]A07!B26+[10]A30!R27+[10]A30!S27+[10]A30!T27+[10]A30!U27+[10]A30!V27+[10]A30!W27+[10]A30!X27+[10]A30!Y27+[10]A32!B49</f>
        <v>0</v>
      </c>
      <c r="V16" s="150" t="e">
        <f t="shared" si="2"/>
        <v>#DIV/0!</v>
      </c>
      <c r="W16" s="6">
        <f>[11]A07!X26+[11]A07!AB26+[11]A30!B27+[11]A30!C27+[11]A30!D27+[11]A30!E27+[11]A30!F27+[11]A30!G27+[11]A30!H27+[11]A30!I27+[11]A32!Z49+[11]A32!AE49</f>
        <v>0</v>
      </c>
      <c r="X16" s="6">
        <f>[11]A07!B26+[11]A30!R27+[11]A30!S27+[11]A30!T27+[11]A30!U27+[11]A30!V27+[11]A30!W27+[11]A30!X27+[11]A30!Y27+[11]A32!B49</f>
        <v>0</v>
      </c>
      <c r="Y16" s="150" t="e">
        <f t="shared" si="3"/>
        <v>#DIV/0!</v>
      </c>
      <c r="Z16" s="6">
        <f>[12]A07!X26+[12]A07!AB26+[12]A30!B27+[12]A30!C27+[12]A30!D27+[12]A30!E27+[12]A30!F27+[12]A30!G27+[12]A30!H27+[12]A30!I27+[12]A32!Z49+[12]A32!AE49</f>
        <v>0</v>
      </c>
      <c r="AA16" s="6">
        <f>[12]A07!B26+[12]A30!R27+[12]A30!S27+[12]A30!T27+[12]A30!U27+[12]A30!V27+[12]A30!W27+[12]A30!X27+[12]A30!Y27+[12]A32!B49</f>
        <v>0</v>
      </c>
      <c r="AB16" s="150" t="e">
        <f t="shared" si="4"/>
        <v>#DIV/0!</v>
      </c>
      <c r="AC16" s="6">
        <f>[13]A07!X26+[13]A07!AB26+[13]A30!B27+[13]A30!C27+[13]A30!D27+[13]A30!E27+[13]A30!F27+[13]A30!G27+[13]A30!H27+[13]A30!I27+[13]A32!Z49+[13]A32!AE49</f>
        <v>0</v>
      </c>
      <c r="AD16" s="6">
        <f>[13]A07!B26+[13]A30!R27+[13]A30!S27+[13]A30!T27+[13]A30!U27+[13]A30!V27+[13]A30!W27+[13]A30!X27+[13]A30!Y27+[13]A32!B49</f>
        <v>0</v>
      </c>
      <c r="AE16" s="150" t="e">
        <f t="shared" si="5"/>
        <v>#DIV/0!</v>
      </c>
      <c r="AF16" s="6">
        <f>[14]A07!X26+[14]A07!AB26+[14]A30!B27+[14]A30!C27+[14]A30!D27+[14]A30!E27+[14]A30!F27+[14]A30!G27+[14]A30!H27+[14]A30!I27+[14]A32!Z49+[14]A32!AE49</f>
        <v>0</v>
      </c>
      <c r="AG16" s="6">
        <f>[14]A07!B26+[14]A30!R27+[14]A30!S27+[14]A30!T27+[14]A30!U27+[14]A30!V27+[14]A30!W27+[14]A30!X27+[14]A30!Y27+[14]A32!B49</f>
        <v>0</v>
      </c>
      <c r="AH16" s="150" t="e">
        <f t="shared" si="6"/>
        <v>#DIV/0!</v>
      </c>
      <c r="AI16" s="6"/>
      <c r="AJ16" s="6"/>
      <c r="AK16" s="4" t="e">
        <f t="shared" si="11"/>
        <v>#DIV/0!</v>
      </c>
      <c r="AL16" s="94">
        <f t="shared" si="16"/>
        <v>0</v>
      </c>
      <c r="AM16" s="94">
        <f t="shared" si="13"/>
        <v>0</v>
      </c>
      <c r="AN16" s="4" t="str">
        <f t="shared" si="14"/>
        <v/>
      </c>
      <c r="AO16" s="1"/>
      <c r="AT16" s="1"/>
    </row>
    <row r="17" spans="1:46" x14ac:dyDescent="0.15">
      <c r="A17" s="147" t="s">
        <v>102</v>
      </c>
      <c r="B17" s="106">
        <f>[4]A07!X27+[4]A07!AB27+[4]A30!B28+[4]A30!C28+[4]A30!D28+[4]A30!E28+[4]A30!F28+[4]A30!G28+[4]A30!H28+[4]A30!I28+[4]A32!Z50+[4]A32!AE50</f>
        <v>3</v>
      </c>
      <c r="C17" s="106">
        <f>[4]A07!B27+[4]A30!R28+[4]A30!S28+[4]A30!T28+[4]A30!U28+[4]A30!V28+[4]A30!W28+[4]A30!X28+[4]A30!Y28+[4]A32!B50</f>
        <v>7</v>
      </c>
      <c r="D17" s="4">
        <f t="shared" si="7"/>
        <v>0.42857142857142855</v>
      </c>
      <c r="E17" s="106">
        <f>[5]A07!X27+[5]A07!AB27+[5]A30!B28+[5]A30!C28+[5]A30!D28+[5]A30!E28+[5]A30!F28+[5]A30!G28+[5]A30!H28+[5]A30!I28+[5]A32!Z50+[5]A32!AE50</f>
        <v>0</v>
      </c>
      <c r="F17" s="106">
        <f>[5]A07!B27+[5]A30!R28+[5]A30!S28+[5]A30!T28+[5]A30!U28+[5]A30!V28+[5]A30!W28+[5]A30!X28+[5]A30!Y28+[5]A32!B50</f>
        <v>0</v>
      </c>
      <c r="G17" s="4" t="str">
        <f t="shared" si="8"/>
        <v/>
      </c>
      <c r="H17" s="106">
        <f>[6]A07!X27+[6]A07!AB27+[6]A30!B28+[6]A30!C28+[6]A30!D28+[6]A30!E28+[6]A30!F28+[6]A30!G28+[6]A30!H28+[6]A30!I28+[6]A32!Z50+[6]A32!AE50</f>
        <v>0</v>
      </c>
      <c r="I17" s="106">
        <f>[6]A07!B27+[6]A30!R28+[6]A30!S28+[6]A30!T28+[6]A30!U28+[6]A30!V28+[6]A30!W28+[6]A30!X28+[6]A30!Y28+[6]A32!B50</f>
        <v>13</v>
      </c>
      <c r="J17" s="4">
        <f t="shared" si="9"/>
        <v>0</v>
      </c>
      <c r="K17" s="106">
        <f>[7]A07!X27+[7]A07!AB27+[7]A30!B28+[7]A30!C28+[7]A30!D28+[7]A30!E28+[7]A30!F28+[7]A30!G28+[7]A30!H28+[7]A30!I28+[7]A32!Z50+[7]A32!AE50</f>
        <v>0</v>
      </c>
      <c r="L17" s="106">
        <f>[7]A07!B27+[7]A30!R28+[7]A30!S28+[7]A30!T28+[7]A30!U28+[7]A30!V28+[7]A30!W28+[7]A30!X28+[7]A30!Y28+[7]A32!B50</f>
        <v>21</v>
      </c>
      <c r="M17" s="4">
        <f t="shared" si="10"/>
        <v>0</v>
      </c>
      <c r="N17" s="106">
        <f>[8]A07!X27+[8]A07!AB27+[8]A30!B28+[8]A30!C28+[8]A30!D28+[8]A30!E28+[8]A30!F28+[8]A30!G28+[8]A30!H28+[8]A30!I28+[8]A32!Z50+[8]A32!AE50</f>
        <v>0</v>
      </c>
      <c r="O17" s="106">
        <f>[8]A07!B27+[8]A30!R28+[8]A30!S28+[8]A30!T28+[8]A30!U28+[8]A30!V28+[8]A30!W28+[8]A30!X28+[8]A30!Y28+[8]A32!B50</f>
        <v>0</v>
      </c>
      <c r="P17" s="150" t="e">
        <f t="shared" si="0"/>
        <v>#DIV/0!</v>
      </c>
      <c r="Q17" s="6">
        <f>[15]A07!X27+[15]A07!AB27+[15]A30!B28+[15]A30!C28+[15]A30!D28+[15]A30!E28+[15]A30!F28+[15]A30!G28+[15]A30!H28+[15]A30!I28+[15]A32!Z50+[15]A32!AE50</f>
        <v>0</v>
      </c>
      <c r="R17" s="6">
        <f>[15]A07!B27+[15]A30!R28+[15]A30!S28+[15]A30!T28+[15]A30!U28+[15]A30!V28+[15]A30!W28+[15]A30!X28+[15]A30!Y28+[15]A32!B50</f>
        <v>0</v>
      </c>
      <c r="S17" s="150" t="e">
        <f t="shared" si="1"/>
        <v>#DIV/0!</v>
      </c>
      <c r="T17" s="6">
        <f>[10]A07!X27+[10]A07!AB27+[10]A30!B28+[10]A30!C28+[10]A30!D28+[10]A30!E28+[10]A30!F28+[10]A30!G28+[10]A30!H28+[10]A30!I28+[10]A32!Z50+[10]A32!AE50</f>
        <v>0</v>
      </c>
      <c r="U17" s="6">
        <f>[10]A07!B27+[10]A30!R28+[10]A30!S28+[10]A30!T28+[10]A30!U28+[10]A30!V28+[10]A30!W28+[10]A30!X28+[10]A30!Y28+[10]A32!B50</f>
        <v>0</v>
      </c>
      <c r="V17" s="150" t="e">
        <f t="shared" si="2"/>
        <v>#DIV/0!</v>
      </c>
      <c r="W17" s="6">
        <f>[11]A07!X27+[11]A07!AB27+[11]A30!B28+[11]A30!C28+[11]A30!D28+[11]A30!E28+[11]A30!F28+[11]A30!G28+[11]A30!H28+[11]A30!I28+[11]A32!Z50+[11]A32!AE50</f>
        <v>0</v>
      </c>
      <c r="X17" s="6">
        <f>[11]A07!B27+[11]A30!R28+[11]A30!S28+[11]A30!T28+[11]A30!U28+[11]A30!V28+[11]A30!W28+[11]A30!X28+[11]A30!Y28+[11]A32!B50</f>
        <v>0</v>
      </c>
      <c r="Y17" s="150" t="e">
        <f t="shared" si="3"/>
        <v>#DIV/0!</v>
      </c>
      <c r="Z17" s="6">
        <f>[12]A07!X27+[12]A07!AB27+[12]A30!B28+[12]A30!C28+[12]A30!D28+[12]A30!E28+[12]A30!F28+[12]A30!G28+[12]A30!H28+[12]A30!I28+[12]A32!Z50+[12]A32!AE50</f>
        <v>0</v>
      </c>
      <c r="AA17" s="6">
        <f>[12]A07!B27+[12]A30!R28+[12]A30!S28+[12]A30!T28+[12]A30!U28+[12]A30!V28+[12]A30!W28+[12]A30!X28+[12]A30!Y28+[12]A32!B50</f>
        <v>7</v>
      </c>
      <c r="AB17" s="150">
        <f t="shared" si="4"/>
        <v>0</v>
      </c>
      <c r="AC17" s="6">
        <f>[13]A07!X27+[13]A07!AB27+[13]A30!B28+[13]A30!C28+[13]A30!D28+[13]A30!E28+[13]A30!F28+[13]A30!G28+[13]A30!H28+[13]A30!I28+[13]A32!Z50+[13]A32!AE50</f>
        <v>1</v>
      </c>
      <c r="AD17" s="6">
        <f>[13]A07!B27+[13]A30!R28+[13]A30!S28+[13]A30!T28+[13]A30!U28+[13]A30!V28+[13]A30!W28+[13]A30!X28+[13]A30!Y28+[13]A32!B50</f>
        <v>17</v>
      </c>
      <c r="AE17" s="150">
        <f t="shared" si="5"/>
        <v>5.8823529411764705E-2</v>
      </c>
      <c r="AF17" s="6">
        <f>[14]A07!X27+[14]A07!AB27+[14]A30!B28+[14]A30!C28+[14]A30!D28+[14]A30!E28+[14]A30!F28+[14]A30!G28+[14]A30!H28+[14]A30!I28+[14]A32!Z50+[14]A32!AE50</f>
        <v>0</v>
      </c>
      <c r="AG17" s="6">
        <f>[14]A07!B27+[14]A30!R28+[14]A30!S28+[14]A30!T28+[14]A30!U28+[14]A30!V28+[14]A30!W28+[14]A30!X28+[14]A30!Y28+[14]A32!B50</f>
        <v>56</v>
      </c>
      <c r="AH17" s="150">
        <f t="shared" si="6"/>
        <v>0</v>
      </c>
      <c r="AI17" s="6"/>
      <c r="AJ17" s="6"/>
      <c r="AK17" s="4" t="e">
        <f t="shared" si="11"/>
        <v>#DIV/0!</v>
      </c>
      <c r="AL17" s="94">
        <f t="shared" si="16"/>
        <v>3</v>
      </c>
      <c r="AM17" s="94">
        <f t="shared" si="13"/>
        <v>41</v>
      </c>
      <c r="AN17" s="4">
        <f t="shared" si="14"/>
        <v>7.3170731707317069E-2</v>
      </c>
      <c r="AO17" s="109" t="str">
        <f>IF(AN17&gt;25%,"1","0")</f>
        <v>0</v>
      </c>
      <c r="AT17" s="151" t="s">
        <v>173</v>
      </c>
    </row>
    <row r="18" spans="1:46" x14ac:dyDescent="0.15">
      <c r="A18" s="77" t="s">
        <v>103</v>
      </c>
      <c r="B18" s="106">
        <f>[4]A07!X28+[4]A07!AB28+[4]A30!B29+[4]A30!C29+[4]A30!D29+[4]A30!E29+[4]A30!F29+[4]A30!G29+[4]A30!H29+[4]A30!I29+[4]A32!Z51+[4]A32!AE51</f>
        <v>0</v>
      </c>
      <c r="C18" s="106">
        <f>[4]A07!B28+[4]A30!R29+[4]A30!S29+[4]A30!T29+[4]A30!U29+[4]A30!V29+[4]A30!W29+[4]A30!X29+[4]A30!Y29+[4]A32!B51</f>
        <v>0</v>
      </c>
      <c r="D18" s="4" t="str">
        <f t="shared" si="7"/>
        <v/>
      </c>
      <c r="E18" s="106">
        <f>[5]A07!X28+[5]A07!AB28+[5]A30!B29+[5]A30!C29+[5]A30!D29+[5]A30!E29+[5]A30!F29+[5]A30!G29+[5]A30!H29+[5]A30!I29+[5]A32!Z51+[5]A32!AE51</f>
        <v>0</v>
      </c>
      <c r="F18" s="106">
        <f>[5]A07!B28+[5]A30!R29+[5]A30!S29+[5]A30!T29+[5]A30!U29+[5]A30!V29+[5]A30!W29+[5]A30!X29+[5]A30!Y29+[5]A32!B51</f>
        <v>0</v>
      </c>
      <c r="G18" s="4" t="str">
        <f t="shared" si="8"/>
        <v/>
      </c>
      <c r="H18" s="106">
        <f>[6]A07!X28+[6]A07!AB28+[6]A30!B29+[6]A30!C29+[6]A30!D29+[6]A30!E29+[6]A30!F29+[6]A30!G29+[6]A30!H29+[6]A30!I29+[6]A32!Z51+[6]A32!AE51</f>
        <v>0</v>
      </c>
      <c r="I18" s="106">
        <f>[6]A07!B28+[6]A30!R29+[6]A30!S29+[6]A30!T29+[6]A30!U29+[6]A30!V29+[6]A30!W29+[6]A30!X29+[6]A30!Y29+[6]A32!B51</f>
        <v>0</v>
      </c>
      <c r="J18" s="4" t="str">
        <f t="shared" si="9"/>
        <v/>
      </c>
      <c r="K18" s="106">
        <f>[7]A07!X28+[7]A07!AB28+[7]A30!B29+[7]A30!C29+[7]A30!D29+[7]A30!E29+[7]A30!F29+[7]A30!G29+[7]A30!H29+[7]A30!I29+[7]A32!Z51+[7]A32!AE51</f>
        <v>0</v>
      </c>
      <c r="L18" s="106">
        <f>[7]A07!B28+[7]A30!R29+[7]A30!S29+[7]A30!T29+[7]A30!U29+[7]A30!V29+[7]A30!W29+[7]A30!X29+[7]A30!Y29+[7]A32!B51</f>
        <v>0</v>
      </c>
      <c r="M18" s="4" t="str">
        <f t="shared" si="10"/>
        <v/>
      </c>
      <c r="N18" s="106">
        <f>[8]A07!X28+[8]A07!AB28+[8]A30!B29+[8]A30!C29+[8]A30!D29+[8]A30!E29+[8]A30!F29+[8]A30!G29+[8]A30!H29+[8]A30!I29+[8]A32!Z51+[8]A32!AE51</f>
        <v>0</v>
      </c>
      <c r="O18" s="106">
        <f>[8]A07!B28+[8]A30!R29+[8]A30!S29+[8]A30!T29+[8]A30!U29+[8]A30!V29+[8]A30!W29+[8]A30!X29+[8]A30!Y29+[8]A32!B51</f>
        <v>0</v>
      </c>
      <c r="P18" s="150" t="e">
        <f t="shared" si="0"/>
        <v>#DIV/0!</v>
      </c>
      <c r="Q18" s="6">
        <f>[15]A07!X28+[15]A07!AB28+[15]A30!B29+[15]A30!C29+[15]A30!D29+[15]A30!E29+[15]A30!F29+[15]A30!G29+[15]A30!H29+[15]A30!I29+[15]A32!Z51+[15]A32!AE51</f>
        <v>0</v>
      </c>
      <c r="R18" s="6">
        <f>[15]A07!B28+[15]A30!R29+[15]A30!S29+[15]A30!T29+[15]A30!U29+[15]A30!V29+[15]A30!W29+[15]A30!X29+[15]A30!Y29+[15]A32!B51</f>
        <v>0</v>
      </c>
      <c r="S18" s="150" t="e">
        <f t="shared" si="1"/>
        <v>#DIV/0!</v>
      </c>
      <c r="T18" s="6">
        <f>[10]A07!X28+[10]A07!AB28+[10]A30!B29+[10]A30!C29+[10]A30!D29+[10]A30!E29+[10]A30!F29+[10]A30!G29+[10]A30!H29+[10]A30!I29+[10]A32!Z51+[10]A32!AE51</f>
        <v>0</v>
      </c>
      <c r="U18" s="6">
        <f>[10]A07!B28+[10]A30!R29+[10]A30!S29+[10]A30!T29+[10]A30!U29+[10]A30!V29+[10]A30!W29+[10]A30!X29+[10]A30!Y29+[10]A32!B51</f>
        <v>0</v>
      </c>
      <c r="V18" s="150" t="e">
        <f t="shared" si="2"/>
        <v>#DIV/0!</v>
      </c>
      <c r="W18" s="6">
        <f>[11]A07!X28+[11]A07!AB28+[11]A30!B29+[11]A30!C29+[11]A30!D29+[11]A30!E29+[11]A30!F29+[11]A30!G29+[11]A30!H29+[11]A30!I29+[11]A32!Z51+[11]A32!AE51</f>
        <v>0</v>
      </c>
      <c r="X18" s="6">
        <f>[11]A07!B28+[11]A30!R29+[11]A30!S29+[11]A30!T29+[11]A30!U29+[11]A30!V29+[11]A30!W29+[11]A30!X29+[11]A30!Y29+[11]A32!B51</f>
        <v>0</v>
      </c>
      <c r="Y18" s="150" t="e">
        <f t="shared" si="3"/>
        <v>#DIV/0!</v>
      </c>
      <c r="Z18" s="6">
        <f>[12]A07!X28+[12]A07!AB28+[12]A30!B29+[12]A30!C29+[12]A30!D29+[12]A30!E29+[12]A30!F29+[12]A30!G29+[12]A30!H29+[12]A30!I29+[12]A32!Z51+[12]A32!AE51</f>
        <v>0</v>
      </c>
      <c r="AA18" s="6">
        <f>[12]A07!B28+[12]A30!R29+[12]A30!S29+[12]A30!T29+[12]A30!U29+[12]A30!V29+[12]A30!W29+[12]A30!X29+[12]A30!Y29+[12]A32!B51</f>
        <v>0</v>
      </c>
      <c r="AB18" s="150" t="e">
        <f t="shared" si="4"/>
        <v>#DIV/0!</v>
      </c>
      <c r="AC18" s="6">
        <f>[13]A07!X28+[13]A07!AB28+[13]A30!B29+[13]A30!C29+[13]A30!D29+[13]A30!E29+[13]A30!F29+[13]A30!G29+[13]A30!H29+[13]A30!I29+[13]A32!Z51+[13]A32!AE51</f>
        <v>0</v>
      </c>
      <c r="AD18" s="6">
        <f>[13]A07!B28+[13]A30!R29+[13]A30!S29+[13]A30!T29+[13]A30!U29+[13]A30!V29+[13]A30!W29+[13]A30!X29+[13]A30!Y29+[13]A32!B51</f>
        <v>0</v>
      </c>
      <c r="AE18" s="150" t="e">
        <f t="shared" si="5"/>
        <v>#DIV/0!</v>
      </c>
      <c r="AF18" s="6">
        <f>[14]A07!X28+[14]A07!AB28+[14]A30!B29+[14]A30!C29+[14]A30!D29+[14]A30!E29+[14]A30!F29+[14]A30!G29+[14]A30!H29+[14]A30!I29+[14]A32!Z51+[14]A32!AE51</f>
        <v>0</v>
      </c>
      <c r="AG18" s="6">
        <f>[14]A07!B28+[14]A30!R29+[14]A30!S29+[14]A30!T29+[14]A30!U29+[14]A30!V29+[14]A30!W29+[14]A30!X29+[14]A30!Y29+[14]A32!B51</f>
        <v>0</v>
      </c>
      <c r="AH18" s="150" t="e">
        <f t="shared" si="6"/>
        <v>#DIV/0!</v>
      </c>
      <c r="AI18" s="6"/>
      <c r="AJ18" s="6"/>
      <c r="AK18" s="4" t="e">
        <f t="shared" si="11"/>
        <v>#DIV/0!</v>
      </c>
      <c r="AL18" s="94">
        <f t="shared" si="16"/>
        <v>0</v>
      </c>
      <c r="AM18" s="94">
        <f t="shared" si="13"/>
        <v>0</v>
      </c>
      <c r="AN18" s="4" t="str">
        <f t="shared" si="14"/>
        <v/>
      </c>
      <c r="AO18" s="1"/>
      <c r="AT18" s="1"/>
    </row>
    <row r="19" spans="1:46" x14ac:dyDescent="0.15">
      <c r="A19" s="77" t="s">
        <v>104</v>
      </c>
      <c r="B19" s="106">
        <f>[4]A07!X29+[4]A07!AB29+[4]A30!B30+[4]A30!C30+[4]A30!D30+[4]A30!E30+[4]A30!F30+[4]A30!G30+[4]A30!H30+[4]A30!I30+[4]A32!Z52+[4]A32!AE52</f>
        <v>0</v>
      </c>
      <c r="C19" s="106">
        <f>[4]A07!B29+[4]A30!R30+[4]A30!S30+[4]A30!T30+[4]A30!U30+[4]A30!V30+[4]A30!W30+[4]A30!X30+[4]A30!Y30+[4]A32!B52</f>
        <v>0</v>
      </c>
      <c r="D19" s="4" t="str">
        <f t="shared" si="7"/>
        <v/>
      </c>
      <c r="E19" s="106">
        <f>[5]A07!X29+[5]A07!AB29+[5]A30!B30+[5]A30!C30+[5]A30!D30+[5]A30!E30+[5]A30!F30+[5]A30!G30+[5]A30!H30+[5]A30!I30+[5]A32!Z52+[5]A32!AE52</f>
        <v>0</v>
      </c>
      <c r="F19" s="106">
        <f>[5]A07!B29+[5]A30!R30+[5]A30!S30+[5]A30!T30+[5]A30!U30+[5]A30!V30+[5]A30!W30+[5]A30!X30+[5]A30!Y30+[5]A32!B52</f>
        <v>0</v>
      </c>
      <c r="G19" s="4" t="str">
        <f t="shared" si="8"/>
        <v/>
      </c>
      <c r="H19" s="106">
        <f>[6]A07!X29+[6]A07!AB29+[6]A30!B30+[6]A30!C30+[6]A30!D30+[6]A30!E30+[6]A30!F30+[6]A30!G30+[6]A30!H30+[6]A30!I30+[6]A32!Z52+[6]A32!AE52</f>
        <v>0</v>
      </c>
      <c r="I19" s="106">
        <f>[6]A07!B29+[6]A30!R30+[6]A30!S30+[6]A30!T30+[6]A30!U30+[6]A30!V30+[6]A30!W30+[6]A30!X30+[6]A30!Y30+[6]A32!B52</f>
        <v>0</v>
      </c>
      <c r="J19" s="4" t="str">
        <f t="shared" si="9"/>
        <v/>
      </c>
      <c r="K19" s="106">
        <f>[7]A07!X29+[7]A07!AB29+[7]A30!B30+[7]A30!C30+[7]A30!D30+[7]A30!E30+[7]A30!F30+[7]A30!G30+[7]A30!H30+[7]A30!I30+[7]A32!Z52+[7]A32!AE52</f>
        <v>0</v>
      </c>
      <c r="L19" s="106">
        <f>[7]A07!B29+[7]A30!R30+[7]A30!S30+[7]A30!T30+[7]A30!U30+[7]A30!V30+[7]A30!W30+[7]A30!X30+[7]A30!Y30+[7]A32!B52</f>
        <v>0</v>
      </c>
      <c r="M19" s="4" t="str">
        <f t="shared" si="10"/>
        <v/>
      </c>
      <c r="N19" s="106">
        <f>[8]A07!X29+[8]A07!AB29+[8]A30!B30+[8]A30!C30+[8]A30!D30+[8]A30!E30+[8]A30!F30+[8]A30!G30+[8]A30!H30+[8]A30!I30+[8]A32!Z52+[8]A32!AE52</f>
        <v>0</v>
      </c>
      <c r="O19" s="106">
        <f>[8]A07!B29+[8]A30!R30+[8]A30!S30+[8]A30!T30+[8]A30!U30+[8]A30!V30+[8]A30!W30+[8]A30!X30+[8]A30!Y30+[8]A32!B52</f>
        <v>0</v>
      </c>
      <c r="P19" s="150" t="e">
        <f t="shared" si="0"/>
        <v>#DIV/0!</v>
      </c>
      <c r="Q19" s="6">
        <f>[15]A07!X29+[15]A07!AB29+[15]A30!B30+[15]A30!C30+[15]A30!D30+[15]A30!E30+[15]A30!F30+[15]A30!G30+[15]A30!H30+[15]A30!I30+[15]A32!Z52+[15]A32!AE52</f>
        <v>0</v>
      </c>
      <c r="R19" s="6">
        <f>[15]A07!B29+[15]A30!R30+[15]A30!S30+[15]A30!T30+[15]A30!U30+[15]A30!V30+[15]A30!W30+[15]A30!X30+[15]A30!Y30+[15]A32!B52</f>
        <v>0</v>
      </c>
      <c r="S19" s="150" t="e">
        <f t="shared" si="1"/>
        <v>#DIV/0!</v>
      </c>
      <c r="T19" s="6">
        <f>[10]A07!X29+[10]A07!AB29+[10]A30!B30+[10]A30!C30+[10]A30!D30+[10]A30!E30+[10]A30!F30+[10]A30!G30+[10]A30!H30+[10]A30!I30+[10]A32!Z52+[10]A32!AE52</f>
        <v>0</v>
      </c>
      <c r="U19" s="6">
        <f>[10]A07!B29+[10]A30!R30+[10]A30!S30+[10]A30!T30+[10]A30!U30+[10]A30!V30+[10]A30!W30+[10]A30!X30+[10]A30!Y30+[10]A32!B52</f>
        <v>0</v>
      </c>
      <c r="V19" s="150" t="e">
        <f t="shared" si="2"/>
        <v>#DIV/0!</v>
      </c>
      <c r="W19" s="6">
        <f>[11]A07!X29+[11]A07!AB29+[11]A30!B30+[11]A30!C30+[11]A30!D30+[11]A30!E30+[11]A30!F30+[11]A30!G30+[11]A30!H30+[11]A30!I30+[11]A32!Z52+[11]A32!AE52</f>
        <v>0</v>
      </c>
      <c r="X19" s="6">
        <f>[11]A07!B29+[11]A30!R30+[11]A30!S30+[11]A30!T30+[11]A30!U30+[11]A30!V30+[11]A30!W30+[11]A30!X30+[11]A30!Y30+[11]A32!B52</f>
        <v>0</v>
      </c>
      <c r="Y19" s="150" t="e">
        <f t="shared" si="3"/>
        <v>#DIV/0!</v>
      </c>
      <c r="Z19" s="6">
        <f>[12]A07!X29+[12]A07!AB29+[12]A30!B30+[12]A30!C30+[12]A30!D30+[12]A30!E30+[12]A30!F30+[12]A30!G30+[12]A30!H30+[12]A30!I30+[12]A32!Z52+[12]A32!AE52</f>
        <v>0</v>
      </c>
      <c r="AA19" s="6">
        <f>[12]A07!B29+[12]A30!R30+[12]A30!S30+[12]A30!T30+[12]A30!U30+[12]A30!V30+[12]A30!W30+[12]A30!X30+[12]A30!Y30+[12]A32!B52</f>
        <v>0</v>
      </c>
      <c r="AB19" s="150" t="e">
        <f t="shared" si="4"/>
        <v>#DIV/0!</v>
      </c>
      <c r="AC19" s="6">
        <f>[13]A07!X29+[13]A07!AB29+[13]A30!B30+[13]A30!C30+[13]A30!D30+[13]A30!E30+[13]A30!F30+[13]A30!G30+[13]A30!H30+[13]A30!I30+[13]A32!Z52+[13]A32!AE52</f>
        <v>0</v>
      </c>
      <c r="AD19" s="6">
        <f>[13]A07!B29+[13]A30!R30+[13]A30!S30+[13]A30!T30+[13]A30!U30+[13]A30!V30+[13]A30!W30+[13]A30!X30+[13]A30!Y30+[13]A32!B52</f>
        <v>0</v>
      </c>
      <c r="AE19" s="150" t="e">
        <f t="shared" si="5"/>
        <v>#DIV/0!</v>
      </c>
      <c r="AF19" s="6">
        <f>[14]A07!X29+[14]A07!AB29+[14]A30!B30+[14]A30!C30+[14]A30!D30+[14]A30!E30+[14]A30!F30+[14]A30!G30+[14]A30!H30+[14]A30!I30+[14]A32!Z52+[14]A32!AE52</f>
        <v>0</v>
      </c>
      <c r="AG19" s="6">
        <f>[14]A07!B29+[14]A30!R30+[14]A30!S30+[14]A30!T30+[14]A30!U30+[14]A30!V30+[14]A30!W30+[14]A30!X30+[14]A30!Y30+[14]A32!B52</f>
        <v>0</v>
      </c>
      <c r="AH19" s="150" t="e">
        <f t="shared" si="6"/>
        <v>#DIV/0!</v>
      </c>
      <c r="AI19" s="6"/>
      <c r="AJ19" s="6"/>
      <c r="AK19" s="4" t="e">
        <f t="shared" si="11"/>
        <v>#DIV/0!</v>
      </c>
      <c r="AL19" s="94">
        <f t="shared" si="16"/>
        <v>0</v>
      </c>
      <c r="AM19" s="94">
        <f t="shared" si="13"/>
        <v>0</v>
      </c>
      <c r="AN19" s="4" t="str">
        <f t="shared" si="14"/>
        <v/>
      </c>
      <c r="AO19" s="1"/>
      <c r="AT19" s="1"/>
    </row>
    <row r="20" spans="1:46" x14ac:dyDescent="0.15">
      <c r="A20" s="77" t="s">
        <v>105</v>
      </c>
      <c r="B20" s="106">
        <f>[4]A07!X30+[4]A07!AB30+[4]A30!B31+[4]A30!C31+[4]A30!D31+[4]A30!E31+[4]A30!F31+[4]A30!G31+[4]A30!H31+[4]A30!I31+[4]A32!Z53+[4]A32!AE53</f>
        <v>0</v>
      </c>
      <c r="C20" s="106">
        <f>[4]A07!B30+[4]A30!R31+[4]A30!S31+[4]A30!T31+[4]A30!U31+[4]A30!V31+[4]A30!W31+[4]A30!X31+[4]A30!Y31+[4]A32!B53</f>
        <v>0</v>
      </c>
      <c r="D20" s="4" t="str">
        <f t="shared" si="7"/>
        <v/>
      </c>
      <c r="E20" s="106">
        <f>[5]A07!X30+[5]A07!AB30+[5]A30!B31+[5]A30!C31+[5]A30!D31+[5]A30!E31+[5]A30!F31+[5]A30!G31+[5]A30!H31+[5]A30!I31+[5]A32!Z53+[5]A32!AE53</f>
        <v>0</v>
      </c>
      <c r="F20" s="106">
        <f>[5]A07!B30+[5]A30!R31+[5]A30!S31+[5]A30!T31+[5]A30!U31+[5]A30!V31+[5]A30!W31+[5]A30!X31+[5]A30!Y31+[5]A32!B53</f>
        <v>0</v>
      </c>
      <c r="G20" s="4" t="str">
        <f t="shared" si="8"/>
        <v/>
      </c>
      <c r="H20" s="106">
        <f>[6]A07!X30+[6]A07!AB30+[6]A30!B31+[6]A30!C31+[6]A30!D31+[6]A30!E31+[6]A30!F31+[6]A30!G31+[6]A30!H31+[6]A30!I31+[6]A32!Z53+[6]A32!AE53</f>
        <v>0</v>
      </c>
      <c r="I20" s="106">
        <f>[6]A07!B30+[6]A30!R31+[6]A30!S31+[6]A30!T31+[6]A30!U31+[6]A30!V31+[6]A30!W31+[6]A30!X31+[6]A30!Y31+[6]A32!B53</f>
        <v>0</v>
      </c>
      <c r="J20" s="4" t="str">
        <f t="shared" si="9"/>
        <v/>
      </c>
      <c r="K20" s="106">
        <f>[7]A07!X30+[7]A07!AB30+[7]A30!B31+[7]A30!C31+[7]A30!D31+[7]A30!E31+[7]A30!F31+[7]A30!G31+[7]A30!H31+[7]A30!I31+[7]A32!Z53+[7]A32!AE53</f>
        <v>0</v>
      </c>
      <c r="L20" s="106">
        <f>[7]A07!B30+[7]A30!R31+[7]A30!S31+[7]A30!T31+[7]A30!U31+[7]A30!V31+[7]A30!W31+[7]A30!X31+[7]A30!Y31+[7]A32!B53</f>
        <v>0</v>
      </c>
      <c r="M20" s="4" t="str">
        <f t="shared" si="10"/>
        <v/>
      </c>
      <c r="N20" s="106">
        <f>[8]A07!X30+[8]A07!AB30+[8]A30!B31+[8]A30!C31+[8]A30!D31+[8]A30!E31+[8]A30!F31+[8]A30!G31+[8]A30!H31+[8]A30!I31+[8]A32!Z53+[8]A32!AE53</f>
        <v>0</v>
      </c>
      <c r="O20" s="106">
        <f>[8]A07!B30+[8]A30!R31+[8]A30!S31+[8]A30!T31+[8]A30!U31+[8]A30!V31+[8]A30!W31+[8]A30!X31+[8]A30!Y31+[8]A32!B53</f>
        <v>0</v>
      </c>
      <c r="P20" s="150" t="e">
        <f t="shared" si="0"/>
        <v>#DIV/0!</v>
      </c>
      <c r="Q20" s="6">
        <f>[15]A07!X30+[15]A07!AB30+[15]A30!B31+[15]A30!C31+[15]A30!D31+[15]A30!E31+[15]A30!F31+[15]A30!G31+[15]A30!H31+[15]A30!I31+[15]A32!Z53+[15]A32!AE53</f>
        <v>0</v>
      </c>
      <c r="R20" s="6">
        <f>[15]A07!B30+[15]A30!R31+[15]A30!S31+[15]A30!T31+[15]A30!U31+[15]A30!V31+[15]A30!W31+[15]A30!X31+[15]A30!Y31+[15]A32!B53</f>
        <v>0</v>
      </c>
      <c r="S20" s="150" t="e">
        <f t="shared" si="1"/>
        <v>#DIV/0!</v>
      </c>
      <c r="T20" s="6">
        <f>[10]A07!X30+[10]A07!AB30+[10]A30!B31+[10]A30!C31+[10]A30!D31+[10]A30!E31+[10]A30!F31+[10]A30!G31+[10]A30!H31+[10]A30!I31+[10]A32!Z53+[10]A32!AE53</f>
        <v>0</v>
      </c>
      <c r="U20" s="6">
        <f>[10]A07!B30+[10]A30!R31+[10]A30!S31+[10]A30!T31+[10]A30!U31+[10]A30!V31+[10]A30!W31+[10]A30!X31+[10]A30!Y31+[10]A32!B53</f>
        <v>0</v>
      </c>
      <c r="V20" s="150" t="e">
        <f t="shared" si="2"/>
        <v>#DIV/0!</v>
      </c>
      <c r="W20" s="6">
        <f>[11]A07!X30+[11]A07!AB30+[11]A30!B31+[11]A30!C31+[11]A30!D31+[11]A30!E31+[11]A30!F31+[11]A30!G31+[11]A30!H31+[11]A30!I31+[11]A32!Z53+[11]A32!AE53</f>
        <v>0</v>
      </c>
      <c r="X20" s="6">
        <f>[11]A07!B30+[11]A30!R31+[11]A30!S31+[11]A30!T31+[11]A30!U31+[11]A30!V31+[11]A30!W31+[11]A30!X31+[11]A30!Y31+[11]A32!B53</f>
        <v>0</v>
      </c>
      <c r="Y20" s="150" t="e">
        <f t="shared" si="3"/>
        <v>#DIV/0!</v>
      </c>
      <c r="Z20" s="6">
        <f>[12]A07!X30+[12]A07!AB30+[12]A30!B31+[12]A30!C31+[12]A30!D31+[12]A30!E31+[12]A30!F31+[12]A30!G31+[12]A30!H31+[12]A30!I31+[12]A32!Z53+[12]A32!AE53</f>
        <v>0</v>
      </c>
      <c r="AA20" s="6">
        <f>[12]A07!B30+[12]A30!R31+[12]A30!S31+[12]A30!T31+[12]A30!U31+[12]A30!V31+[12]A30!W31+[12]A30!X31+[12]A30!Y31+[12]A32!B53</f>
        <v>0</v>
      </c>
      <c r="AB20" s="150" t="e">
        <f t="shared" si="4"/>
        <v>#DIV/0!</v>
      </c>
      <c r="AC20" s="6">
        <f>[13]A07!X30+[13]A07!AB30+[13]A30!B31+[13]A30!C31+[13]A30!D31+[13]A30!E31+[13]A30!F31+[13]A30!G31+[13]A30!H31+[13]A30!I31+[13]A32!Z53+[13]A32!AE53</f>
        <v>0</v>
      </c>
      <c r="AD20" s="6">
        <f>[13]A07!B30+[13]A30!R31+[13]A30!S31+[13]A30!T31+[13]A30!U31+[13]A30!V31+[13]A30!W31+[13]A30!X31+[13]A30!Y31+[13]A32!B53</f>
        <v>0</v>
      </c>
      <c r="AE20" s="150" t="e">
        <f t="shared" si="5"/>
        <v>#DIV/0!</v>
      </c>
      <c r="AF20" s="6">
        <f>[14]A07!X30+[14]A07!AB30+[14]A30!B31+[14]A30!C31+[14]A30!D31+[14]A30!E31+[14]A30!F31+[14]A30!G31+[14]A30!H31+[14]A30!I31+[14]A32!Z53+[14]A32!AE53</f>
        <v>0</v>
      </c>
      <c r="AG20" s="6">
        <f>[14]A07!B30+[14]A30!R31+[14]A30!S31+[14]A30!T31+[14]A30!U31+[14]A30!V31+[14]A30!W31+[14]A30!X31+[14]A30!Y31+[14]A32!B53</f>
        <v>0</v>
      </c>
      <c r="AH20" s="150" t="e">
        <f t="shared" si="6"/>
        <v>#DIV/0!</v>
      </c>
      <c r="AI20" s="6"/>
      <c r="AJ20" s="6"/>
      <c r="AK20" s="4" t="e">
        <f t="shared" si="11"/>
        <v>#DIV/0!</v>
      </c>
      <c r="AL20" s="94">
        <f t="shared" si="16"/>
        <v>0</v>
      </c>
      <c r="AM20" s="94">
        <f t="shared" si="13"/>
        <v>0</v>
      </c>
      <c r="AN20" s="4" t="str">
        <f t="shared" si="14"/>
        <v/>
      </c>
      <c r="AO20" s="1"/>
      <c r="AT20" s="1"/>
    </row>
    <row r="21" spans="1:46" x14ac:dyDescent="0.2">
      <c r="A21" s="79" t="s">
        <v>106</v>
      </c>
      <c r="B21" s="106">
        <f>[4]A07!X31+[4]A07!AB31+[4]A30!B32+[4]A30!C32+[4]A30!D32+[4]A30!E32+[4]A30!F32+[4]A30!G32+[4]A30!H32+[4]A30!I32+[4]A32!Z54+[4]A32!AE54</f>
        <v>0</v>
      </c>
      <c r="C21" s="106">
        <f>[4]A07!B31+[4]A30!R32+[4]A30!S32+[4]A30!T32+[4]A30!U32+[4]A30!V32+[4]A30!W32+[4]A30!X32+[4]A30!Y32+[4]A32!B54</f>
        <v>0</v>
      </c>
      <c r="D21" s="4" t="str">
        <f t="shared" si="7"/>
        <v/>
      </c>
      <c r="E21" s="106">
        <f>[5]A07!X31+[5]A07!AB31+[5]A30!B32+[5]A30!C32+[5]A30!D32+[5]A30!E32+[5]A30!F32+[5]A30!G32+[5]A30!H32+[5]A30!I32+[5]A32!Z54+[5]A32!AE54</f>
        <v>0</v>
      </c>
      <c r="F21" s="106">
        <f>[5]A07!B31+[5]A30!R32+[5]A30!S32+[5]A30!T32+[5]A30!U32+[5]A30!V32+[5]A30!W32+[5]A30!X32+[5]A30!Y32+[5]A32!B54</f>
        <v>0</v>
      </c>
      <c r="G21" s="4" t="str">
        <f t="shared" si="8"/>
        <v/>
      </c>
      <c r="H21" s="106">
        <f>[6]A07!X31+[6]A07!AB31+[6]A30!B32+[6]A30!C32+[6]A30!D32+[6]A30!E32+[6]A30!F32+[6]A30!G32+[6]A30!H32+[6]A30!I32+[6]A32!Z54+[6]A32!AE54</f>
        <v>0</v>
      </c>
      <c r="I21" s="106">
        <f>[6]A07!B31+[6]A30!R32+[6]A30!S32+[6]A30!T32+[6]A30!U32+[6]A30!V32+[6]A30!W32+[6]A30!X32+[6]A30!Y32+[6]A32!B54</f>
        <v>0</v>
      </c>
      <c r="J21" s="4" t="str">
        <f t="shared" si="9"/>
        <v/>
      </c>
      <c r="K21" s="106">
        <f>[7]A07!X31+[7]A07!AB31+[7]A30!B32+[7]A30!C32+[7]A30!D32+[7]A30!E32+[7]A30!F32+[7]A30!G32+[7]A30!H32+[7]A30!I32+[7]A32!Z54+[7]A32!AE54</f>
        <v>0</v>
      </c>
      <c r="L21" s="106">
        <f>[7]A07!B31+[7]A30!R32+[7]A30!S32+[7]A30!T32+[7]A30!U32+[7]A30!V32+[7]A30!W32+[7]A30!X32+[7]A30!Y32+[7]A32!B54</f>
        <v>0</v>
      </c>
      <c r="M21" s="4" t="str">
        <f t="shared" si="10"/>
        <v/>
      </c>
      <c r="N21" s="106">
        <f>[8]A07!X31+[8]A07!AB31+[8]A30!B32+[8]A30!C32+[8]A30!D32+[8]A30!E32+[8]A30!F32+[8]A30!G32+[8]A30!H32+[8]A30!I32+[8]A32!Z54+[8]A32!AE54</f>
        <v>0</v>
      </c>
      <c r="O21" s="106">
        <f>[8]A07!B31+[8]A30!R32+[8]A30!S32+[8]A30!T32+[8]A30!U32+[8]A30!V32+[8]A30!W32+[8]A30!X32+[8]A30!Y32+[8]A32!B54</f>
        <v>0</v>
      </c>
      <c r="P21" s="150" t="e">
        <f t="shared" si="0"/>
        <v>#DIV/0!</v>
      </c>
      <c r="Q21" s="6">
        <f>[15]A07!X31+[15]A07!AB31+[15]A30!B32+[15]A30!C32+[15]A30!D32+[15]A30!E32+[15]A30!F32+[15]A30!G32+[15]A30!H32+[15]A30!I32+[15]A32!Z54+[15]A32!AE54</f>
        <v>0</v>
      </c>
      <c r="R21" s="6">
        <f>[15]A07!B31+[15]A30!R32+[15]A30!S32+[15]A30!T32+[15]A30!U32+[15]A30!V32+[15]A30!W32+[15]A30!X32+[15]A30!Y32+[15]A32!B54</f>
        <v>0</v>
      </c>
      <c r="S21" s="150" t="e">
        <f t="shared" si="1"/>
        <v>#DIV/0!</v>
      </c>
      <c r="T21" s="6">
        <f>[10]A07!X31+[10]A07!AB31+[10]A30!B32+[10]A30!C32+[10]A30!D32+[10]A30!E32+[10]A30!F32+[10]A30!G32+[10]A30!H32+[10]A30!I32+[10]A32!Z54+[10]A32!AE54</f>
        <v>0</v>
      </c>
      <c r="U21" s="6">
        <f>[10]A07!B31+[10]A30!R32+[10]A30!S32+[10]A30!T32+[10]A30!U32+[10]A30!V32+[10]A30!W32+[10]A30!X32+[10]A30!Y32+[10]A32!B54</f>
        <v>0</v>
      </c>
      <c r="V21" s="150" t="e">
        <f t="shared" si="2"/>
        <v>#DIV/0!</v>
      </c>
      <c r="W21" s="6">
        <f>[11]A07!X31+[11]A07!AB31+[11]A30!B32+[11]A30!C32+[11]A30!D32+[11]A30!E32+[11]A30!F32+[11]A30!G32+[11]A30!H32+[11]A30!I32+[11]A32!Z54+[11]A32!AE54</f>
        <v>0</v>
      </c>
      <c r="X21" s="6">
        <f>[11]A07!B31+[11]A30!R32+[11]A30!S32+[11]A30!T32+[11]A30!U32+[11]A30!V32+[11]A30!W32+[11]A30!X32+[11]A30!Y32+[11]A32!B54</f>
        <v>0</v>
      </c>
      <c r="Y21" s="150" t="e">
        <f t="shared" si="3"/>
        <v>#DIV/0!</v>
      </c>
      <c r="Z21" s="6">
        <f>[12]A07!X31+[12]A07!AB31+[12]A30!B32+[12]A30!C32+[12]A30!D32+[12]A30!E32+[12]A30!F32+[12]A30!G32+[12]A30!H32+[12]A30!I32+[12]A32!Z54+[12]A32!AE54</f>
        <v>0</v>
      </c>
      <c r="AA21" s="6">
        <f>[12]A07!B31+[12]A30!R32+[12]A30!S32+[12]A30!T32+[12]A30!U32+[12]A30!V32+[12]A30!W32+[12]A30!X32+[12]A30!Y32+[12]A32!B54</f>
        <v>0</v>
      </c>
      <c r="AB21" s="150" t="e">
        <f t="shared" si="4"/>
        <v>#DIV/0!</v>
      </c>
      <c r="AC21" s="6">
        <f>[13]A07!X31+[13]A07!AB31+[13]A30!B32+[13]A30!C32+[13]A30!D32+[13]A30!E32+[13]A30!F32+[13]A30!G32+[13]A30!H32+[13]A30!I32+[13]A32!Z54+[13]A32!AE54</f>
        <v>0</v>
      </c>
      <c r="AD21" s="6">
        <f>[13]A07!B31+[13]A30!R32+[13]A30!S32+[13]A30!T32+[13]A30!U32+[13]A30!V32+[13]A30!W32+[13]A30!X32+[13]A30!Y32+[13]A32!B54</f>
        <v>0</v>
      </c>
      <c r="AE21" s="150" t="e">
        <f t="shared" si="5"/>
        <v>#DIV/0!</v>
      </c>
      <c r="AF21" s="6">
        <f>[14]A07!X31+[14]A07!AB31+[14]A30!B32+[14]A30!C32+[14]A30!D32+[14]A30!E32+[14]A30!F32+[14]A30!G32+[14]A30!H32+[14]A30!I32+[14]A32!Z54+[14]A32!AE54</f>
        <v>0</v>
      </c>
      <c r="AG21" s="6">
        <f>[14]A07!B31+[14]A30!R32+[14]A30!S32+[14]A30!T32+[14]A30!U32+[14]A30!V32+[14]A30!W32+[14]A30!X32+[14]A30!Y32+[14]A32!B54</f>
        <v>0</v>
      </c>
      <c r="AH21" s="150" t="e">
        <f t="shared" si="6"/>
        <v>#DIV/0!</v>
      </c>
      <c r="AI21" s="6"/>
      <c r="AJ21" s="6"/>
      <c r="AK21" s="4" t="e">
        <f t="shared" si="11"/>
        <v>#DIV/0!</v>
      </c>
      <c r="AL21" s="94">
        <f t="shared" si="16"/>
        <v>0</v>
      </c>
      <c r="AM21" s="94">
        <f t="shared" si="13"/>
        <v>0</v>
      </c>
      <c r="AN21" s="4" t="str">
        <f t="shared" si="14"/>
        <v/>
      </c>
      <c r="AO21" s="1"/>
      <c r="AT21" s="1"/>
    </row>
    <row r="22" spans="1:46" x14ac:dyDescent="0.15">
      <c r="A22" s="77" t="s">
        <v>107</v>
      </c>
      <c r="B22" s="106">
        <f>[4]A07!X32+[4]A07!AB32+[4]A30!B33+[4]A30!C33+[4]A30!D33+[4]A30!E33+[4]A30!F33+[4]A30!G33+[4]A30!H33+[4]A30!I33+[4]A32!Z55+[4]A32!AE55</f>
        <v>19</v>
      </c>
      <c r="C22" s="106">
        <f>[4]A07!B32+[4]A30!R33+[4]A30!S33+[4]A30!T33+[4]A30!U33+[4]A30!V33+[4]A30!W33+[4]A30!X33+[4]A30!Y33+[4]A32!B55</f>
        <v>62</v>
      </c>
      <c r="D22" s="4">
        <f t="shared" si="7"/>
        <v>0.30645161290322581</v>
      </c>
      <c r="E22" s="106">
        <f>[5]A07!X32+[5]A07!AB32+[5]A30!B33+[5]A30!C33+[5]A30!D33+[5]A30!E33+[5]A30!F33+[5]A30!G33+[5]A30!H33+[5]A30!I33+[5]A32!Z55+[5]A32!AE55</f>
        <v>55</v>
      </c>
      <c r="F22" s="106">
        <f>[5]A07!B32+[5]A30!R33+[5]A30!S33+[5]A30!T33+[5]A30!U33+[5]A30!V33+[5]A30!W33+[5]A30!X33+[5]A30!Y33+[5]A32!B55</f>
        <v>90</v>
      </c>
      <c r="G22" s="4">
        <f t="shared" si="8"/>
        <v>0.61111111111111116</v>
      </c>
      <c r="H22" s="106">
        <f>[6]A07!X32+[6]A07!AB32+[6]A30!B33+[6]A30!C33+[6]A30!D33+[6]A30!E33+[6]A30!F33+[6]A30!G33+[6]A30!H33+[6]A30!I33+[6]A32!Z55+[6]A32!AE55</f>
        <v>41</v>
      </c>
      <c r="I22" s="106">
        <f>[6]A07!B32+[6]A30!R33+[6]A30!S33+[6]A30!T33+[6]A30!U33+[6]A30!V33+[6]A30!W33+[6]A30!X33+[6]A30!Y33+[6]A32!B55</f>
        <v>106</v>
      </c>
      <c r="J22" s="4">
        <f t="shared" si="9"/>
        <v>0.3867924528301887</v>
      </c>
      <c r="K22" s="106">
        <f>[7]A07!X32+[7]A07!AB32+[7]A30!B33+[7]A30!C33+[7]A30!D33+[7]A30!E33+[7]A30!F33+[7]A30!G33+[7]A30!H33+[7]A30!I33+[7]A32!Z55+[7]A32!AE55</f>
        <v>53</v>
      </c>
      <c r="L22" s="106">
        <f>[7]A07!B32+[7]A30!R33+[7]A30!S33+[7]A30!T33+[7]A30!U33+[7]A30!V33+[7]A30!W33+[7]A30!X33+[7]A30!Y33+[7]A32!B55</f>
        <v>116</v>
      </c>
      <c r="M22" s="4">
        <f t="shared" si="10"/>
        <v>0.45689655172413796</v>
      </c>
      <c r="N22" s="106">
        <f>[8]A07!X32+[8]A07!AB32+[8]A30!B33+[8]A30!C33+[8]A30!D33+[8]A30!E33+[8]A30!F33+[8]A30!G33+[8]A30!H33+[8]A30!I33+[8]A32!Z55+[8]A32!AE55</f>
        <v>30</v>
      </c>
      <c r="O22" s="106">
        <f>[8]A07!B32+[8]A30!R33+[8]A30!S33+[8]A30!T33+[8]A30!U33+[8]A30!V33+[8]A30!W33+[8]A30!X33+[8]A30!Y33+[8]A32!B55</f>
        <v>97</v>
      </c>
      <c r="P22" s="150">
        <f t="shared" si="0"/>
        <v>0.30927835051546393</v>
      </c>
      <c r="Q22" s="6">
        <f>[15]A07!X32+[15]A07!AB32+[15]A30!B33+[15]A30!C33+[15]A30!D33+[15]A30!E33+[15]A30!F33+[15]A30!G33+[15]A30!H33+[15]A30!I33+[15]A32!Z55+[15]A32!AE55</f>
        <v>61</v>
      </c>
      <c r="R22" s="6">
        <f>[15]A07!B32+[15]A30!R33+[15]A30!S33+[15]A30!T33+[15]A30!U33+[15]A30!V33+[15]A30!W33+[15]A30!X33+[15]A30!Y33+[15]A32!B55</f>
        <v>155</v>
      </c>
      <c r="S22" s="150">
        <f t="shared" si="1"/>
        <v>0.3935483870967742</v>
      </c>
      <c r="T22" s="6">
        <f>[10]A07!X32+[10]A07!AB32+[10]A30!B33+[10]A30!C33+[10]A30!D33+[10]A30!E33+[10]A30!F33+[10]A30!G33+[10]A30!H33+[10]A30!I33+[10]A32!Z55+[10]A32!AE55</f>
        <v>34</v>
      </c>
      <c r="U22" s="6">
        <f>[10]A07!B32+[10]A30!R33+[10]A30!S33+[10]A30!T33+[10]A30!U33+[10]A30!V33+[10]A30!W33+[10]A30!X33+[10]A30!Y33+[10]A32!B55</f>
        <v>111</v>
      </c>
      <c r="V22" s="150">
        <f t="shared" si="2"/>
        <v>0.30630630630630629</v>
      </c>
      <c r="W22" s="6">
        <f>[11]A07!X32+[11]A07!AB32+[11]A30!B33+[11]A30!C33+[11]A30!D33+[11]A30!E33+[11]A30!F33+[11]A30!G33+[11]A30!H33+[11]A30!I33+[11]A32!Z55+[11]A32!AE55</f>
        <v>19</v>
      </c>
      <c r="X22" s="6">
        <f>[11]A07!B32+[11]A30!R33+[11]A30!S33+[11]A30!T33+[11]A30!U33+[11]A30!V33+[11]A30!W33+[11]A30!X33+[11]A30!Y33+[11]A32!B55</f>
        <v>67</v>
      </c>
      <c r="Y22" s="150">
        <f t="shared" si="3"/>
        <v>0.28358208955223879</v>
      </c>
      <c r="Z22" s="6">
        <f>[12]A07!X32+[12]A07!AB32+[12]A30!B33+[12]A30!C33+[12]A30!D33+[12]A30!E33+[12]A30!F33+[12]A30!G33+[12]A30!H33+[12]A30!I33+[12]A32!Z55+[12]A32!AE55</f>
        <v>20</v>
      </c>
      <c r="AA22" s="6">
        <f>[12]A07!B32+[12]A30!R33+[12]A30!S33+[12]A30!T33+[12]A30!U33+[12]A30!V33+[12]A30!W33+[12]A30!X33+[12]A30!Y33+[12]A32!B55</f>
        <v>48</v>
      </c>
      <c r="AB22" s="150">
        <f t="shared" si="4"/>
        <v>0.41666666666666669</v>
      </c>
      <c r="AC22" s="6">
        <f>[13]A07!X32+[13]A07!AB32+[13]A30!B33+[13]A30!C33+[13]A30!D33+[13]A30!E33+[13]A30!F33+[13]A30!G33+[13]A30!H33+[13]A30!I33+[13]A32!Z55+[13]A32!AE55</f>
        <v>17</v>
      </c>
      <c r="AD22" s="6">
        <f>[13]A07!B32+[13]A30!R33+[13]A30!S33+[13]A30!T33+[13]A30!U33+[13]A30!V33+[13]A30!W33+[13]A30!X33+[13]A30!Y33+[13]A32!B55</f>
        <v>51</v>
      </c>
      <c r="AE22" s="150">
        <f t="shared" si="5"/>
        <v>0.33333333333333331</v>
      </c>
      <c r="AF22" s="6">
        <f>[14]A07!X32+[14]A07!AB32+[14]A30!B33+[14]A30!C33+[14]A30!D33+[14]A30!E33+[14]A30!F33+[14]A30!G33+[14]A30!H33+[14]A30!I33+[14]A32!Z55+[14]A32!AE55</f>
        <v>14</v>
      </c>
      <c r="AG22" s="6">
        <f>[14]A07!B32+[14]A30!R33+[14]A30!S33+[14]A30!T33+[14]A30!U33+[14]A30!V33+[14]A30!W33+[14]A30!X33+[14]A30!Y33+[14]A32!B55</f>
        <v>43</v>
      </c>
      <c r="AH22" s="150">
        <f t="shared" si="6"/>
        <v>0.32558139534883723</v>
      </c>
      <c r="AI22" s="6"/>
      <c r="AJ22" s="6"/>
      <c r="AK22" s="4" t="e">
        <f t="shared" si="11"/>
        <v>#DIV/0!</v>
      </c>
      <c r="AL22" s="94">
        <f t="shared" si="16"/>
        <v>198</v>
      </c>
      <c r="AM22" s="94">
        <f t="shared" si="13"/>
        <v>471</v>
      </c>
      <c r="AN22" s="4">
        <f t="shared" si="14"/>
        <v>0.42038216560509556</v>
      </c>
      <c r="AO22" s="109" t="str">
        <f>IF(AN22&gt;45%,"1","0")</f>
        <v>0</v>
      </c>
      <c r="AP22" s="1"/>
      <c r="AQ22" s="1"/>
      <c r="AT22" s="151" t="s">
        <v>176</v>
      </c>
    </row>
    <row r="23" spans="1:46" x14ac:dyDescent="0.15">
      <c r="A23" s="77" t="s">
        <v>108</v>
      </c>
      <c r="B23" s="106">
        <f>[4]A07!X33+[4]A07!AB33+[4]A30!B34+[4]A30!C34+[4]A30!D34+[4]A30!E34+[4]A30!F34+[4]A30!G34+[4]A30!H34+[4]A30!I34+[4]A32!Z56+[4]A32!AE56</f>
        <v>0</v>
      </c>
      <c r="C23" s="106">
        <f>[4]A07!B33+[4]A30!R34+[4]A30!S34+[4]A30!T34+[4]A30!U34+[4]A30!V34+[4]A30!W34+[4]A30!X34+[4]A30!Y34+[4]A32!B56</f>
        <v>0</v>
      </c>
      <c r="D23" s="4" t="str">
        <f t="shared" si="7"/>
        <v/>
      </c>
      <c r="E23" s="106">
        <f>[5]A07!X33+[5]A07!AB33+[5]A30!B34+[5]A30!C34+[5]A30!D34+[5]A30!E34+[5]A30!F34+[5]A30!G34+[5]A30!H34+[5]A30!I34+[5]A32!Z56+[5]A32!AE56</f>
        <v>0</v>
      </c>
      <c r="F23" s="106">
        <f>[5]A07!B33+[5]A30!R34+[5]A30!S34+[5]A30!T34+[5]A30!U34+[5]A30!V34+[5]A30!W34+[5]A30!X34+[5]A30!Y34+[5]A32!B56</f>
        <v>0</v>
      </c>
      <c r="G23" s="4" t="str">
        <f t="shared" si="8"/>
        <v/>
      </c>
      <c r="H23" s="106">
        <f>[6]A07!X33+[6]A07!AB33+[6]A30!B34+[6]A30!C34+[6]A30!D34+[6]A30!E34+[6]A30!F34+[6]A30!G34+[6]A30!H34+[6]A30!I34+[6]A32!Z56+[6]A32!AE56</f>
        <v>0</v>
      </c>
      <c r="I23" s="106">
        <f>[6]A07!B33+[6]A30!R34+[6]A30!S34+[6]A30!T34+[6]A30!U34+[6]A30!V34+[6]A30!W34+[6]A30!X34+[6]A30!Y34+[6]A32!B56</f>
        <v>0</v>
      </c>
      <c r="J23" s="4" t="str">
        <f t="shared" si="9"/>
        <v/>
      </c>
      <c r="K23" s="106">
        <f>[7]A07!X33+[7]A07!AB33+[7]A30!B34+[7]A30!C34+[7]A30!D34+[7]A30!E34+[7]A30!F34+[7]A30!G34+[7]A30!H34+[7]A30!I34+[7]A32!Z56+[7]A32!AE56</f>
        <v>0</v>
      </c>
      <c r="L23" s="106">
        <f>[7]A07!B33+[7]A30!R34+[7]A30!S34+[7]A30!T34+[7]A30!U34+[7]A30!V34+[7]A30!W34+[7]A30!X34+[7]A30!Y34+[7]A32!B56</f>
        <v>0</v>
      </c>
      <c r="M23" s="4" t="str">
        <f t="shared" si="10"/>
        <v/>
      </c>
      <c r="N23" s="106">
        <f>[8]A07!X33+[8]A07!AB33+[8]A30!B34+[8]A30!C34+[8]A30!D34+[8]A30!E34+[8]A30!F34+[8]A30!G34+[8]A30!H34+[8]A30!I34+[8]A32!Z56+[8]A32!AE56</f>
        <v>0</v>
      </c>
      <c r="O23" s="106">
        <f>[8]A07!B33+[8]A30!R34+[8]A30!S34+[8]A30!T34+[8]A30!U34+[8]A30!V34+[8]A30!W34+[8]A30!X34+[8]A30!Y34+[8]A32!B56</f>
        <v>0</v>
      </c>
      <c r="P23" s="150" t="e">
        <f t="shared" si="0"/>
        <v>#DIV/0!</v>
      </c>
      <c r="Q23" s="6">
        <f>[15]A07!X33+[15]A07!AB33+[15]A30!B34+[15]A30!C34+[15]A30!D34+[15]A30!E34+[15]A30!F34+[15]A30!G34+[15]A30!H34+[15]A30!I34+[15]A32!Z56+[15]A32!AE56</f>
        <v>0</v>
      </c>
      <c r="R23" s="6">
        <f>[15]A07!B33+[15]A30!R34+[15]A30!S34+[15]A30!T34+[15]A30!U34+[15]A30!V34+[15]A30!W34+[15]A30!X34+[15]A30!Y34+[15]A32!B56</f>
        <v>0</v>
      </c>
      <c r="S23" s="150" t="e">
        <f t="shared" si="1"/>
        <v>#DIV/0!</v>
      </c>
      <c r="T23" s="6">
        <f>[10]A07!X33+[10]A07!AB33+[10]A30!B34+[10]A30!C34+[10]A30!D34+[10]A30!E34+[10]A30!F34+[10]A30!G34+[10]A30!H34+[10]A30!I34+[10]A32!Z56+[10]A32!AE56</f>
        <v>0</v>
      </c>
      <c r="U23" s="6">
        <f>[10]A07!B33+[10]A30!R34+[10]A30!S34+[10]A30!T34+[10]A30!U34+[10]A30!V34+[10]A30!W34+[10]A30!X34+[10]A30!Y34+[10]A32!B56</f>
        <v>0</v>
      </c>
      <c r="V23" s="150" t="e">
        <f t="shared" si="2"/>
        <v>#DIV/0!</v>
      </c>
      <c r="W23" s="6">
        <f>[11]A07!X33+[11]A07!AB33+[11]A30!B34+[11]A30!C34+[11]A30!D34+[11]A30!E34+[11]A30!F34+[11]A30!G34+[11]A30!H34+[11]A30!I34+[11]A32!Z56+[11]A32!AE56</f>
        <v>0</v>
      </c>
      <c r="X23" s="6">
        <f>[11]A07!B33+[11]A30!R34+[11]A30!S34+[11]A30!T34+[11]A30!U34+[11]A30!V34+[11]A30!W34+[11]A30!X34+[11]A30!Y34+[11]A32!B56</f>
        <v>0</v>
      </c>
      <c r="Y23" s="150" t="e">
        <f t="shared" si="3"/>
        <v>#DIV/0!</v>
      </c>
      <c r="Z23" s="6">
        <f>[12]A07!X33+[12]A07!AB33+[12]A30!B34+[12]A30!C34+[12]A30!D34+[12]A30!E34+[12]A30!F34+[12]A30!G34+[12]A30!H34+[12]A30!I34+[12]A32!Z56+[12]A32!AE56</f>
        <v>0</v>
      </c>
      <c r="AA23" s="6">
        <f>[12]A07!B33+[12]A30!R34+[12]A30!S34+[12]A30!T34+[12]A30!U34+[12]A30!V34+[12]A30!W34+[12]A30!X34+[12]A30!Y34+[12]A32!B56</f>
        <v>0</v>
      </c>
      <c r="AB23" s="150" t="e">
        <f t="shared" si="4"/>
        <v>#DIV/0!</v>
      </c>
      <c r="AC23" s="6">
        <f>[13]A07!X33+[13]A07!AB33+[13]A30!B34+[13]A30!C34+[13]A30!D34+[13]A30!E34+[13]A30!F34+[13]A30!G34+[13]A30!H34+[13]A30!I34+[13]A32!Z56+[13]A32!AE56</f>
        <v>0</v>
      </c>
      <c r="AD23" s="6">
        <f>[13]A07!B33+[13]A30!R34+[13]A30!S34+[13]A30!T34+[13]A30!U34+[13]A30!V34+[13]A30!W34+[13]A30!X34+[13]A30!Y34+[13]A32!B56</f>
        <v>0</v>
      </c>
      <c r="AE23" s="150" t="e">
        <f t="shared" si="5"/>
        <v>#DIV/0!</v>
      </c>
      <c r="AF23" s="6">
        <f>[14]A07!X33+[14]A07!AB33+[14]A30!B34+[14]A30!C34+[14]A30!D34+[14]A30!E34+[14]A30!F34+[14]A30!G34+[14]A30!H34+[14]A30!I34+[14]A32!Z56+[14]A32!AE56</f>
        <v>0</v>
      </c>
      <c r="AG23" s="6">
        <f>[14]A07!B33+[14]A30!R34+[14]A30!S34+[14]A30!T34+[14]A30!U34+[14]A30!V34+[14]A30!W34+[14]A30!X34+[14]A30!Y34+[14]A32!B56</f>
        <v>0</v>
      </c>
      <c r="AH23" s="150" t="e">
        <f t="shared" si="6"/>
        <v>#DIV/0!</v>
      </c>
      <c r="AI23" s="6"/>
      <c r="AJ23" s="6"/>
      <c r="AK23" s="4" t="e">
        <f t="shared" si="11"/>
        <v>#DIV/0!</v>
      </c>
      <c r="AL23" s="94">
        <f t="shared" si="16"/>
        <v>0</v>
      </c>
      <c r="AM23" s="94">
        <f t="shared" si="13"/>
        <v>0</v>
      </c>
      <c r="AN23" s="4" t="str">
        <f t="shared" si="14"/>
        <v/>
      </c>
      <c r="AO23" s="1"/>
      <c r="AT23" s="1"/>
    </row>
    <row r="24" spans="1:46" x14ac:dyDescent="0.15">
      <c r="A24" s="77" t="s">
        <v>109</v>
      </c>
      <c r="B24" s="106">
        <f>[4]A07!X34+[4]A07!AB34+[4]A30!B35+[4]A30!C35+[4]A30!D35+[4]A30!E35+[4]A30!F35+[4]A30!G35+[4]A30!H35+[4]A30!I35+[4]A32!Z57+[4]A32!AE57</f>
        <v>37</v>
      </c>
      <c r="C24" s="106">
        <f>[4]A07!B34+[4]A30!R35+[4]A30!S35+[4]A30!T35+[4]A30!U35+[4]A30!V35+[4]A30!W35+[4]A30!X35+[4]A30!Y35+[4]A32!B57</f>
        <v>120</v>
      </c>
      <c r="D24" s="4">
        <f t="shared" si="7"/>
        <v>0.30833333333333335</v>
      </c>
      <c r="E24" s="106">
        <f>[5]A07!X34+[5]A07!AB34+[5]A30!B35+[5]A30!C35+[5]A30!D35+[5]A30!E35+[5]A30!F35+[5]A30!G35+[5]A30!H35+[5]A30!I35+[5]A32!Z57+[5]A32!AE57</f>
        <v>34</v>
      </c>
      <c r="F24" s="106">
        <f>[5]A07!B34+[5]A30!R35+[5]A30!S35+[5]A30!T35+[5]A30!U35+[5]A30!V35+[5]A30!W35+[5]A30!X35+[5]A30!Y35+[5]A32!B57</f>
        <v>119</v>
      </c>
      <c r="G24" s="4">
        <f t="shared" si="8"/>
        <v>0.2857142857142857</v>
      </c>
      <c r="H24" s="106">
        <f>[6]A07!X34+[6]A07!AB34+[6]A30!B35+[6]A30!C35+[6]A30!D35+[6]A30!E35+[6]A30!F35+[6]A30!G35+[6]A30!H35+[6]A30!I35+[6]A32!Z57+[6]A32!AE57</f>
        <v>43</v>
      </c>
      <c r="I24" s="106">
        <f>[6]A07!B34+[6]A30!R35+[6]A30!S35+[6]A30!T35+[6]A30!U35+[6]A30!V35+[6]A30!W35+[6]A30!X35+[6]A30!Y35+[6]A32!B57</f>
        <v>162</v>
      </c>
      <c r="J24" s="4">
        <f t="shared" si="9"/>
        <v>0.26543209876543211</v>
      </c>
      <c r="K24" s="106">
        <f>[7]A07!X34+[7]A07!AB34+[7]A30!B35+[7]A30!C35+[7]A30!D35+[7]A30!E35+[7]A30!F35+[7]A30!G35+[7]A30!H35+[7]A30!I35+[7]A32!Z57+[7]A32!AE57</f>
        <v>32</v>
      </c>
      <c r="L24" s="106">
        <f>[7]A07!B34+[7]A30!R35+[7]A30!S35+[7]A30!T35+[7]A30!U35+[7]A30!V35+[7]A30!W35+[7]A30!X35+[7]A30!Y35+[7]A32!B57</f>
        <v>141</v>
      </c>
      <c r="M24" s="4">
        <f t="shared" si="10"/>
        <v>0.22695035460992907</v>
      </c>
      <c r="N24" s="106">
        <f>[8]A07!X34+[8]A07!AB34+[8]A30!B35+[8]A30!C35+[8]A30!D35+[8]A30!E35+[8]A30!F35+[8]A30!G35+[8]A30!H35+[8]A30!I35+[8]A32!Z57+[8]A32!AE57</f>
        <v>34</v>
      </c>
      <c r="O24" s="106">
        <f>[8]A07!B34+[8]A30!R35+[8]A30!S35+[8]A30!T35+[8]A30!U35+[8]A30!V35+[8]A30!W35+[8]A30!X35+[8]A30!Y35+[8]A32!B57</f>
        <v>146</v>
      </c>
      <c r="P24" s="150">
        <f t="shared" si="0"/>
        <v>0.23287671232876711</v>
      </c>
      <c r="Q24" s="6">
        <f>[15]A07!X34+[15]A07!AB34+[15]A30!B35+[15]A30!C35+[15]A30!D35+[15]A30!E35+[15]A30!F35+[15]A30!G35+[15]A30!H35+[15]A30!I35+[15]A32!Z57+[15]A32!AE57</f>
        <v>18</v>
      </c>
      <c r="R24" s="6">
        <f>[15]A07!B34+[15]A30!R35+[15]A30!S35+[15]A30!T35+[15]A30!U35+[15]A30!V35+[15]A30!W35+[15]A30!X35+[15]A30!Y35+[15]A32!B57</f>
        <v>76</v>
      </c>
      <c r="S24" s="150">
        <f t="shared" si="1"/>
        <v>0.23684210526315788</v>
      </c>
      <c r="T24" s="6">
        <f>[10]A07!X34+[10]A07!AB34+[10]A30!B35+[10]A30!C35+[10]A30!D35+[10]A30!E35+[10]A30!F35+[10]A30!G35+[10]A30!H35+[10]A30!I35+[10]A32!Z57+[10]A32!AE57</f>
        <v>13</v>
      </c>
      <c r="U24" s="6">
        <f>[10]A07!B34+[10]A30!R35+[10]A30!S35+[10]A30!T35+[10]A30!U35+[10]A30!V35+[10]A30!W35+[10]A30!X35+[10]A30!Y35+[10]A32!B57</f>
        <v>67</v>
      </c>
      <c r="V24" s="150">
        <f t="shared" si="2"/>
        <v>0.19402985074626866</v>
      </c>
      <c r="W24" s="6">
        <f>[11]A07!X34+[11]A07!AB34+[11]A30!B35+[11]A30!C35+[11]A30!D35+[11]A30!E35+[11]A30!F35+[11]A30!G35+[11]A30!H35+[11]A30!I35+[11]A32!Z57+[11]A32!AE57</f>
        <v>42</v>
      </c>
      <c r="X24" s="6">
        <f>[11]A07!B34+[11]A30!R35+[11]A30!S35+[11]A30!T35+[11]A30!U35+[11]A30!V35+[11]A30!W35+[11]A30!X35+[11]A30!Y35+[11]A32!B57</f>
        <v>119</v>
      </c>
      <c r="Y24" s="150">
        <f t="shared" si="3"/>
        <v>0.35294117647058826</v>
      </c>
      <c r="Z24" s="6">
        <f>[12]A07!X34+[12]A07!AB34+[12]A30!B35+[12]A30!C35+[12]A30!D35+[12]A30!E35+[12]A30!F35+[12]A30!G35+[12]A30!H35+[12]A30!I35+[12]A32!Z57+[12]A32!AE57</f>
        <v>34</v>
      </c>
      <c r="AA24" s="6">
        <f>[12]A07!B34+[12]A30!R35+[12]A30!S35+[12]A30!T35+[12]A30!U35+[12]A30!V35+[12]A30!W35+[12]A30!X35+[12]A30!Y35+[12]A32!B57</f>
        <v>147</v>
      </c>
      <c r="AB24" s="150">
        <f t="shared" si="4"/>
        <v>0.23129251700680273</v>
      </c>
      <c r="AC24" s="6">
        <f>[13]A07!X34+[13]A07!AB34+[13]A30!B35+[13]A30!C35+[13]A30!D35+[13]A30!E35+[13]A30!F35+[13]A30!G35+[13]A30!H35+[13]A30!I35+[13]A32!Z57+[13]A32!AE57</f>
        <v>28</v>
      </c>
      <c r="AD24" s="6">
        <f>[13]A07!B34+[13]A30!R35+[13]A30!S35+[13]A30!T35+[13]A30!U35+[13]A30!V35+[13]A30!W35+[13]A30!X35+[13]A30!Y35+[13]A32!B57</f>
        <v>134</v>
      </c>
      <c r="AE24" s="150">
        <f t="shared" si="5"/>
        <v>0.20895522388059701</v>
      </c>
      <c r="AF24" s="6">
        <f>[14]A07!X34+[14]A07!AB34+[14]A30!B35+[14]A30!C35+[14]A30!D35+[14]A30!E35+[14]A30!F35+[14]A30!G35+[14]A30!H35+[14]A30!I35+[14]A32!Z57+[14]A32!AE57</f>
        <v>23</v>
      </c>
      <c r="AG24" s="6">
        <f>[14]A07!B34+[14]A30!R35+[14]A30!S35+[14]A30!T35+[14]A30!U35+[14]A30!V35+[14]A30!W35+[14]A30!X35+[14]A30!Y35+[14]A32!B57</f>
        <v>130</v>
      </c>
      <c r="AH24" s="150">
        <f t="shared" si="6"/>
        <v>0.17692307692307693</v>
      </c>
      <c r="AI24" s="6"/>
      <c r="AJ24" s="6"/>
      <c r="AK24" s="4" t="e">
        <f t="shared" si="11"/>
        <v>#DIV/0!</v>
      </c>
      <c r="AL24" s="94">
        <f t="shared" si="16"/>
        <v>180</v>
      </c>
      <c r="AM24" s="94">
        <f t="shared" si="13"/>
        <v>688</v>
      </c>
      <c r="AN24" s="4">
        <f t="shared" si="14"/>
        <v>0.26162790697674421</v>
      </c>
      <c r="AO24" s="109" t="str">
        <f>IF(AN24&gt;25%,"1","0")</f>
        <v>1</v>
      </c>
      <c r="AP24" s="1"/>
      <c r="AQ24" s="1"/>
      <c r="AT24" s="151" t="s">
        <v>173</v>
      </c>
    </row>
    <row r="25" spans="1:46" x14ac:dyDescent="0.15">
      <c r="A25" s="77" t="s">
        <v>110</v>
      </c>
      <c r="B25" s="106">
        <f>[4]A07!X35+[4]A07!AB35+[4]A30!B36+[4]A30!C36+[4]A30!D36+[4]A30!E36+[4]A30!F36+[4]A30!G36+[4]A30!H36+[4]A30!I36+[4]A32!Z58+[4]A32!AE58</f>
        <v>0</v>
      </c>
      <c r="C25" s="106">
        <f>[4]A07!B35+[4]A30!R36+[4]A30!S36+[4]A30!T36+[4]A30!U36+[4]A30!V36+[4]A30!W36+[4]A30!X36+[4]A30!Y36+[4]A32!B58</f>
        <v>0</v>
      </c>
      <c r="D25" s="4" t="str">
        <f t="shared" si="7"/>
        <v/>
      </c>
      <c r="E25" s="106">
        <f>[5]A07!X35+[5]A07!AB35+[5]A30!B36+[5]A30!C36+[5]A30!D36+[5]A30!E36+[5]A30!F36+[5]A30!G36+[5]A30!H36+[5]A30!I36+[5]A32!Z58+[5]A32!AE58</f>
        <v>0</v>
      </c>
      <c r="F25" s="106">
        <f>[5]A07!B35+[5]A30!R36+[5]A30!S36+[5]A30!T36+[5]A30!U36+[5]A30!V36+[5]A30!W36+[5]A30!X36+[5]A30!Y36+[5]A32!B58</f>
        <v>0</v>
      </c>
      <c r="G25" s="4" t="str">
        <f t="shared" si="8"/>
        <v/>
      </c>
      <c r="H25" s="106">
        <f>[6]A07!X35+[6]A07!AB35+[6]A30!B36+[6]A30!C36+[6]A30!D36+[6]A30!E36+[6]A30!F36+[6]A30!G36+[6]A30!H36+[6]A30!I36+[6]A32!Z58+[6]A32!AE58</f>
        <v>0</v>
      </c>
      <c r="I25" s="106">
        <f>[6]A07!B35+[6]A30!R36+[6]A30!S36+[6]A30!T36+[6]A30!U36+[6]A30!V36+[6]A30!W36+[6]A30!X36+[6]A30!Y36+[6]A32!B58</f>
        <v>0</v>
      </c>
      <c r="J25" s="4" t="str">
        <f t="shared" si="9"/>
        <v/>
      </c>
      <c r="K25" s="106">
        <f>[7]A07!X35+[7]A07!AB35+[7]A30!B36+[7]A30!C36+[7]A30!D36+[7]A30!E36+[7]A30!F36+[7]A30!G36+[7]A30!H36+[7]A30!I36+[7]A32!Z58+[7]A32!AE58</f>
        <v>0</v>
      </c>
      <c r="L25" s="106">
        <f>[7]A07!B35+[7]A30!R36+[7]A30!S36+[7]A30!T36+[7]A30!U36+[7]A30!V36+[7]A30!W36+[7]A30!X36+[7]A30!Y36+[7]A32!B58</f>
        <v>0</v>
      </c>
      <c r="M25" s="4" t="str">
        <f t="shared" si="10"/>
        <v/>
      </c>
      <c r="N25" s="106">
        <f>[8]A07!X35+[8]A07!AB35+[8]A30!B36+[8]A30!C36+[8]A30!D36+[8]A30!E36+[8]A30!F36+[8]A30!G36+[8]A30!H36+[8]A30!I36+[8]A32!Z58+[8]A32!AE58</f>
        <v>0</v>
      </c>
      <c r="O25" s="106">
        <f>[8]A07!B35+[8]A30!R36+[8]A30!S36+[8]A30!T36+[8]A30!U36+[8]A30!V36+[8]A30!W36+[8]A30!X36+[8]A30!Y36+[8]A32!B58</f>
        <v>0</v>
      </c>
      <c r="P25" s="150" t="e">
        <f t="shared" si="0"/>
        <v>#DIV/0!</v>
      </c>
      <c r="Q25" s="6">
        <f>[15]A07!X35+[15]A07!AB35+[15]A30!B36+[15]A30!C36+[15]A30!D36+[15]A30!E36+[15]A30!F36+[15]A30!G36+[15]A30!H36+[15]A30!I36+[15]A32!Z58+[15]A32!AE58</f>
        <v>0</v>
      </c>
      <c r="R25" s="6">
        <f>[15]A07!B35+[15]A30!R36+[15]A30!S36+[15]A30!T36+[15]A30!U36+[15]A30!V36+[15]A30!W36+[15]A30!X36+[15]A30!Y36+[15]A32!B58</f>
        <v>0</v>
      </c>
      <c r="S25" s="150" t="e">
        <f t="shared" si="1"/>
        <v>#DIV/0!</v>
      </c>
      <c r="T25" s="6">
        <f>[10]A07!X35+[10]A07!AB35+[10]A30!B36+[10]A30!C36+[10]A30!D36+[10]A30!E36+[10]A30!F36+[10]A30!G36+[10]A30!H36+[10]A30!I36+[10]A32!Z58+[10]A32!AE58</f>
        <v>0</v>
      </c>
      <c r="U25" s="6">
        <f>[10]A07!B35+[10]A30!R36+[10]A30!S36+[10]A30!T36+[10]A30!U36+[10]A30!V36+[10]A30!W36+[10]A30!X36+[10]A30!Y36+[10]A32!B58</f>
        <v>0</v>
      </c>
      <c r="V25" s="150" t="e">
        <f t="shared" si="2"/>
        <v>#DIV/0!</v>
      </c>
      <c r="W25" s="6">
        <f>[11]A07!X35+[11]A07!AB35+[11]A30!B36+[11]A30!C36+[11]A30!D36+[11]A30!E36+[11]A30!F36+[11]A30!G36+[11]A30!H36+[11]A30!I36+[11]A32!Z58+[11]A32!AE58</f>
        <v>0</v>
      </c>
      <c r="X25" s="6">
        <f>[11]A07!B35+[11]A30!R36+[11]A30!S36+[11]A30!T36+[11]A30!U36+[11]A30!V36+[11]A30!W36+[11]A30!X36+[11]A30!Y36+[11]A32!B58</f>
        <v>0</v>
      </c>
      <c r="Y25" s="150" t="e">
        <f t="shared" si="3"/>
        <v>#DIV/0!</v>
      </c>
      <c r="Z25" s="6">
        <f>[12]A07!X35+[12]A07!AB35+[12]A30!B36+[12]A30!C36+[12]A30!D36+[12]A30!E36+[12]A30!F36+[12]A30!G36+[12]A30!H36+[12]A30!I36+[12]A32!Z58+[12]A32!AE58</f>
        <v>0</v>
      </c>
      <c r="AA25" s="6">
        <f>[12]A07!B35+[12]A30!R36+[12]A30!S36+[12]A30!T36+[12]A30!U36+[12]A30!V36+[12]A30!W36+[12]A30!X36+[12]A30!Y36+[12]A32!B58</f>
        <v>0</v>
      </c>
      <c r="AB25" s="150" t="e">
        <f t="shared" si="4"/>
        <v>#DIV/0!</v>
      </c>
      <c r="AC25" s="6">
        <f>[13]A07!X35+[13]A07!AB35+[13]A30!B36+[13]A30!C36+[13]A30!D36+[13]A30!E36+[13]A30!F36+[13]A30!G36+[13]A30!H36+[13]A30!I36+[13]A32!Z58+[13]A32!AE58</f>
        <v>0</v>
      </c>
      <c r="AD25" s="6">
        <f>[13]A07!B35+[13]A30!R36+[13]A30!S36+[13]A30!T36+[13]A30!U36+[13]A30!V36+[13]A30!W36+[13]A30!X36+[13]A30!Y36+[13]A32!B58</f>
        <v>0</v>
      </c>
      <c r="AE25" s="150" t="e">
        <f t="shared" si="5"/>
        <v>#DIV/0!</v>
      </c>
      <c r="AF25" s="6">
        <f>[14]A07!X35+[14]A07!AB35+[14]A30!B36+[14]A30!C36+[14]A30!D36+[14]A30!E36+[14]A30!F36+[14]A30!G36+[14]A30!H36+[14]A30!I36+[14]A32!Z58+[14]A32!AE58</f>
        <v>0</v>
      </c>
      <c r="AG25" s="6">
        <f>[14]A07!B35+[14]A30!R36+[14]A30!S36+[14]A30!T36+[14]A30!U36+[14]A30!V36+[14]A30!W36+[14]A30!X36+[14]A30!Y36+[14]A32!B58</f>
        <v>0</v>
      </c>
      <c r="AH25" s="150" t="e">
        <f t="shared" si="6"/>
        <v>#DIV/0!</v>
      </c>
      <c r="AI25" s="6"/>
      <c r="AJ25" s="6"/>
      <c r="AK25" s="4" t="e">
        <f t="shared" si="11"/>
        <v>#DIV/0!</v>
      </c>
      <c r="AL25" s="94">
        <f t="shared" si="16"/>
        <v>0</v>
      </c>
      <c r="AM25" s="94">
        <f t="shared" si="13"/>
        <v>0</v>
      </c>
      <c r="AN25" s="4" t="str">
        <f t="shared" si="14"/>
        <v/>
      </c>
      <c r="AO25" s="1"/>
      <c r="AT25" s="1"/>
    </row>
    <row r="26" spans="1:46" x14ac:dyDescent="0.15">
      <c r="A26" s="77" t="s">
        <v>111</v>
      </c>
      <c r="B26" s="106">
        <f>[4]A07!X36+[4]A07!AB36+[4]A30!B37+[4]A30!C37+[4]A30!D37+[4]A30!E37+[4]A30!F37+[4]A30!G37+[4]A30!H37+[4]A30!I37+[4]A32!Z59+[4]A32!AE59</f>
        <v>0</v>
      </c>
      <c r="C26" s="106">
        <f>[4]A07!B36+[4]A30!R37+[4]A30!S37+[4]A30!T37+[4]A30!U37+[4]A30!V37+[4]A30!W37+[4]A30!X37+[4]A30!Y37+[4]A32!B59</f>
        <v>0</v>
      </c>
      <c r="D26" s="4" t="str">
        <f t="shared" si="7"/>
        <v/>
      </c>
      <c r="E26" s="106">
        <f>[5]A07!X36+[5]A07!AB36+[5]A30!B37+[5]A30!C37+[5]A30!D37+[5]A30!E37+[5]A30!F37+[5]A30!G37+[5]A30!H37+[5]A30!I37+[5]A32!Z59+[5]A32!AE59</f>
        <v>0</v>
      </c>
      <c r="F26" s="106">
        <f>[5]A07!B36+[5]A30!R37+[5]A30!S37+[5]A30!T37+[5]A30!U37+[5]A30!V37+[5]A30!W37+[5]A30!X37+[5]A30!Y37+[5]A32!B59</f>
        <v>0</v>
      </c>
      <c r="G26" s="4" t="str">
        <f t="shared" si="8"/>
        <v/>
      </c>
      <c r="H26" s="106">
        <f>[6]A07!X36+[6]A07!AB36+[6]A30!B37+[6]A30!C37+[6]A30!D37+[6]A30!E37+[6]A30!F37+[6]A30!G37+[6]A30!H37+[6]A30!I37+[6]A32!Z59+[6]A32!AE59</f>
        <v>0</v>
      </c>
      <c r="I26" s="106">
        <f>[6]A07!B36+[6]A30!R37+[6]A30!S37+[6]A30!T37+[6]A30!U37+[6]A30!V37+[6]A30!W37+[6]A30!X37+[6]A30!Y37+[6]A32!B59</f>
        <v>0</v>
      </c>
      <c r="J26" s="4" t="str">
        <f t="shared" si="9"/>
        <v/>
      </c>
      <c r="K26" s="106">
        <f>[7]A07!X36+[7]A07!AB36+[7]A30!B37+[7]A30!C37+[7]A30!D37+[7]A30!E37+[7]A30!F37+[7]A30!G37+[7]A30!H37+[7]A30!I37+[7]A32!Z59+[7]A32!AE59</f>
        <v>0</v>
      </c>
      <c r="L26" s="106">
        <f>[7]A07!B36+[7]A30!R37+[7]A30!S37+[7]A30!T37+[7]A30!U37+[7]A30!V37+[7]A30!W37+[7]A30!X37+[7]A30!Y37+[7]A32!B59</f>
        <v>0</v>
      </c>
      <c r="M26" s="4" t="str">
        <f t="shared" si="10"/>
        <v/>
      </c>
      <c r="N26" s="106">
        <f>[8]A07!X36+[8]A07!AB36+[8]A30!B37+[8]A30!C37+[8]A30!D37+[8]A30!E37+[8]A30!F37+[8]A30!G37+[8]A30!H37+[8]A30!I37+[8]A32!Z59+[8]A32!AE59</f>
        <v>0</v>
      </c>
      <c r="O26" s="106">
        <f>[8]A07!B36+[8]A30!R37+[8]A30!S37+[8]A30!T37+[8]A30!U37+[8]A30!V37+[8]A30!W37+[8]A30!X37+[8]A30!Y37+[8]A32!B59</f>
        <v>0</v>
      </c>
      <c r="P26" s="150" t="e">
        <f t="shared" si="0"/>
        <v>#DIV/0!</v>
      </c>
      <c r="Q26" s="6">
        <f>[15]A07!X36+[15]A07!AB36+[15]A30!B37+[15]A30!C37+[15]A30!D37+[15]A30!E37+[15]A30!F37+[15]A30!G37+[15]A30!H37+[15]A30!I37+[15]A32!Z59+[15]A32!AE59</f>
        <v>0</v>
      </c>
      <c r="R26" s="6">
        <f>[15]A07!B36+[15]A30!R37+[15]A30!S37+[15]A30!T37+[15]A30!U37+[15]A30!V37+[15]A30!W37+[15]A30!X37+[15]A30!Y37+[15]A32!B59</f>
        <v>0</v>
      </c>
      <c r="S26" s="150" t="e">
        <f t="shared" si="1"/>
        <v>#DIV/0!</v>
      </c>
      <c r="T26" s="6">
        <f>[10]A07!X36+[10]A07!AB36+[10]A30!B37+[10]A30!C37+[10]A30!D37+[10]A30!E37+[10]A30!F37+[10]A30!G37+[10]A30!H37+[10]A30!I37+[10]A32!Z59+[10]A32!AE59</f>
        <v>0</v>
      </c>
      <c r="U26" s="6">
        <f>[10]A07!B36+[10]A30!R37+[10]A30!S37+[10]A30!T37+[10]A30!U37+[10]A30!V37+[10]A30!W37+[10]A30!X37+[10]A30!Y37+[10]A32!B59</f>
        <v>0</v>
      </c>
      <c r="V26" s="150" t="e">
        <f t="shared" si="2"/>
        <v>#DIV/0!</v>
      </c>
      <c r="W26" s="6">
        <f>[11]A07!X36+[11]A07!AB36+[11]A30!B37+[11]A30!C37+[11]A30!D37+[11]A30!E37+[11]A30!F37+[11]A30!G37+[11]A30!H37+[11]A30!I37+[11]A32!Z59+[11]A32!AE59</f>
        <v>0</v>
      </c>
      <c r="X26" s="6">
        <f>[11]A07!B36+[11]A30!R37+[11]A30!S37+[11]A30!T37+[11]A30!U37+[11]A30!V37+[11]A30!W37+[11]A30!X37+[11]A30!Y37+[11]A32!B59</f>
        <v>0</v>
      </c>
      <c r="Y26" s="150" t="e">
        <f t="shared" si="3"/>
        <v>#DIV/0!</v>
      </c>
      <c r="Z26" s="6">
        <f>[12]A07!X36+[12]A07!AB36+[12]A30!B37+[12]A30!C37+[12]A30!D37+[12]A30!E37+[12]A30!F37+[12]A30!G37+[12]A30!H37+[12]A30!I37+[12]A32!Z59+[12]A32!AE59</f>
        <v>0</v>
      </c>
      <c r="AA26" s="6">
        <f>[12]A07!B36+[12]A30!R37+[12]A30!S37+[12]A30!T37+[12]A30!U37+[12]A30!V37+[12]A30!W37+[12]A30!X37+[12]A30!Y37+[12]A32!B59</f>
        <v>0</v>
      </c>
      <c r="AB26" s="150" t="e">
        <f t="shared" si="4"/>
        <v>#DIV/0!</v>
      </c>
      <c r="AC26" s="6">
        <f>[13]A07!X36+[13]A07!AB36+[13]A30!B37+[13]A30!C37+[13]A30!D37+[13]A30!E37+[13]A30!F37+[13]A30!G37+[13]A30!H37+[13]A30!I37+[13]A32!Z59+[13]A32!AE59</f>
        <v>0</v>
      </c>
      <c r="AD26" s="6">
        <f>[13]A07!B36+[13]A30!R37+[13]A30!S37+[13]A30!T37+[13]A30!U37+[13]A30!V37+[13]A30!W37+[13]A30!X37+[13]A30!Y37+[13]A32!B59</f>
        <v>0</v>
      </c>
      <c r="AE26" s="150" t="e">
        <f t="shared" si="5"/>
        <v>#DIV/0!</v>
      </c>
      <c r="AF26" s="6">
        <f>[14]A07!X36+[14]A07!AB36+[14]A30!B37+[14]A30!C37+[14]A30!D37+[14]A30!E37+[14]A30!F37+[14]A30!G37+[14]A30!H37+[14]A30!I37+[14]A32!Z59+[14]A32!AE59</f>
        <v>0</v>
      </c>
      <c r="AG26" s="6">
        <f>[14]A07!B36+[14]A30!R37+[14]A30!S37+[14]A30!T37+[14]A30!U37+[14]A30!V37+[14]A30!W37+[14]A30!X37+[14]A30!Y37+[14]A32!B59</f>
        <v>0</v>
      </c>
      <c r="AH26" s="150" t="e">
        <f t="shared" si="6"/>
        <v>#DIV/0!</v>
      </c>
      <c r="AI26" s="6"/>
      <c r="AJ26" s="6"/>
      <c r="AK26" s="4" t="e">
        <f t="shared" si="11"/>
        <v>#DIV/0!</v>
      </c>
      <c r="AL26" s="94">
        <f t="shared" si="16"/>
        <v>0</v>
      </c>
      <c r="AM26" s="94">
        <f t="shared" si="13"/>
        <v>0</v>
      </c>
      <c r="AN26" s="4" t="str">
        <f t="shared" si="14"/>
        <v/>
      </c>
      <c r="AO26" s="1"/>
      <c r="AT26" s="1"/>
    </row>
    <row r="27" spans="1:46" x14ac:dyDescent="0.2">
      <c r="A27" s="79" t="s">
        <v>112</v>
      </c>
      <c r="B27" s="106">
        <f>[4]A07!X37+[4]A07!AB37+[4]A30!B38+[4]A30!C38+[4]A30!D38+[4]A30!E38+[4]A30!F38+[4]A30!G38+[4]A30!H38+[4]A30!I38+[4]A32!Z60+[4]A32!AE60</f>
        <v>0</v>
      </c>
      <c r="C27" s="106">
        <f>[4]A07!B37+[4]A30!R38+[4]A30!S38+[4]A30!T38+[4]A30!U38+[4]A30!V38+[4]A30!W38+[4]A30!X38+[4]A30!Y38+[4]A32!B60</f>
        <v>0</v>
      </c>
      <c r="D27" s="4" t="str">
        <f t="shared" si="7"/>
        <v/>
      </c>
      <c r="E27" s="106">
        <f>[5]A07!X37+[5]A07!AB37+[5]A30!B38+[5]A30!C38+[5]A30!D38+[5]A30!E38+[5]A30!F38+[5]A30!G38+[5]A30!H38+[5]A30!I38+[5]A32!Z60+[5]A32!AE60</f>
        <v>0</v>
      </c>
      <c r="F27" s="106">
        <f>[5]A07!B37+[5]A30!R38+[5]A30!S38+[5]A30!T38+[5]A30!U38+[5]A30!V38+[5]A30!W38+[5]A30!X38+[5]A30!Y38+[5]A32!B60</f>
        <v>0</v>
      </c>
      <c r="G27" s="4" t="str">
        <f t="shared" si="8"/>
        <v/>
      </c>
      <c r="H27" s="106">
        <f>[6]A07!X37+[6]A07!AB37+[6]A30!B38+[6]A30!C38+[6]A30!D38+[6]A30!E38+[6]A30!F38+[6]A30!G38+[6]A30!H38+[6]A30!I38+[6]A32!Z60+[6]A32!AE60</f>
        <v>0</v>
      </c>
      <c r="I27" s="106">
        <f>[6]A07!B37+[6]A30!R38+[6]A30!S38+[6]A30!T38+[6]A30!U38+[6]A30!V38+[6]A30!W38+[6]A30!X38+[6]A30!Y38+[6]A32!B60</f>
        <v>0</v>
      </c>
      <c r="J27" s="4" t="str">
        <f t="shared" si="9"/>
        <v/>
      </c>
      <c r="K27" s="106">
        <f>[7]A07!X37+[7]A07!AB37+[7]A30!B38+[7]A30!C38+[7]A30!D38+[7]A30!E38+[7]A30!F38+[7]A30!G38+[7]A30!H38+[7]A30!I38+[7]A32!Z60+[7]A32!AE60</f>
        <v>0</v>
      </c>
      <c r="L27" s="106">
        <f>[7]A07!B37+[7]A30!R38+[7]A30!S38+[7]A30!T38+[7]A30!U38+[7]A30!V38+[7]A30!W38+[7]A30!X38+[7]A30!Y38+[7]A32!B60</f>
        <v>0</v>
      </c>
      <c r="M27" s="4" t="str">
        <f t="shared" si="10"/>
        <v/>
      </c>
      <c r="N27" s="106">
        <f>[8]A07!X37+[8]A07!AB37+[8]A30!B38+[8]A30!C38+[8]A30!D38+[8]A30!E38+[8]A30!F38+[8]A30!G38+[8]A30!H38+[8]A30!I38+[8]A32!Z60+[8]A32!AE60</f>
        <v>0</v>
      </c>
      <c r="O27" s="106">
        <f>[8]A07!B37+[8]A30!R38+[8]A30!S38+[8]A30!T38+[8]A30!U38+[8]A30!V38+[8]A30!W38+[8]A30!X38+[8]A30!Y38+[8]A32!B60</f>
        <v>0</v>
      </c>
      <c r="P27" s="150" t="e">
        <f t="shared" si="0"/>
        <v>#DIV/0!</v>
      </c>
      <c r="Q27" s="6">
        <f>[15]A07!X37+[15]A07!AB37+[15]A30!B38+[15]A30!C38+[15]A30!D38+[15]A30!E38+[15]A30!F38+[15]A30!G38+[15]A30!H38+[15]A30!I38+[15]A32!Z60+[15]A32!AE60</f>
        <v>0</v>
      </c>
      <c r="R27" s="6">
        <f>[15]A07!B37+[15]A30!R38+[15]A30!S38+[15]A30!T38+[15]A30!U38+[15]A30!V38+[15]A30!W38+[15]A30!X38+[15]A30!Y38+[15]A32!B60</f>
        <v>0</v>
      </c>
      <c r="S27" s="150" t="e">
        <f t="shared" si="1"/>
        <v>#DIV/0!</v>
      </c>
      <c r="T27" s="6">
        <f>[10]A07!X37+[10]A07!AB37+[10]A30!B38+[10]A30!C38+[10]A30!D38+[10]A30!E38+[10]A30!F38+[10]A30!G38+[10]A30!H38+[10]A30!I38+[10]A32!Z60+[10]A32!AE60</f>
        <v>0</v>
      </c>
      <c r="U27" s="6">
        <f>[10]A07!B37+[10]A30!R38+[10]A30!S38+[10]A30!T38+[10]A30!U38+[10]A30!V38+[10]A30!W38+[10]A30!X38+[10]A30!Y38+[10]A32!B60</f>
        <v>0</v>
      </c>
      <c r="V27" s="150" t="e">
        <f t="shared" si="2"/>
        <v>#DIV/0!</v>
      </c>
      <c r="W27" s="6">
        <f>[11]A07!X37+[11]A07!AB37+[11]A30!B38+[11]A30!C38+[11]A30!D38+[11]A30!E38+[11]A30!F38+[11]A30!G38+[11]A30!H38+[11]A30!I38+[11]A32!Z60+[11]A32!AE60</f>
        <v>0</v>
      </c>
      <c r="X27" s="6">
        <f>[11]A07!B37+[11]A30!R38+[11]A30!S38+[11]A30!T38+[11]A30!U38+[11]A30!V38+[11]A30!W38+[11]A30!X38+[11]A30!Y38+[11]A32!B60</f>
        <v>0</v>
      </c>
      <c r="Y27" s="150" t="e">
        <f t="shared" si="3"/>
        <v>#DIV/0!</v>
      </c>
      <c r="Z27" s="6">
        <f>[12]A07!X37+[12]A07!AB37+[12]A30!B38+[12]A30!C38+[12]A30!D38+[12]A30!E38+[12]A30!F38+[12]A30!G38+[12]A30!H38+[12]A30!I38+[12]A32!Z60+[12]A32!AE60</f>
        <v>0</v>
      </c>
      <c r="AA27" s="6">
        <f>[12]A07!B37+[12]A30!R38+[12]A30!S38+[12]A30!T38+[12]A30!U38+[12]A30!V38+[12]A30!W38+[12]A30!X38+[12]A30!Y38+[12]A32!B60</f>
        <v>0</v>
      </c>
      <c r="AB27" s="150" t="e">
        <f t="shared" si="4"/>
        <v>#DIV/0!</v>
      </c>
      <c r="AC27" s="6">
        <f>[13]A07!X37+[13]A07!AB37+[13]A30!B38+[13]A30!C38+[13]A30!D38+[13]A30!E38+[13]A30!F38+[13]A30!G38+[13]A30!H38+[13]A30!I38+[13]A32!Z60+[13]A32!AE60</f>
        <v>0</v>
      </c>
      <c r="AD27" s="6">
        <f>[13]A07!B37+[13]A30!R38+[13]A30!S38+[13]A30!T38+[13]A30!U38+[13]A30!V38+[13]A30!W38+[13]A30!X38+[13]A30!Y38+[13]A32!B60</f>
        <v>0</v>
      </c>
      <c r="AE27" s="150" t="e">
        <f t="shared" si="5"/>
        <v>#DIV/0!</v>
      </c>
      <c r="AF27" s="6">
        <f>[14]A07!X37+[14]A07!AB37+[14]A30!B38+[14]A30!C38+[14]A30!D38+[14]A30!E38+[14]A30!F38+[14]A30!G38+[14]A30!H38+[14]A30!I38+[14]A32!Z60+[14]A32!AE60</f>
        <v>0</v>
      </c>
      <c r="AG27" s="6">
        <f>[14]A07!B37+[14]A30!R38+[14]A30!S38+[14]A30!T38+[14]A30!U38+[14]A30!V38+[14]A30!W38+[14]A30!X38+[14]A30!Y38+[14]A32!B60</f>
        <v>0</v>
      </c>
      <c r="AH27" s="150" t="e">
        <f t="shared" si="6"/>
        <v>#DIV/0!</v>
      </c>
      <c r="AI27" s="6"/>
      <c r="AJ27" s="6"/>
      <c r="AK27" s="4" t="e">
        <f t="shared" si="11"/>
        <v>#DIV/0!</v>
      </c>
      <c r="AL27" s="94">
        <f t="shared" si="16"/>
        <v>0</v>
      </c>
      <c r="AM27" s="94">
        <f t="shared" si="13"/>
        <v>0</v>
      </c>
      <c r="AN27" s="4" t="str">
        <f t="shared" si="14"/>
        <v/>
      </c>
      <c r="AO27" s="1"/>
      <c r="AT27" s="1"/>
    </row>
    <row r="28" spans="1:46" x14ac:dyDescent="0.15">
      <c r="A28" s="77" t="s">
        <v>113</v>
      </c>
      <c r="B28" s="106">
        <f>[4]A07!X38+[4]A07!AB38+[4]A30!B39+[4]A30!C39+[4]A30!D39+[4]A30!E39+[4]A30!F39+[4]A30!G39+[4]A30!H39+[4]A30!I39+[4]A32!Z61+[4]A32!AE61</f>
        <v>19</v>
      </c>
      <c r="C28" s="106">
        <f>[4]A07!B38+[4]A30!R39+[4]A30!S39+[4]A30!T39+[4]A30!U39+[4]A30!V39+[4]A30!W39+[4]A30!X39+[4]A30!Y39+[4]A32!B61</f>
        <v>105</v>
      </c>
      <c r="D28" s="4">
        <f t="shared" si="7"/>
        <v>0.18095238095238095</v>
      </c>
      <c r="E28" s="106">
        <f>[5]A07!X38+[5]A07!AB38+[5]A30!B39+[5]A30!C39+[5]A30!D39+[5]A30!E39+[5]A30!F39+[5]A30!G39+[5]A30!H39+[5]A30!I39+[5]A32!Z61+[5]A32!AE61</f>
        <v>19</v>
      </c>
      <c r="F28" s="106">
        <f>[5]A07!B38+[5]A30!R39+[5]A30!S39+[5]A30!T39+[5]A30!U39+[5]A30!V39+[5]A30!W39+[5]A30!X39+[5]A30!Y39+[5]A32!B61</f>
        <v>66</v>
      </c>
      <c r="G28" s="4">
        <f t="shared" si="8"/>
        <v>0.2878787878787879</v>
      </c>
      <c r="H28" s="106">
        <f>[6]A07!X38+[6]A07!AB38+[6]A30!B39+[6]A30!C39+[6]A30!D39+[6]A30!E39+[6]A30!F39+[6]A30!G39+[6]A30!H39+[6]A30!I39+[6]A32!Z61+[6]A32!AE61</f>
        <v>35</v>
      </c>
      <c r="I28" s="106">
        <f>[6]A07!B38+[6]A30!R39+[6]A30!S39+[6]A30!T39+[6]A30!U39+[6]A30!V39+[6]A30!W39+[6]A30!X39+[6]A30!Y39+[6]A32!B61</f>
        <v>124</v>
      </c>
      <c r="J28" s="4">
        <f t="shared" si="9"/>
        <v>0.28225806451612906</v>
      </c>
      <c r="K28" s="106">
        <f>[7]A07!X38+[7]A07!AB38+[7]A30!B39+[7]A30!C39+[7]A30!D39+[7]A30!E39+[7]A30!F39+[7]A30!G39+[7]A30!H39+[7]A30!I39+[7]A32!Z61+[7]A32!AE61</f>
        <v>22</v>
      </c>
      <c r="L28" s="106">
        <f>[7]A07!B38+[7]A30!R39+[7]A30!S39+[7]A30!T39+[7]A30!U39+[7]A30!V39+[7]A30!W39+[7]A30!X39+[7]A30!Y39+[7]A32!B61</f>
        <v>103</v>
      </c>
      <c r="M28" s="4">
        <f t="shared" si="10"/>
        <v>0.21359223300970873</v>
      </c>
      <c r="N28" s="106">
        <f>[8]A07!X38+[8]A07!AB38+[8]A30!B39+[8]A30!C39+[8]A30!D39+[8]A30!E39+[8]A30!F39+[8]A30!G39+[8]A30!H39+[8]A30!I39+[8]A32!Z61+[8]A32!AE61</f>
        <v>23</v>
      </c>
      <c r="O28" s="106">
        <f>[8]A07!B38+[8]A30!R39+[8]A30!S39+[8]A30!T39+[8]A30!U39+[8]A30!V39+[8]A30!W39+[8]A30!X39+[8]A30!Y39+[8]A32!B61</f>
        <v>108</v>
      </c>
      <c r="P28" s="150">
        <f t="shared" si="0"/>
        <v>0.21296296296296297</v>
      </c>
      <c r="Q28" s="6">
        <f>[15]A07!X38+[15]A07!AB38+[15]A30!B39+[15]A30!C39+[15]A30!D39+[15]A30!E39+[15]A30!F39+[15]A30!G39+[15]A30!H39+[15]A30!I39+[15]A32!Z61+[15]A32!AE61</f>
        <v>18</v>
      </c>
      <c r="R28" s="6">
        <f>[15]A07!B38+[15]A30!R39+[15]A30!S39+[15]A30!T39+[15]A30!U39+[15]A30!V39+[15]A30!W39+[15]A30!X39+[15]A30!Y39+[15]A32!B61</f>
        <v>113</v>
      </c>
      <c r="S28" s="150">
        <f t="shared" si="1"/>
        <v>0.15929203539823009</v>
      </c>
      <c r="T28" s="6">
        <f>[10]A07!X38+[10]A07!AB38+[10]A30!B39+[10]A30!C39+[10]A30!D39+[10]A30!E39+[10]A30!F39+[10]A30!G39+[10]A30!H39+[10]A30!I39+[10]A32!Z61+[10]A32!AE61</f>
        <v>13</v>
      </c>
      <c r="U28" s="6">
        <f>[10]A07!B38+[10]A30!R39+[10]A30!S39+[10]A30!T39+[10]A30!U39+[10]A30!V39+[10]A30!W39+[10]A30!X39+[10]A30!Y39+[10]A32!B61</f>
        <v>66</v>
      </c>
      <c r="V28" s="150">
        <f t="shared" si="2"/>
        <v>0.19696969696969696</v>
      </c>
      <c r="W28" s="6">
        <f>[11]A07!X38+[11]A07!AB38+[11]A30!B39+[11]A30!C39+[11]A30!D39+[11]A30!E39+[11]A30!F39+[11]A30!G39+[11]A30!H39+[11]A30!I39+[11]A32!Z61+[11]A32!AE61</f>
        <v>20</v>
      </c>
      <c r="X28" s="6">
        <f>[11]A07!B38+[11]A30!R39+[11]A30!S39+[11]A30!T39+[11]A30!U39+[11]A30!V39+[11]A30!W39+[11]A30!X39+[11]A30!Y39+[11]A32!B61</f>
        <v>128</v>
      </c>
      <c r="Y28" s="150">
        <f t="shared" si="3"/>
        <v>0.15625</v>
      </c>
      <c r="Z28" s="6">
        <f>[12]A07!X38+[12]A07!AB38+[12]A30!B39+[12]A30!C39+[12]A30!D39+[12]A30!E39+[12]A30!F39+[12]A30!G39+[12]A30!H39+[12]A30!I39+[12]A32!Z61+[12]A32!AE61</f>
        <v>20</v>
      </c>
      <c r="AA28" s="6">
        <f>[12]A07!B38+[12]A30!R39+[12]A30!S39+[12]A30!T39+[12]A30!U39+[12]A30!V39+[12]A30!W39+[12]A30!X39+[12]A30!Y39+[12]A32!B61</f>
        <v>119</v>
      </c>
      <c r="AB28" s="150">
        <f t="shared" si="4"/>
        <v>0.16806722689075632</v>
      </c>
      <c r="AC28" s="6">
        <f>[13]A07!X38+[13]A07!AB38+[13]A30!B39+[13]A30!C39+[13]A30!D39+[13]A30!E39+[13]A30!F39+[13]A30!G39+[13]A30!H39+[13]A30!I39+[13]A32!Z61+[13]A32!AE61</f>
        <v>22</v>
      </c>
      <c r="AD28" s="6">
        <f>[13]A07!B38+[13]A30!R39+[13]A30!S39+[13]A30!T39+[13]A30!U39+[13]A30!V39+[13]A30!W39+[13]A30!X39+[13]A30!Y39+[13]A32!B61</f>
        <v>113</v>
      </c>
      <c r="AE28" s="150">
        <f t="shared" si="5"/>
        <v>0.19469026548672566</v>
      </c>
      <c r="AF28" s="6">
        <f>[14]A07!X38+[14]A07!AB38+[14]A30!B39+[14]A30!C39+[14]A30!D39+[14]A30!E39+[14]A30!F39+[14]A30!G39+[14]A30!H39+[14]A30!I39+[14]A32!Z61+[14]A32!AE61</f>
        <v>19</v>
      </c>
      <c r="AG28" s="6">
        <f>[14]A07!B38+[14]A30!R39+[14]A30!S39+[14]A30!T39+[14]A30!U39+[14]A30!V39+[14]A30!W39+[14]A30!X39+[14]A30!Y39+[14]A32!B61</f>
        <v>93</v>
      </c>
      <c r="AH28" s="150">
        <f t="shared" si="6"/>
        <v>0.20430107526881722</v>
      </c>
      <c r="AI28" s="6"/>
      <c r="AJ28" s="6"/>
      <c r="AK28" s="4" t="e">
        <f t="shared" si="11"/>
        <v>#DIV/0!</v>
      </c>
      <c r="AL28" s="94">
        <f t="shared" si="16"/>
        <v>118</v>
      </c>
      <c r="AM28" s="94">
        <f t="shared" si="13"/>
        <v>506</v>
      </c>
      <c r="AN28" s="4">
        <f t="shared" si="14"/>
        <v>0.233201581027668</v>
      </c>
      <c r="AO28" s="109" t="str">
        <f>IF(AN28&gt;33%,"1","0")</f>
        <v>0</v>
      </c>
      <c r="AP28" s="1"/>
      <c r="AQ28" s="1"/>
      <c r="AT28" s="151" t="s">
        <v>174</v>
      </c>
    </row>
    <row r="29" spans="1:46" x14ac:dyDescent="0.15">
      <c r="A29" s="77" t="s">
        <v>114</v>
      </c>
      <c r="B29" s="106">
        <f>[4]A07!X39+[4]A07!AB39+[4]A30!B40+[4]A30!C40+[4]A30!D40+[4]A30!E40+[4]A30!F40+[4]A30!G40+[4]A30!H40+[4]A30!I40+[4]A32!Z62+[4]A32!AE62</f>
        <v>67</v>
      </c>
      <c r="C29" s="106">
        <f>[4]A07!B39+[4]A30!R40+[4]A30!S40+[4]A30!T40+[4]A30!U40+[4]A30!V40+[4]A30!W40+[4]A30!X40+[4]A30!Y40+[4]A32!B62</f>
        <v>260</v>
      </c>
      <c r="D29" s="4">
        <f t="shared" si="7"/>
        <v>0.25769230769230766</v>
      </c>
      <c r="E29" s="106">
        <f>[5]A07!X39+[5]A07!AB39+[5]A30!B40+[5]A30!C40+[5]A30!D40+[5]A30!E40+[5]A30!F40+[5]A30!G40+[5]A30!H40+[5]A30!I40+[5]A32!Z62+[5]A32!AE62</f>
        <v>32</v>
      </c>
      <c r="F29" s="106">
        <f>[5]A07!B39+[5]A30!R40+[5]A30!S40+[5]A30!T40+[5]A30!U40+[5]A30!V40+[5]A30!W40+[5]A30!X40+[5]A30!Y40+[5]A32!B62</f>
        <v>190</v>
      </c>
      <c r="G29" s="4">
        <f t="shared" si="8"/>
        <v>0.16842105263157894</v>
      </c>
      <c r="H29" s="106">
        <f>[6]A07!X39+[6]A07!AB39+[6]A30!B40+[6]A30!C40+[6]A30!D40+[6]A30!E40+[6]A30!F40+[6]A30!G40+[6]A30!H40+[6]A30!I40+[6]A32!Z62+[6]A32!AE62</f>
        <v>40</v>
      </c>
      <c r="I29" s="106">
        <f>[6]A07!B39+[6]A30!R40+[6]A30!S40+[6]A30!T40+[6]A30!U40+[6]A30!V40+[6]A30!W40+[6]A30!X40+[6]A30!Y40+[6]A32!B62</f>
        <v>145</v>
      </c>
      <c r="J29" s="4">
        <f t="shared" si="9"/>
        <v>0.27586206896551724</v>
      </c>
      <c r="K29" s="106">
        <f>[7]A07!X39+[7]A07!AB39+[7]A30!B40+[7]A30!C40+[7]A30!D40+[7]A30!E40+[7]A30!F40+[7]A30!G40+[7]A30!H40+[7]A30!I40+[7]A32!Z62+[7]A32!AE62</f>
        <v>52</v>
      </c>
      <c r="L29" s="106">
        <f>[7]A07!B39+[7]A30!R40+[7]A30!S40+[7]A30!T40+[7]A30!U40+[7]A30!V40+[7]A30!W40+[7]A30!X40+[7]A30!Y40+[7]A32!B62</f>
        <v>238</v>
      </c>
      <c r="M29" s="4">
        <f t="shared" si="10"/>
        <v>0.21848739495798319</v>
      </c>
      <c r="N29" s="106">
        <f>[8]A07!X39+[8]A07!AB39+[8]A30!B40+[8]A30!C40+[8]A30!D40+[8]A30!E40+[8]A30!F40+[8]A30!G40+[8]A30!H40+[8]A30!I40+[8]A32!Z62+[8]A32!AE62</f>
        <v>129</v>
      </c>
      <c r="O29" s="106">
        <f>[8]A07!B39+[8]A30!R40+[8]A30!S40+[8]A30!T40+[8]A30!U40+[8]A30!V40+[8]A30!W40+[8]A30!X40+[8]A30!Y40+[8]A32!B62</f>
        <v>283</v>
      </c>
      <c r="P29" s="150">
        <f t="shared" si="0"/>
        <v>0.45583038869257952</v>
      </c>
      <c r="Q29" s="6">
        <f>[15]A07!X39+[15]A07!AB39+[15]A30!B40+[15]A30!C40+[15]A30!D40+[15]A30!E40+[15]A30!F40+[15]A30!G40+[15]A30!H40+[15]A30!I40+[15]A32!Z62+[15]A32!AE62</f>
        <v>104</v>
      </c>
      <c r="R29" s="6">
        <f>[15]A07!B39+[15]A30!R40+[15]A30!S40+[15]A30!T40+[15]A30!U40+[15]A30!V40+[15]A30!W40+[15]A30!X40+[15]A30!Y40+[15]A32!B62</f>
        <v>350</v>
      </c>
      <c r="S29" s="150">
        <f t="shared" si="1"/>
        <v>0.29714285714285715</v>
      </c>
      <c r="T29" s="6">
        <f>[10]A07!X39+[10]A07!AB39+[10]A30!B40+[10]A30!C40+[10]A30!D40+[10]A30!E40+[10]A30!F40+[10]A30!G40+[10]A30!H40+[10]A30!I40+[10]A32!Z62+[10]A32!AE62</f>
        <v>114</v>
      </c>
      <c r="U29" s="6">
        <f>[10]A07!B39+[10]A30!R40+[10]A30!S40+[10]A30!T40+[10]A30!U40+[10]A30!V40+[10]A30!W40+[10]A30!X40+[10]A30!Y40+[10]A32!B62</f>
        <v>421</v>
      </c>
      <c r="V29" s="150">
        <f t="shared" si="2"/>
        <v>0.27078384798099764</v>
      </c>
      <c r="W29" s="6">
        <f>[11]A07!X39+[11]A07!AB39+[11]A30!B40+[11]A30!C40+[11]A30!D40+[11]A30!E40+[11]A30!F40+[11]A30!G40+[11]A30!H40+[11]A30!I40+[11]A32!Z62+[11]A32!AE62</f>
        <v>91</v>
      </c>
      <c r="X29" s="6">
        <f>[11]A07!B39+[11]A30!R40+[11]A30!S40+[11]A30!T40+[11]A30!U40+[11]A30!V40+[11]A30!W40+[11]A30!X40+[11]A30!Y40+[11]A32!B62</f>
        <v>383</v>
      </c>
      <c r="Y29" s="150">
        <f t="shared" si="3"/>
        <v>0.23759791122715404</v>
      </c>
      <c r="Z29" s="6">
        <f>[12]A07!X39+[12]A07!AB39+[12]A30!B40+[12]A30!C40+[12]A30!D40+[12]A30!E40+[12]A30!F40+[12]A30!G40+[12]A30!H40+[12]A30!I40+[12]A32!Z62+[12]A32!AE62</f>
        <v>68</v>
      </c>
      <c r="AA29" s="6">
        <f>[12]A07!B39+[12]A30!R40+[12]A30!S40+[12]A30!T40+[12]A30!U40+[12]A30!V40+[12]A30!W40+[12]A30!X40+[12]A30!Y40+[12]A32!B62</f>
        <v>249</v>
      </c>
      <c r="AB29" s="150">
        <f t="shared" si="4"/>
        <v>0.27309236947791166</v>
      </c>
      <c r="AC29" s="6">
        <f>[13]A07!X39+[13]A07!AB39+[13]A30!B40+[13]A30!C40+[13]A30!D40+[13]A30!E40+[13]A30!F40+[13]A30!G40+[13]A30!H40+[13]A30!I40+[13]A32!Z62+[13]A32!AE62</f>
        <v>82</v>
      </c>
      <c r="AD29" s="6">
        <f>[13]A07!B39+[13]A30!R40+[13]A30!S40+[13]A30!T40+[13]A30!U40+[13]A30!V40+[13]A30!W40+[13]A30!X40+[13]A30!Y40+[13]A32!B62</f>
        <v>386</v>
      </c>
      <c r="AE29" s="150">
        <f t="shared" si="5"/>
        <v>0.21243523316062177</v>
      </c>
      <c r="AF29" s="6">
        <f>[14]A07!X39+[14]A07!AB39+[14]A30!B40+[14]A30!C40+[14]A30!D40+[14]A30!E40+[14]A30!F40+[14]A30!G40+[14]A30!H40+[14]A30!I40+[14]A32!Z62+[14]A32!AE62</f>
        <v>105</v>
      </c>
      <c r="AG29" s="6">
        <f>[14]A07!B39+[14]A30!R40+[14]A30!S40+[14]A30!T40+[14]A30!U40+[14]A30!V40+[14]A30!W40+[14]A30!X40+[14]A30!Y40+[14]A32!B62</f>
        <v>452</v>
      </c>
      <c r="AH29" s="150">
        <f t="shared" si="6"/>
        <v>0.23230088495575221</v>
      </c>
      <c r="AI29" s="6"/>
      <c r="AJ29" s="6"/>
      <c r="AK29" s="4" t="e">
        <f t="shared" si="11"/>
        <v>#DIV/0!</v>
      </c>
      <c r="AL29" s="94">
        <f t="shared" si="16"/>
        <v>320</v>
      </c>
      <c r="AM29" s="94">
        <f t="shared" si="13"/>
        <v>1116</v>
      </c>
      <c r="AN29" s="4">
        <f t="shared" si="14"/>
        <v>0.28673835125448027</v>
      </c>
      <c r="AO29" s="109" t="str">
        <f>IF(AN29&gt;33%,"1","0")</f>
        <v>0</v>
      </c>
      <c r="AP29" s="1"/>
      <c r="AQ29" s="1"/>
      <c r="AT29" s="151" t="s">
        <v>174</v>
      </c>
    </row>
    <row r="30" spans="1:46" x14ac:dyDescent="0.15">
      <c r="A30" s="77" t="s">
        <v>115</v>
      </c>
      <c r="B30" s="106">
        <f>[4]A07!X40+[4]A07!AB40+[4]A30!B41+[4]A30!C41+[4]A30!D41+[4]A30!E41+[4]A30!F41+[4]A30!G41+[4]A30!H41+[4]A30!I41+[4]A32!Z63+[4]A32!AE63</f>
        <v>0</v>
      </c>
      <c r="C30" s="106">
        <f>[4]A07!B40+[4]A30!R41+[4]A30!S41+[4]A30!T41+[4]A30!U41+[4]A30!V41+[4]A30!W41+[4]A30!X41+[4]A30!Y41+[4]A32!B63</f>
        <v>0</v>
      </c>
      <c r="D30" s="4" t="str">
        <f t="shared" si="7"/>
        <v/>
      </c>
      <c r="E30" s="106">
        <f>[5]A07!X40+[5]A07!AB40+[5]A30!B41+[5]A30!C41+[5]A30!D41+[5]A30!E41+[5]A30!F41+[5]A30!G41+[5]A30!H41+[5]A30!I41+[5]A32!Z63+[5]A32!AE63</f>
        <v>0</v>
      </c>
      <c r="F30" s="106">
        <f>[5]A07!B40+[5]A30!R41+[5]A30!S41+[5]A30!T41+[5]A30!U41+[5]A30!V41+[5]A30!W41+[5]A30!X41+[5]A30!Y41+[5]A32!B63</f>
        <v>0</v>
      </c>
      <c r="G30" s="4" t="str">
        <f t="shared" si="8"/>
        <v/>
      </c>
      <c r="H30" s="106">
        <f>[6]A07!X40+[6]A07!AB40+[6]A30!B41+[6]A30!C41+[6]A30!D41+[6]A30!E41+[6]A30!F41+[6]A30!G41+[6]A30!H41+[6]A30!I41+[6]A32!Z63+[6]A32!AE63</f>
        <v>0</v>
      </c>
      <c r="I30" s="106">
        <f>[6]A07!B40+[6]A30!R41+[6]A30!S41+[6]A30!T41+[6]A30!U41+[6]A30!V41+[6]A30!W41+[6]A30!X41+[6]A30!Y41+[6]A32!B63</f>
        <v>0</v>
      </c>
      <c r="J30" s="4" t="str">
        <f t="shared" si="9"/>
        <v/>
      </c>
      <c r="K30" s="106">
        <f>[7]A07!X40+[7]A07!AB40+[7]A30!B41+[7]A30!C41+[7]A30!D41+[7]A30!E41+[7]A30!F41+[7]A30!G41+[7]A30!H41+[7]A30!I41+[7]A32!Z63+[7]A32!AE63</f>
        <v>0</v>
      </c>
      <c r="L30" s="106">
        <f>[7]A07!B40+[7]A30!R41+[7]A30!S41+[7]A30!T41+[7]A30!U41+[7]A30!V41+[7]A30!W41+[7]A30!X41+[7]A30!Y41+[7]A32!B63</f>
        <v>0</v>
      </c>
      <c r="M30" s="4" t="str">
        <f t="shared" si="10"/>
        <v/>
      </c>
      <c r="N30" s="106">
        <f>[8]A07!X40+[8]A07!AB40+[8]A30!B41+[8]A30!C41+[8]A30!D41+[8]A30!E41+[8]A30!F41+[8]A30!G41+[8]A30!H41+[8]A30!I41+[8]A32!Z63+[8]A32!AE63</f>
        <v>0</v>
      </c>
      <c r="O30" s="106">
        <f>[8]A07!B40+[8]A30!R41+[8]A30!S41+[8]A30!T41+[8]A30!U41+[8]A30!V41+[8]A30!W41+[8]A30!X41+[8]A30!Y41+[8]A32!B63</f>
        <v>0</v>
      </c>
      <c r="P30" s="150" t="e">
        <f t="shared" si="0"/>
        <v>#DIV/0!</v>
      </c>
      <c r="Q30" s="6">
        <f>[15]A07!X40+[15]A07!AB40+[15]A30!B41+[15]A30!C41+[15]A30!D41+[15]A30!E41+[15]A30!F41+[15]A30!G41+[15]A30!H41+[15]A30!I41+[15]A32!Z63+[15]A32!AE63</f>
        <v>0</v>
      </c>
      <c r="R30" s="6">
        <f>[15]A07!B40+[15]A30!R41+[15]A30!S41+[15]A30!T41+[15]A30!U41+[15]A30!V41+[15]A30!W41+[15]A30!X41+[15]A30!Y41+[15]A32!B63</f>
        <v>0</v>
      </c>
      <c r="S30" s="150" t="e">
        <f t="shared" si="1"/>
        <v>#DIV/0!</v>
      </c>
      <c r="T30" s="6">
        <f>[10]A07!X40+[10]A07!AB40+[10]A30!B41+[10]A30!C41+[10]A30!D41+[10]A30!E41+[10]A30!F41+[10]A30!G41+[10]A30!H41+[10]A30!I41+[10]A32!Z63+[10]A32!AE63</f>
        <v>0</v>
      </c>
      <c r="U30" s="6">
        <f>[10]A07!B40+[10]A30!R41+[10]A30!S41+[10]A30!T41+[10]A30!U41+[10]A30!V41+[10]A30!W41+[10]A30!X41+[10]A30!Y41+[10]A32!B63</f>
        <v>0</v>
      </c>
      <c r="V30" s="150" t="e">
        <f t="shared" si="2"/>
        <v>#DIV/0!</v>
      </c>
      <c r="W30" s="6">
        <f>[11]A07!X40+[11]A07!AB40+[11]A30!B41+[11]A30!C41+[11]A30!D41+[11]A30!E41+[11]A30!F41+[11]A30!G41+[11]A30!H41+[11]A30!I41+[11]A32!Z63+[11]A32!AE63</f>
        <v>0</v>
      </c>
      <c r="X30" s="6">
        <f>[11]A07!B40+[11]A30!R41+[11]A30!S41+[11]A30!T41+[11]A30!U41+[11]A30!V41+[11]A30!W41+[11]A30!X41+[11]A30!Y41+[11]A32!B63</f>
        <v>0</v>
      </c>
      <c r="Y30" s="150" t="e">
        <f t="shared" si="3"/>
        <v>#DIV/0!</v>
      </c>
      <c r="Z30" s="6">
        <f>[12]A07!X40+[12]A07!AB40+[12]A30!B41+[12]A30!C41+[12]A30!D41+[12]A30!E41+[12]A30!F41+[12]A30!G41+[12]A30!H41+[12]A30!I41+[12]A32!Z63+[12]A32!AE63</f>
        <v>0</v>
      </c>
      <c r="AA30" s="6">
        <f>[12]A07!B40+[12]A30!R41+[12]A30!S41+[12]A30!T41+[12]A30!U41+[12]A30!V41+[12]A30!W41+[12]A30!X41+[12]A30!Y41+[12]A32!B63</f>
        <v>0</v>
      </c>
      <c r="AB30" s="150" t="e">
        <f t="shared" si="4"/>
        <v>#DIV/0!</v>
      </c>
      <c r="AC30" s="6">
        <f>[13]A07!X40+[13]A07!AB40+[13]A30!B41+[13]A30!C41+[13]A30!D41+[13]A30!E41+[13]A30!F41+[13]A30!G41+[13]A30!H41+[13]A30!I41+[13]A32!Z63+[13]A32!AE63</f>
        <v>0</v>
      </c>
      <c r="AD30" s="6">
        <f>[13]A07!B40+[13]A30!R41+[13]A30!S41+[13]A30!T41+[13]A30!U41+[13]A30!V41+[13]A30!W41+[13]A30!X41+[13]A30!Y41+[13]A32!B63</f>
        <v>0</v>
      </c>
      <c r="AE30" s="150" t="e">
        <f t="shared" si="5"/>
        <v>#DIV/0!</v>
      </c>
      <c r="AF30" s="6">
        <f>[14]A07!X40+[14]A07!AB40+[14]A30!B41+[14]A30!C41+[14]A30!D41+[14]A30!E41+[14]A30!F41+[14]A30!G41+[14]A30!H41+[14]A30!I41+[14]A32!Z63+[14]A32!AE63</f>
        <v>0</v>
      </c>
      <c r="AG30" s="6">
        <f>[14]A07!B40+[14]A30!R41+[14]A30!S41+[14]A30!T41+[14]A30!U41+[14]A30!V41+[14]A30!W41+[14]A30!X41+[14]A30!Y41+[14]A32!B63</f>
        <v>0</v>
      </c>
      <c r="AH30" s="150" t="e">
        <f t="shared" si="6"/>
        <v>#DIV/0!</v>
      </c>
      <c r="AI30" s="6"/>
      <c r="AJ30" s="6"/>
      <c r="AK30" s="4" t="e">
        <f t="shared" si="11"/>
        <v>#DIV/0!</v>
      </c>
      <c r="AL30" s="94">
        <f t="shared" si="16"/>
        <v>0</v>
      </c>
      <c r="AM30" s="94">
        <f t="shared" si="13"/>
        <v>0</v>
      </c>
      <c r="AN30" s="4" t="str">
        <f t="shared" si="14"/>
        <v/>
      </c>
      <c r="AO30" s="1"/>
      <c r="AT30" s="1"/>
    </row>
    <row r="31" spans="1:46" x14ac:dyDescent="0.15">
      <c r="A31" s="77" t="s">
        <v>116</v>
      </c>
      <c r="B31" s="106">
        <f>[4]A07!X41+[4]A07!AB41+[4]A30!B42+[4]A30!C42+[4]A30!D42+[4]A30!E42+[4]A30!F42+[4]A30!G42+[4]A30!H42+[4]A30!I42+[4]A32!Z64+[4]A32!AE64</f>
        <v>0</v>
      </c>
      <c r="C31" s="106">
        <f>[4]A07!B41+[4]A30!R42+[4]A30!S42+[4]A30!T42+[4]A30!U42+[4]A30!V42+[4]A30!W42+[4]A30!X42+[4]A30!Y42+[4]A32!B64</f>
        <v>317</v>
      </c>
      <c r="D31" s="4">
        <f t="shared" si="7"/>
        <v>0</v>
      </c>
      <c r="E31" s="106">
        <f>[5]A07!X41+[5]A07!AB41+[5]A30!B42+[5]A30!C42+[5]A30!D42+[5]A30!E42+[5]A30!F42+[5]A30!G42+[5]A30!H42+[5]A30!I42+[5]A32!Z64+[5]A32!AE64</f>
        <v>1</v>
      </c>
      <c r="F31" s="106">
        <f>[5]A07!B41+[5]A30!R42+[5]A30!S42+[5]A30!T42+[5]A30!U42+[5]A30!V42+[5]A30!W42+[5]A30!X42+[5]A30!Y42+[5]A32!B64</f>
        <v>191</v>
      </c>
      <c r="G31" s="4">
        <f t="shared" si="8"/>
        <v>5.235602094240838E-3</v>
      </c>
      <c r="H31" s="106">
        <f>[6]A07!X41+[6]A07!AB41+[6]A30!B42+[6]A30!C42+[6]A30!D42+[6]A30!E42+[6]A30!F42+[6]A30!G42+[6]A30!H42+[6]A30!I42+[6]A32!Z64+[6]A32!AE64</f>
        <v>11</v>
      </c>
      <c r="I31" s="106">
        <f>[6]A07!B41+[6]A30!R42+[6]A30!S42+[6]A30!T42+[6]A30!U42+[6]A30!V42+[6]A30!W42+[6]A30!X42+[6]A30!Y42+[6]A32!B64</f>
        <v>288</v>
      </c>
      <c r="J31" s="4">
        <f t="shared" si="9"/>
        <v>3.8194444444444448E-2</v>
      </c>
      <c r="K31" s="106">
        <f>[7]A07!X41+[7]A07!AB41+[7]A30!B42+[7]A30!C42+[7]A30!D42+[7]A30!E42+[7]A30!F42+[7]A30!G42+[7]A30!H42+[7]A30!I42+[7]A32!Z64+[7]A32!AE64</f>
        <v>6</v>
      </c>
      <c r="L31" s="106">
        <f>[7]A07!B41+[7]A30!R42+[7]A30!S42+[7]A30!T42+[7]A30!U42+[7]A30!V42+[7]A30!W42+[7]A30!X42+[7]A30!Y42+[7]A32!B64</f>
        <v>318</v>
      </c>
      <c r="M31" s="4">
        <f t="shared" si="10"/>
        <v>1.8867924528301886E-2</v>
      </c>
      <c r="N31" s="106">
        <f>[8]A07!X41+[8]A07!AB41+[8]A30!B42+[8]A30!C42+[8]A30!D42+[8]A30!E42+[8]A30!F42+[8]A30!G42+[8]A30!H42+[8]A30!I42+[8]A32!Z64+[8]A32!AE64</f>
        <v>8</v>
      </c>
      <c r="O31" s="106">
        <f>[8]A07!B41+[8]A30!R42+[8]A30!S42+[8]A30!T42+[8]A30!U42+[8]A30!V42+[8]A30!W42+[8]A30!X42+[8]A30!Y42+[8]A32!B64</f>
        <v>270</v>
      </c>
      <c r="P31" s="150">
        <f t="shared" si="0"/>
        <v>2.9629629629629631E-2</v>
      </c>
      <c r="Q31" s="6">
        <f>[15]A07!X41+[15]A07!AB41+[15]A30!B42+[15]A30!C42+[15]A30!D42+[15]A30!E42+[15]A30!F42+[15]A30!G42+[15]A30!H42+[15]A30!I42+[15]A32!Z64+[15]A32!AE64</f>
        <v>2</v>
      </c>
      <c r="R31" s="6">
        <f>[15]A07!B41+[15]A30!R42+[15]A30!S42+[15]A30!T42+[15]A30!U42+[15]A30!V42+[15]A30!W42+[15]A30!X42+[15]A30!Y42+[15]A32!B64</f>
        <v>242</v>
      </c>
      <c r="S31" s="150">
        <f t="shared" si="1"/>
        <v>8.2644628099173556E-3</v>
      </c>
      <c r="T31" s="6">
        <f>[10]A07!X41+[10]A07!AB41+[10]A30!B42+[10]A30!C42+[10]A30!D42+[10]A30!E42+[10]A30!F42+[10]A30!G42+[10]A30!H42+[10]A30!I42+[10]A32!Z64+[10]A32!AE64</f>
        <v>2</v>
      </c>
      <c r="U31" s="6">
        <f>[10]A07!B41+[10]A30!R42+[10]A30!S42+[10]A30!T42+[10]A30!U42+[10]A30!V42+[10]A30!W42+[10]A30!X42+[10]A30!Y42+[10]A32!B64</f>
        <v>274</v>
      </c>
      <c r="V31" s="150">
        <f t="shared" si="2"/>
        <v>7.2992700729927005E-3</v>
      </c>
      <c r="W31" s="6">
        <f>[11]A07!X41+[11]A07!AB41+[11]A30!B42+[11]A30!C42+[11]A30!D42+[11]A30!E42+[11]A30!F42+[11]A30!G42+[11]A30!H42+[11]A30!I42+[11]A32!Z64+[11]A32!AE64</f>
        <v>5</v>
      </c>
      <c r="X31" s="6">
        <f>[11]A07!B41+[11]A30!R42+[11]A30!S42+[11]A30!T42+[11]A30!U42+[11]A30!V42+[11]A30!W42+[11]A30!X42+[11]A30!Y42+[11]A32!B64</f>
        <v>272</v>
      </c>
      <c r="Y31" s="150">
        <f t="shared" si="3"/>
        <v>1.8382352941176471E-2</v>
      </c>
      <c r="Z31" s="6">
        <f>[12]A07!X41+[12]A07!AB41+[12]A30!B42+[12]A30!C42+[12]A30!D42+[12]A30!E42+[12]A30!F42+[12]A30!G42+[12]A30!H42+[12]A30!I42+[12]A32!Z64+[12]A32!AE64</f>
        <v>2</v>
      </c>
      <c r="AA31" s="6">
        <f>[12]A07!B41+[12]A30!R42+[12]A30!S42+[12]A30!T42+[12]A30!U42+[12]A30!V42+[12]A30!W42+[12]A30!X42+[12]A30!Y42+[12]A32!B64</f>
        <v>239</v>
      </c>
      <c r="AB31" s="150">
        <f t="shared" si="4"/>
        <v>8.368200836820083E-3</v>
      </c>
      <c r="AC31" s="6">
        <f>[13]A07!X41+[13]A07!AB41+[13]A30!B42+[13]A30!C42+[13]A30!D42+[13]A30!E42+[13]A30!F42+[13]A30!G42+[13]A30!H42+[13]A30!I42+[13]A32!Z64+[13]A32!AE64</f>
        <v>5</v>
      </c>
      <c r="AD31" s="6">
        <f>[13]A07!B41+[13]A30!R42+[13]A30!S42+[13]A30!T42+[13]A30!U42+[13]A30!V42+[13]A30!W42+[13]A30!X42+[13]A30!Y42+[13]A32!B64</f>
        <v>312</v>
      </c>
      <c r="AE31" s="150">
        <f t="shared" si="5"/>
        <v>1.6025641025641024E-2</v>
      </c>
      <c r="AF31" s="6">
        <f>[14]A07!X41+[14]A07!AB41+[14]A30!B42+[14]A30!C42+[14]A30!D42+[14]A30!E42+[14]A30!F42+[14]A30!G42+[14]A30!H42+[14]A30!I42+[14]A32!Z64+[14]A32!AE64</f>
        <v>6</v>
      </c>
      <c r="AG31" s="6">
        <f>[14]A07!B41+[14]A30!R42+[14]A30!S42+[14]A30!T42+[14]A30!U42+[14]A30!V42+[14]A30!W42+[14]A30!X42+[14]A30!Y42+[14]A32!B64</f>
        <v>271</v>
      </c>
      <c r="AH31" s="150">
        <f t="shared" si="6"/>
        <v>2.2140221402214021E-2</v>
      </c>
      <c r="AI31" s="6"/>
      <c r="AJ31" s="6"/>
      <c r="AK31" s="4" t="e">
        <f t="shared" si="11"/>
        <v>#DIV/0!</v>
      </c>
      <c r="AL31" s="94">
        <f t="shared" si="16"/>
        <v>26</v>
      </c>
      <c r="AM31" s="94">
        <f t="shared" si="13"/>
        <v>1384</v>
      </c>
      <c r="AN31" s="4">
        <f t="shared" si="14"/>
        <v>1.8786127167630059E-2</v>
      </c>
      <c r="AO31" s="109" t="str">
        <f>IF(AN31&gt;20%,"1","0")</f>
        <v>0</v>
      </c>
      <c r="AP31" s="1"/>
      <c r="AQ31" s="1"/>
      <c r="AT31" s="151" t="s">
        <v>172</v>
      </c>
    </row>
    <row r="32" spans="1:46" x14ac:dyDescent="0.15">
      <c r="A32" s="77" t="s">
        <v>117</v>
      </c>
      <c r="B32" s="106">
        <f>[4]A07!X42+[4]A07!AB42+[4]A30!B43+[4]A30!C43+[4]A30!D43+[4]A30!E43+[4]A30!F43+[4]A30!G43+[4]A30!H43+[4]A30!I43+[4]A32!Z65+[4]A32!AE65</f>
        <v>5</v>
      </c>
      <c r="C32" s="106">
        <f>[4]A07!B42+[4]A30!R43+[4]A30!S43+[4]A30!T43+[4]A30!U43+[4]A30!V43+[4]A30!W43+[4]A30!X43+[4]A30!Y43+[4]A32!B65</f>
        <v>286</v>
      </c>
      <c r="D32" s="4">
        <f t="shared" si="7"/>
        <v>1.7482517482517484E-2</v>
      </c>
      <c r="E32" s="106">
        <f>[5]A07!X42+[5]A07!AB42+[5]A30!B43+[5]A30!C43+[5]A30!D43+[5]A30!E43+[5]A30!F43+[5]A30!G43+[5]A30!H43+[5]A30!I43+[5]A32!Z65+[5]A32!AE65</f>
        <v>4</v>
      </c>
      <c r="F32" s="106">
        <f>[5]A07!B42+[5]A30!R43+[5]A30!S43+[5]A30!T43+[5]A30!U43+[5]A30!V43+[5]A30!W43+[5]A30!X43+[5]A30!Y43+[5]A32!B65</f>
        <v>196</v>
      </c>
      <c r="G32" s="4">
        <f t="shared" si="8"/>
        <v>2.0408163265306121E-2</v>
      </c>
      <c r="H32" s="106">
        <f>[6]A07!X42+[6]A07!AB42+[6]A30!B43+[6]A30!C43+[6]A30!D43+[6]A30!E43+[6]A30!F43+[6]A30!G43+[6]A30!H43+[6]A30!I43+[6]A32!Z65+[6]A32!AE65</f>
        <v>19</v>
      </c>
      <c r="I32" s="106">
        <f>[6]A07!B42+[6]A30!R43+[6]A30!S43+[6]A30!T43+[6]A30!U43+[6]A30!V43+[6]A30!W43+[6]A30!X43+[6]A30!Y43+[6]A32!B65</f>
        <v>529</v>
      </c>
      <c r="J32" s="4">
        <f t="shared" si="9"/>
        <v>3.5916824196597356E-2</v>
      </c>
      <c r="K32" s="106">
        <f>[7]A07!X42+[7]A07!AB42+[7]A30!B43+[7]A30!C43+[7]A30!D43+[7]A30!E43+[7]A30!F43+[7]A30!G43+[7]A30!H43+[7]A30!I43+[7]A32!Z65+[7]A32!AE65</f>
        <v>15</v>
      </c>
      <c r="L32" s="106">
        <f>[7]A07!B42+[7]A30!R43+[7]A30!S43+[7]A30!T43+[7]A30!U43+[7]A30!V43+[7]A30!W43+[7]A30!X43+[7]A30!Y43+[7]A32!B65</f>
        <v>506</v>
      </c>
      <c r="M32" s="4">
        <f t="shared" si="10"/>
        <v>2.9644268774703556E-2</v>
      </c>
      <c r="N32" s="106">
        <f>[8]A07!X42+[8]A07!AB42+[8]A30!B43+[8]A30!C43+[8]A30!D43+[8]A30!E43+[8]A30!F43+[8]A30!G43+[8]A30!H43+[8]A30!I43+[8]A32!Z65+[8]A32!AE65</f>
        <v>16</v>
      </c>
      <c r="O32" s="106">
        <f>[8]A07!B42+[8]A30!R43+[8]A30!S43+[8]A30!T43+[8]A30!U43+[8]A30!V43+[8]A30!W43+[8]A30!X43+[8]A30!Y43+[8]A32!B65</f>
        <v>376</v>
      </c>
      <c r="P32" s="150">
        <f t="shared" si="0"/>
        <v>4.2553191489361701E-2</v>
      </c>
      <c r="Q32" s="6">
        <f>[15]A07!X42+[15]A07!AB42+[15]A30!B43+[15]A30!C43+[15]A30!D43+[15]A30!E43+[15]A30!F43+[15]A30!G43+[15]A30!H43+[15]A30!I43+[15]A32!Z65+[15]A32!AE65</f>
        <v>8</v>
      </c>
      <c r="R32" s="6">
        <f>[15]A07!B42+[15]A30!R43+[15]A30!S43+[15]A30!T43+[15]A30!U43+[15]A30!V43+[15]A30!W43+[15]A30!X43+[15]A30!Y43+[15]A32!B65</f>
        <v>351</v>
      </c>
      <c r="S32" s="150">
        <f t="shared" si="1"/>
        <v>2.2792022792022793E-2</v>
      </c>
      <c r="T32" s="6">
        <f>[10]A07!X42+[10]A07!AB42+[10]A30!B43+[10]A30!C43+[10]A30!D43+[10]A30!E43+[10]A30!F43+[10]A30!G43+[10]A30!H43+[10]A30!I43+[10]A32!Z65+[10]A32!AE65</f>
        <v>12</v>
      </c>
      <c r="U32" s="6">
        <f>[10]A07!B42+[10]A30!R43+[10]A30!S43+[10]A30!T43+[10]A30!U43+[10]A30!V43+[10]A30!W43+[10]A30!X43+[10]A30!Y43+[10]A32!B65</f>
        <v>445</v>
      </c>
      <c r="V32" s="150">
        <f t="shared" si="2"/>
        <v>2.6966292134831461E-2</v>
      </c>
      <c r="W32" s="6">
        <f>[11]A07!X42+[11]A07!AB42+[11]A30!B43+[11]A30!C43+[11]A30!D43+[11]A30!E43+[11]A30!F43+[11]A30!G43+[11]A30!H43+[11]A30!I43+[11]A32!Z65+[11]A32!AE65</f>
        <v>12</v>
      </c>
      <c r="X32" s="6">
        <f>[11]A07!B42+[11]A30!R43+[11]A30!S43+[11]A30!T43+[11]A30!U43+[11]A30!V43+[11]A30!W43+[11]A30!X43+[11]A30!Y43+[11]A32!B65</f>
        <v>426</v>
      </c>
      <c r="Y32" s="150">
        <f t="shared" si="3"/>
        <v>2.8169014084507043E-2</v>
      </c>
      <c r="Z32" s="6">
        <f>[12]A07!X42+[12]A07!AB42+[12]A30!B43+[12]A30!C43+[12]A30!D43+[12]A30!E43+[12]A30!F43+[12]A30!G43+[12]A30!H43+[12]A30!I43+[12]A32!Z65+[12]A32!AE65</f>
        <v>7</v>
      </c>
      <c r="AA32" s="6">
        <f>[12]A07!B42+[12]A30!R43+[12]A30!S43+[12]A30!T43+[12]A30!U43+[12]A30!V43+[12]A30!W43+[12]A30!X43+[12]A30!Y43+[12]A32!B65</f>
        <v>380</v>
      </c>
      <c r="AB32" s="150">
        <f t="shared" si="4"/>
        <v>1.8421052631578946E-2</v>
      </c>
      <c r="AC32" s="6">
        <f>[13]A07!X42+[13]A07!AB42+[13]A30!B43+[13]A30!C43+[13]A30!D43+[13]A30!E43+[13]A30!F43+[13]A30!G43+[13]A30!H43+[13]A30!I43+[13]A32!Z65+[13]A32!AE65</f>
        <v>4</v>
      </c>
      <c r="AD32" s="6">
        <f>[13]A07!B42+[13]A30!R43+[13]A30!S43+[13]A30!T43+[13]A30!U43+[13]A30!V43+[13]A30!W43+[13]A30!X43+[13]A30!Y43+[13]A32!B65</f>
        <v>435</v>
      </c>
      <c r="AE32" s="150">
        <f t="shared" si="5"/>
        <v>9.1954022988505746E-3</v>
      </c>
      <c r="AF32" s="6">
        <f>[14]A07!X42+[14]A07!AB42+[14]A30!B43+[14]A30!C43+[14]A30!D43+[14]A30!E43+[14]A30!F43+[14]A30!G43+[14]A30!H43+[14]A30!I43+[14]A32!Z65+[14]A32!AE65</f>
        <v>4</v>
      </c>
      <c r="AG32" s="6">
        <f>[14]A07!B42+[14]A30!R43+[14]A30!S43+[14]A30!T43+[14]A30!U43+[14]A30!V43+[14]A30!W43+[14]A30!X43+[14]A30!Y43+[14]A32!B65</f>
        <v>378</v>
      </c>
      <c r="AH32" s="150">
        <f t="shared" si="6"/>
        <v>1.0582010582010581E-2</v>
      </c>
      <c r="AI32" s="6"/>
      <c r="AJ32" s="6"/>
      <c r="AK32" s="4" t="e">
        <f t="shared" si="11"/>
        <v>#DIV/0!</v>
      </c>
      <c r="AL32" s="94">
        <f t="shared" si="16"/>
        <v>59</v>
      </c>
      <c r="AM32" s="94">
        <f t="shared" si="13"/>
        <v>1893</v>
      </c>
      <c r="AN32" s="4">
        <f t="shared" si="14"/>
        <v>3.1167459059693609E-2</v>
      </c>
      <c r="AO32" s="109" t="str">
        <f>IF(AN32&gt;20%,"1","0")</f>
        <v>0</v>
      </c>
      <c r="AP32" s="1"/>
      <c r="AQ32" s="1"/>
      <c r="AT32" s="151" t="s">
        <v>172</v>
      </c>
    </row>
    <row r="33" spans="1:46" x14ac:dyDescent="0.15">
      <c r="A33" s="80" t="s">
        <v>118</v>
      </c>
      <c r="B33" s="106">
        <f>[4]A07!X43+[4]A07!AB43+[4]A30!B44+[4]A30!C44+[4]A30!D44+[4]A30!E44+[4]A30!F44+[4]A30!G44+[4]A30!H44+[4]A30!I44+[4]A32!Z66+[4]A32!AE66</f>
        <v>35</v>
      </c>
      <c r="C33" s="106">
        <f>[4]A07!B43+[4]A30!R44+[4]A30!S44+[4]A30!T44+[4]A30!U44+[4]A30!V44+[4]A30!W44+[4]A30!X44+[4]A30!Y44+[4]A32!B66</f>
        <v>138</v>
      </c>
      <c r="D33" s="4">
        <f t="shared" si="7"/>
        <v>0.25362318840579712</v>
      </c>
      <c r="E33" s="106">
        <f>[5]A07!X43+[5]A07!AB43+[5]A30!B44+[5]A30!C44+[5]A30!D44+[5]A30!E44+[5]A30!F44+[5]A30!G44+[5]A30!H44+[5]A30!I44+[5]A32!Z66+[5]A32!AE66</f>
        <v>26</v>
      </c>
      <c r="F33" s="106">
        <f>[5]A07!B43+[5]A30!R44+[5]A30!S44+[5]A30!T44+[5]A30!U44+[5]A30!V44+[5]A30!W44+[5]A30!X44+[5]A30!Y44+[5]A32!B66</f>
        <v>130</v>
      </c>
      <c r="G33" s="4">
        <f t="shared" si="8"/>
        <v>0.2</v>
      </c>
      <c r="H33" s="106">
        <f>[6]A07!X43+[6]A07!AB43+[6]A30!B44+[6]A30!C44+[6]A30!D44+[6]A30!E44+[6]A30!F44+[6]A30!G44+[6]A30!H44+[6]A30!I44+[6]A32!Z66+[6]A32!AE66</f>
        <v>31</v>
      </c>
      <c r="I33" s="106">
        <f>[6]A07!B43+[6]A30!R44+[6]A30!S44+[6]A30!T44+[6]A30!U44+[6]A30!V44+[6]A30!W44+[6]A30!X44+[6]A30!Y44+[6]A32!B66</f>
        <v>119</v>
      </c>
      <c r="J33" s="4">
        <f t="shared" si="9"/>
        <v>0.26050420168067229</v>
      </c>
      <c r="K33" s="106">
        <f>[7]A07!X43+[7]A07!AB43+[7]A30!B44+[7]A30!C44+[7]A30!D44+[7]A30!E44+[7]A30!F44+[7]A30!G44+[7]A30!H44+[7]A30!I44+[7]A32!Z66+[7]A32!AE66</f>
        <v>59</v>
      </c>
      <c r="L33" s="106">
        <f>[7]A07!B43+[7]A30!R44+[7]A30!S44+[7]A30!T44+[7]A30!U44+[7]A30!V44+[7]A30!W44+[7]A30!X44+[7]A30!Y44+[7]A32!B66</f>
        <v>207</v>
      </c>
      <c r="M33" s="4">
        <f t="shared" si="10"/>
        <v>0.28502415458937197</v>
      </c>
      <c r="N33" s="106">
        <f>[8]A07!X43+[8]A07!AB43+[8]A30!B44+[8]A30!C44+[8]A30!D44+[8]A30!E44+[8]A30!F44+[8]A30!G44+[8]A30!H44+[8]A30!I44+[8]A32!Z66+[8]A32!AE66</f>
        <v>22</v>
      </c>
      <c r="O33" s="106">
        <f>[8]A07!B43+[8]A30!R44+[8]A30!S44+[8]A30!T44+[8]A30!U44+[8]A30!V44+[8]A30!W44+[8]A30!X44+[8]A30!Y44+[8]A32!B66</f>
        <v>118</v>
      </c>
      <c r="P33" s="150">
        <f t="shared" si="0"/>
        <v>0.1864406779661017</v>
      </c>
      <c r="Q33" s="6">
        <f>[15]A07!X43+[15]A07!AB43+[15]A30!B44+[15]A30!C44+[15]A30!D44+[15]A30!E44+[15]A30!F44+[15]A30!G44+[15]A30!H44+[15]A30!I44+[15]A32!Z66+[15]A32!AE66</f>
        <v>43</v>
      </c>
      <c r="R33" s="6">
        <f>[15]A07!B43+[15]A30!R44+[15]A30!S44+[15]A30!T44+[15]A30!U44+[15]A30!V44+[15]A30!W44+[15]A30!X44+[15]A30!Y44+[15]A32!B66</f>
        <v>139</v>
      </c>
      <c r="S33" s="150">
        <f t="shared" si="1"/>
        <v>0.30935251798561153</v>
      </c>
      <c r="T33" s="6">
        <f>[10]A07!X43+[10]A07!AB43+[10]A30!B44+[10]A30!C44+[10]A30!D44+[10]A30!E44+[10]A30!F44+[10]A30!G44+[10]A30!H44+[10]A30!I44+[10]A32!Z66+[10]A32!AE66</f>
        <v>25</v>
      </c>
      <c r="U33" s="6">
        <f>[10]A07!B43+[10]A30!R44+[10]A30!S44+[10]A30!T44+[10]A30!U44+[10]A30!V44+[10]A30!W44+[10]A30!X44+[10]A30!Y44+[10]A32!B66</f>
        <v>133</v>
      </c>
      <c r="V33" s="150">
        <f t="shared" si="2"/>
        <v>0.18796992481203006</v>
      </c>
      <c r="W33" s="6">
        <f>[11]A07!X43+[11]A07!AB43+[11]A30!B44+[11]A30!C44+[11]A30!D44+[11]A30!E44+[11]A30!F44+[11]A30!G44+[11]A30!H44+[11]A30!I44+[11]A32!Z66+[11]A32!AE66</f>
        <v>41</v>
      </c>
      <c r="X33" s="6">
        <f>[11]A07!B43+[11]A30!R44+[11]A30!S44+[11]A30!T44+[11]A30!U44+[11]A30!V44+[11]A30!W44+[11]A30!X44+[11]A30!Y44+[11]A32!B66</f>
        <v>126</v>
      </c>
      <c r="Y33" s="150">
        <f t="shared" si="3"/>
        <v>0.32539682539682541</v>
      </c>
      <c r="Z33" s="6">
        <f>[12]A07!X43+[12]A07!AB43+[12]A30!B44+[12]A30!C44+[12]A30!D44+[12]A30!E44+[12]A30!F44+[12]A30!G44+[12]A30!H44+[12]A30!I44+[12]A32!Z66+[12]A32!AE66</f>
        <v>26</v>
      </c>
      <c r="AA33" s="6">
        <f>[12]A07!B43+[12]A30!R44+[12]A30!S44+[12]A30!T44+[12]A30!U44+[12]A30!V44+[12]A30!W44+[12]A30!X44+[12]A30!Y44+[12]A32!B66</f>
        <v>119</v>
      </c>
      <c r="AB33" s="150">
        <f t="shared" si="4"/>
        <v>0.21848739495798319</v>
      </c>
      <c r="AC33" s="6">
        <f>[13]A07!X43+[13]A07!AB43+[13]A30!B44+[13]A30!C44+[13]A30!D44+[13]A30!E44+[13]A30!F44+[13]A30!G44+[13]A30!H44+[13]A30!I44+[13]A32!Z66+[13]A32!AE66</f>
        <v>43</v>
      </c>
      <c r="AD33" s="6">
        <f>[13]A07!B43+[13]A30!R44+[13]A30!S44+[13]A30!T44+[13]A30!U44+[13]A30!V44+[13]A30!W44+[13]A30!X44+[13]A30!Y44+[13]A32!B66</f>
        <v>166</v>
      </c>
      <c r="AE33" s="150">
        <f t="shared" si="5"/>
        <v>0.25903614457831325</v>
      </c>
      <c r="AF33" s="6">
        <f>[14]A07!X43+[14]A07!AB43+[14]A30!B44+[14]A30!C44+[14]A30!D44+[14]A30!E44+[14]A30!F44+[14]A30!G44+[14]A30!H44+[14]A30!I44+[14]A32!Z66+[14]A32!AE66</f>
        <v>31</v>
      </c>
      <c r="AG33" s="6">
        <f>[14]A07!B43+[14]A30!R44+[14]A30!S44+[14]A30!T44+[14]A30!U44+[14]A30!V44+[14]A30!W44+[14]A30!X44+[14]A30!Y44+[14]A32!B66</f>
        <v>119</v>
      </c>
      <c r="AH33" s="150">
        <f t="shared" si="6"/>
        <v>0.26050420168067229</v>
      </c>
      <c r="AI33" s="6"/>
      <c r="AJ33" s="6"/>
      <c r="AK33" s="4" t="e">
        <f t="shared" si="11"/>
        <v>#DIV/0!</v>
      </c>
      <c r="AL33" s="94">
        <f t="shared" si="16"/>
        <v>173</v>
      </c>
      <c r="AM33" s="94">
        <f t="shared" si="13"/>
        <v>712</v>
      </c>
      <c r="AN33" s="4">
        <f t="shared" si="14"/>
        <v>0.24297752808988765</v>
      </c>
      <c r="AO33" s="109" t="str">
        <f t="shared" si="15"/>
        <v>0</v>
      </c>
      <c r="AP33" s="1"/>
      <c r="AQ33" s="1"/>
      <c r="AT33" s="151" t="s">
        <v>175</v>
      </c>
    </row>
    <row r="34" spans="1:46" ht="14.45" customHeight="1" x14ac:dyDescent="0.15">
      <c r="A34" s="77" t="s">
        <v>119</v>
      </c>
      <c r="B34" s="106">
        <f>[4]A07!X44+[4]A07!AB44+[4]A30!B45+[4]A30!C45+[4]A30!D45+[4]A30!E45+[4]A30!F45+[4]A30!G45+[4]A30!H45+[4]A30!I45+[4]A32!Z67+[4]A32!AE67</f>
        <v>141</v>
      </c>
      <c r="C34" s="106">
        <f>[4]A07!B44+[4]A30!R45+[4]A30!S45+[4]A30!T45+[4]A30!U45+[4]A30!V45+[4]A30!W45+[4]A30!X45+[4]A30!Y45+[4]A32!B67</f>
        <v>295</v>
      </c>
      <c r="D34" s="4">
        <f t="shared" si="7"/>
        <v>0.47796610169491527</v>
      </c>
      <c r="E34" s="106">
        <f>[5]A07!X44+[5]A07!AB44+[5]A30!B45+[5]A30!C45+[5]A30!D45+[5]A30!E45+[5]A30!F45+[5]A30!G45+[5]A30!H45+[5]A30!I45+[5]A32!Z67+[5]A32!AE67</f>
        <v>75</v>
      </c>
      <c r="F34" s="106">
        <f>[5]A07!B44+[5]A30!R45+[5]A30!S45+[5]A30!T45+[5]A30!U45+[5]A30!V45+[5]A30!W45+[5]A30!X45+[5]A30!Y45+[5]A32!B67</f>
        <v>233</v>
      </c>
      <c r="G34" s="4">
        <f t="shared" si="8"/>
        <v>0.32188841201716739</v>
      </c>
      <c r="H34" s="106">
        <f>[6]A07!X44+[6]A07!AB44+[6]A30!B45+[6]A30!C45+[6]A30!D45+[6]A30!E45+[6]A30!F45+[6]A30!G45+[6]A30!H45+[6]A30!I45+[6]A32!Z67+[6]A32!AE67</f>
        <v>174</v>
      </c>
      <c r="I34" s="106">
        <f>[6]A07!B44+[6]A30!R45+[6]A30!S45+[6]A30!T45+[6]A30!U45+[6]A30!V45+[6]A30!W45+[6]A30!X45+[6]A30!Y45+[6]A32!B67</f>
        <v>401</v>
      </c>
      <c r="J34" s="4">
        <f t="shared" si="9"/>
        <v>0.43391521197007482</v>
      </c>
      <c r="K34" s="106">
        <f>[7]A07!X44+[7]A07!AB44+[7]A30!B45+[7]A30!C45+[7]A30!D45+[7]A30!E45+[7]A30!F45+[7]A30!G45+[7]A30!H45+[7]A30!I45+[7]A32!Z67+[7]A32!AE67</f>
        <v>116</v>
      </c>
      <c r="L34" s="106">
        <f>[7]A07!B44+[7]A30!R45+[7]A30!S45+[7]A30!T45+[7]A30!U45+[7]A30!V45+[7]A30!W45+[7]A30!X45+[7]A30!Y45+[7]A32!B67</f>
        <v>326</v>
      </c>
      <c r="M34" s="4">
        <f t="shared" si="10"/>
        <v>0.35582822085889571</v>
      </c>
      <c r="N34" s="106">
        <f>[8]A07!X44+[8]A07!AB44+[8]A30!B45+[8]A30!C45+[8]A30!D45+[8]A30!E45+[8]A30!F45+[8]A30!G45+[8]A30!H45+[8]A30!I45+[8]A32!Z67+[8]A32!AE67</f>
        <v>91</v>
      </c>
      <c r="O34" s="106">
        <f>[8]A07!B44+[8]A30!R45+[8]A30!S45+[8]A30!T45+[8]A30!U45+[8]A30!V45+[8]A30!W45+[8]A30!X45+[8]A30!Y45+[8]A32!B67</f>
        <v>311</v>
      </c>
      <c r="P34" s="150">
        <f t="shared" si="0"/>
        <v>0.29260450160771706</v>
      </c>
      <c r="Q34" s="6">
        <f>[15]A07!X44+[15]A07!AB44+[15]A30!B45+[15]A30!C45+[15]A30!D45+[15]A30!E45+[15]A30!F45+[15]A30!G45+[15]A30!H45+[15]A30!I45+[15]A32!Z67+[15]A32!AE67</f>
        <v>84</v>
      </c>
      <c r="R34" s="6">
        <f>[15]A07!B44+[15]A30!R45+[15]A30!S45+[15]A30!T45+[15]A30!U45+[15]A30!V45+[15]A30!W45+[15]A30!X45+[15]A30!Y45+[15]A32!B67</f>
        <v>268</v>
      </c>
      <c r="S34" s="150">
        <f t="shared" si="1"/>
        <v>0.31343283582089554</v>
      </c>
      <c r="T34" s="6">
        <f>[10]A07!X44+[10]A07!AB44+[10]A30!B45+[10]A30!C45+[10]A30!D45+[10]A30!E45+[10]A30!F45+[10]A30!G45+[10]A30!H45+[10]A30!I45+[10]A32!Z67+[10]A32!AE67</f>
        <v>154</v>
      </c>
      <c r="U34" s="6">
        <f>[10]A07!B44+[10]A30!R45+[10]A30!S45+[10]A30!T45+[10]A30!U45+[10]A30!V45+[10]A30!W45+[10]A30!X45+[10]A30!Y45+[10]A32!B67</f>
        <v>361</v>
      </c>
      <c r="V34" s="150">
        <f t="shared" si="2"/>
        <v>0.4265927977839335</v>
      </c>
      <c r="W34" s="6">
        <f>[11]A07!X44+[11]A07!AB44+[11]A30!B45+[11]A30!C45+[11]A30!D45+[11]A30!E45+[11]A30!F45+[11]A30!G45+[11]A30!H45+[11]A30!I45+[11]A32!Z67+[11]A32!AE67</f>
        <v>100</v>
      </c>
      <c r="X34" s="6">
        <f>[11]A07!B44+[11]A30!R45+[11]A30!S45+[11]A30!T45+[11]A30!U45+[11]A30!V45+[11]A30!W45+[11]A30!X45+[11]A30!Y45+[11]A32!B67</f>
        <v>260</v>
      </c>
      <c r="Y34" s="150">
        <f t="shared" si="3"/>
        <v>0.38461538461538464</v>
      </c>
      <c r="Z34" s="6">
        <f>[12]A07!X44+[12]A07!AB44+[12]A30!B45+[12]A30!C45+[12]A30!D45+[12]A30!E45+[12]A30!F45+[12]A30!G45+[12]A30!H45+[12]A30!I45+[12]A32!Z67+[12]A32!AE67</f>
        <v>104</v>
      </c>
      <c r="AA34" s="6">
        <f>[12]A07!B44+[12]A30!R45+[12]A30!S45+[12]A30!T45+[12]A30!U45+[12]A30!V45+[12]A30!W45+[12]A30!X45+[12]A30!Y45+[12]A32!B67</f>
        <v>280</v>
      </c>
      <c r="AB34" s="150">
        <f t="shared" si="4"/>
        <v>0.37142857142857144</v>
      </c>
      <c r="AC34" s="6">
        <f>[13]A07!X44+[13]A07!AB44+[13]A30!B45+[13]A30!C45+[13]A30!D45+[13]A30!E45+[13]A30!F45+[13]A30!G45+[13]A30!H45+[13]A30!I45+[13]A32!Z67+[13]A32!AE67</f>
        <v>103</v>
      </c>
      <c r="AD34" s="6">
        <f>[13]A07!B44+[13]A30!R45+[13]A30!S45+[13]A30!T45+[13]A30!U45+[13]A30!V45+[13]A30!W45+[13]A30!X45+[13]A30!Y45+[13]A32!B67</f>
        <v>235</v>
      </c>
      <c r="AE34" s="150">
        <f t="shared" si="5"/>
        <v>0.43829787234042555</v>
      </c>
      <c r="AF34" s="6">
        <f>[14]A07!X44+[14]A07!AB44+[14]A30!B45+[14]A30!C45+[14]A30!D45+[14]A30!E45+[14]A30!F45+[14]A30!G45+[14]A30!H45+[14]A30!I45+[14]A32!Z67+[14]A32!AE67</f>
        <v>116</v>
      </c>
      <c r="AG34" s="6">
        <f>[14]A07!B44+[14]A30!R45+[14]A30!S45+[14]A30!T45+[14]A30!U45+[14]A30!V45+[14]A30!W45+[14]A30!X45+[14]A30!Y45+[14]A32!B67</f>
        <v>275</v>
      </c>
      <c r="AH34" s="150">
        <f t="shared" si="6"/>
        <v>0.42181818181818181</v>
      </c>
      <c r="AI34" s="6"/>
      <c r="AJ34" s="6"/>
      <c r="AK34" s="4" t="e">
        <f t="shared" si="11"/>
        <v>#DIV/0!</v>
      </c>
      <c r="AL34" s="94">
        <f t="shared" si="16"/>
        <v>597</v>
      </c>
      <c r="AM34" s="94">
        <f t="shared" si="13"/>
        <v>1566</v>
      </c>
      <c r="AN34" s="4">
        <f t="shared" si="14"/>
        <v>0.38122605363984674</v>
      </c>
      <c r="AO34" s="109" t="str">
        <f>IF(AN34&gt;45%,"1","0")</f>
        <v>0</v>
      </c>
      <c r="AP34" s="1"/>
      <c r="AQ34" s="1"/>
      <c r="AT34" s="151" t="s">
        <v>176</v>
      </c>
    </row>
    <row r="35" spans="1:46" x14ac:dyDescent="0.15">
      <c r="A35" s="81" t="s">
        <v>120</v>
      </c>
      <c r="B35" s="106">
        <f>[4]A07!X45+[4]A07!AB45+[4]A30!B46+[4]A30!C46+[4]A30!D46+[4]A30!E46+[4]A30!F46+[4]A30!G46+[4]A30!H46+[4]A30!I46+[4]A32!Z68+[4]A32!AE68</f>
        <v>0</v>
      </c>
      <c r="C35" s="106">
        <f>[4]A07!B45+[4]A30!R46+[4]A30!S46+[4]A30!T46+[4]A30!U46+[4]A30!V46+[4]A30!W46+[4]A30!X46+[4]A30!Y46+[4]A32!B68</f>
        <v>0</v>
      </c>
      <c r="D35" s="4" t="str">
        <f t="shared" si="7"/>
        <v/>
      </c>
      <c r="E35" s="106">
        <f>[5]A07!X45+[5]A07!AB45+[5]A30!B46+[5]A30!C46+[5]A30!D46+[5]A30!E46+[5]A30!F46+[5]A30!G46+[5]A30!H46+[5]A30!I46+[5]A32!Z68+[5]A32!AE68</f>
        <v>4</v>
      </c>
      <c r="F35" s="106">
        <f>[5]A07!B45+[5]A30!R46+[5]A30!S46+[5]A30!T46+[5]A30!U46+[5]A30!V46+[5]A30!W46+[5]A30!X46+[5]A30!Y46+[5]A32!B68</f>
        <v>20</v>
      </c>
      <c r="G35" s="4">
        <f t="shared" si="8"/>
        <v>0.2</v>
      </c>
      <c r="H35" s="106">
        <f>[6]A07!X45+[6]A07!AB45+[6]A30!B46+[6]A30!C46+[6]A30!D46+[6]A30!E46+[6]A30!F46+[6]A30!G46+[6]A30!H46+[6]A30!I46+[6]A32!Z68+[6]A32!AE68</f>
        <v>7</v>
      </c>
      <c r="I35" s="106">
        <f>[6]A07!B45+[6]A30!R46+[6]A30!S46+[6]A30!T46+[6]A30!U46+[6]A30!V46+[6]A30!W46+[6]A30!X46+[6]A30!Y46+[6]A32!B68</f>
        <v>30</v>
      </c>
      <c r="J35" s="4">
        <f t="shared" si="9"/>
        <v>0.23333333333333334</v>
      </c>
      <c r="K35" s="106">
        <f>[7]A07!X45+[7]A07!AB45+[7]A30!B46+[7]A30!C46+[7]A30!D46+[7]A30!E46+[7]A30!F46+[7]A30!G46+[7]A30!H46+[7]A30!I46+[7]A32!Z68+[7]A32!AE68</f>
        <v>8</v>
      </c>
      <c r="L35" s="106">
        <f>[7]A07!B45+[7]A30!R46+[7]A30!S46+[7]A30!T46+[7]A30!U46+[7]A30!V46+[7]A30!W46+[7]A30!X46+[7]A30!Y46+[7]A32!B68</f>
        <v>22</v>
      </c>
      <c r="M35" s="4">
        <f t="shared" si="10"/>
        <v>0.36363636363636365</v>
      </c>
      <c r="N35" s="106">
        <f>[8]A07!X45+[8]A07!AB45+[8]A30!B46+[8]A30!C46+[8]A30!D46+[8]A30!E46+[8]A30!F46+[8]A30!G46+[8]A30!H46+[8]A30!I46+[8]A32!Z68+[8]A32!AE68</f>
        <v>5</v>
      </c>
      <c r="O35" s="106">
        <f>[8]A07!B45+[8]A30!R46+[8]A30!S46+[8]A30!T46+[8]A30!U46+[8]A30!V46+[8]A30!W46+[8]A30!X46+[8]A30!Y46+[8]A32!B68</f>
        <v>18</v>
      </c>
      <c r="P35" s="150">
        <f t="shared" si="0"/>
        <v>0.27777777777777779</v>
      </c>
      <c r="Q35" s="6">
        <f>[15]A07!X45+[15]A07!AB45+[15]A30!B46+[15]A30!C46+[15]A30!D46+[15]A30!E46+[15]A30!F46+[15]A30!G46+[15]A30!H46+[15]A30!I46+[15]A32!Z68+[15]A32!AE68</f>
        <v>6</v>
      </c>
      <c r="R35" s="6">
        <f>[15]A07!B45+[15]A30!R46+[15]A30!S46+[15]A30!T46+[15]A30!U46+[15]A30!V46+[15]A30!W46+[15]A30!X46+[15]A30!Y46+[15]A32!B68</f>
        <v>42</v>
      </c>
      <c r="S35" s="150">
        <f t="shared" si="1"/>
        <v>0.14285714285714285</v>
      </c>
      <c r="T35" s="6">
        <f>[10]A07!X45+[10]A07!AB45+[10]A30!B46+[10]A30!C46+[10]A30!D46+[10]A30!E46+[10]A30!F46+[10]A30!G46+[10]A30!H46+[10]A30!I46+[10]A32!Z68+[10]A32!AE68</f>
        <v>11</v>
      </c>
      <c r="U35" s="6">
        <f>[10]A07!B45+[10]A30!R46+[10]A30!S46+[10]A30!T46+[10]A30!U46+[10]A30!V46+[10]A30!W46+[10]A30!X46+[10]A30!Y46+[10]A32!B68</f>
        <v>33</v>
      </c>
      <c r="V35" s="150">
        <f t="shared" si="2"/>
        <v>0.33333333333333331</v>
      </c>
      <c r="W35" s="6">
        <f>[11]A07!X45+[11]A07!AB45+[11]A30!B46+[11]A30!C46+[11]A30!D46+[11]A30!E46+[11]A30!F46+[11]A30!G46+[11]A30!H46+[11]A30!I46+[11]A32!Z68+[11]A32!AE68</f>
        <v>16</v>
      </c>
      <c r="X35" s="6">
        <f>[11]A07!B45+[11]A30!R46+[11]A30!S46+[11]A30!T46+[11]A30!U46+[11]A30!V46+[11]A30!W46+[11]A30!X46+[11]A30!Y46+[11]A32!B68</f>
        <v>28</v>
      </c>
      <c r="Y35" s="150">
        <f t="shared" si="3"/>
        <v>0.5714285714285714</v>
      </c>
      <c r="Z35" s="6">
        <f>[12]A07!X45+[12]A07!AB45+[12]A30!B46+[12]A30!C46+[12]A30!D46+[12]A30!E46+[12]A30!F46+[12]A30!G46+[12]A30!H46+[12]A30!I46+[12]A32!Z68+[12]A32!AE68</f>
        <v>10</v>
      </c>
      <c r="AA35" s="6">
        <f>[12]A07!B45+[12]A30!R46+[12]A30!S46+[12]A30!T46+[12]A30!U46+[12]A30!V46+[12]A30!W46+[12]A30!X46+[12]A30!Y46+[12]A32!B68</f>
        <v>30</v>
      </c>
      <c r="AB35" s="150">
        <f t="shared" si="4"/>
        <v>0.33333333333333331</v>
      </c>
      <c r="AC35" s="6">
        <f>[13]A07!X45+[13]A07!AB45+[13]A30!B46+[13]A30!C46+[13]A30!D46+[13]A30!E46+[13]A30!F46+[13]A30!G46+[13]A30!H46+[13]A30!I46+[13]A32!Z68+[13]A32!AE68</f>
        <v>8</v>
      </c>
      <c r="AD35" s="6">
        <f>[13]A07!B45+[13]A30!R46+[13]A30!S46+[13]A30!T46+[13]A30!U46+[13]A30!V46+[13]A30!W46+[13]A30!X46+[13]A30!Y46+[13]A32!B68</f>
        <v>22</v>
      </c>
      <c r="AE35" s="150">
        <f t="shared" si="5"/>
        <v>0.36363636363636365</v>
      </c>
      <c r="AF35" s="6">
        <f>[14]A07!X45+[14]A07!AB45+[14]A30!B46+[14]A30!C46+[14]A30!D46+[14]A30!E46+[14]A30!F46+[14]A30!G46+[14]A30!H46+[14]A30!I46+[14]A32!Z68+[14]A32!AE68</f>
        <v>4</v>
      </c>
      <c r="AG35" s="6">
        <f>[14]A07!B45+[14]A30!R46+[14]A30!S46+[14]A30!T46+[14]A30!U46+[14]A30!V46+[14]A30!W46+[14]A30!X46+[14]A30!Y46+[14]A32!B68</f>
        <v>17</v>
      </c>
      <c r="AH35" s="150">
        <f t="shared" si="6"/>
        <v>0.23529411764705882</v>
      </c>
      <c r="AI35" s="6"/>
      <c r="AJ35" s="6"/>
      <c r="AK35" s="4" t="e">
        <f t="shared" si="11"/>
        <v>#DIV/0!</v>
      </c>
      <c r="AL35" s="94">
        <f t="shared" si="16"/>
        <v>24</v>
      </c>
      <c r="AM35" s="94">
        <f t="shared" si="13"/>
        <v>90</v>
      </c>
      <c r="AN35" s="4">
        <f t="shared" si="14"/>
        <v>0.26666666666666666</v>
      </c>
      <c r="AO35" s="109" t="str">
        <f>IF(AN35&gt;45%,"1","0")</f>
        <v>0</v>
      </c>
      <c r="AP35" s="1"/>
      <c r="AQ35" s="1"/>
      <c r="AT35" s="151" t="s">
        <v>176</v>
      </c>
    </row>
    <row r="36" spans="1:46" x14ac:dyDescent="0.15">
      <c r="A36" s="82" t="s">
        <v>121</v>
      </c>
      <c r="B36" s="106">
        <f>[4]A07!X46+[4]A07!AB46+[4]A30!B47+[4]A30!C47+[4]A30!D47+[4]A30!E47+[4]A30!F47+[4]A30!G47+[4]A30!H47+[4]A30!I47+[4]A32!Z69+[4]A32!AE69</f>
        <v>0</v>
      </c>
      <c r="C36" s="106">
        <f>[4]A07!B46+[4]A30!R47+[4]A30!S47+[4]A30!T47+[4]A30!U47+[4]A30!V47+[4]A30!W47+[4]A30!X47+[4]A30!Y47+[4]A32!B69</f>
        <v>0</v>
      </c>
      <c r="D36" s="4" t="str">
        <f t="shared" si="7"/>
        <v/>
      </c>
      <c r="E36" s="106">
        <f>[5]A07!X46+[5]A07!AB46+[5]A30!B47+[5]A30!C47+[5]A30!D47+[5]A30!E47+[5]A30!F47+[5]A30!G47+[5]A30!H47+[5]A30!I47+[5]A32!Z69+[5]A32!AE69</f>
        <v>0</v>
      </c>
      <c r="F36" s="106">
        <f>[5]A07!B46+[5]A30!R47+[5]A30!S47+[5]A30!T47+[5]A30!U47+[5]A30!V47+[5]A30!W47+[5]A30!X47+[5]A30!Y47+[5]A32!B69</f>
        <v>0</v>
      </c>
      <c r="G36" s="4" t="str">
        <f t="shared" si="8"/>
        <v/>
      </c>
      <c r="H36" s="106">
        <f>[6]A07!X46+[6]A07!AB46+[6]A30!B47+[6]A30!C47+[6]A30!D47+[6]A30!E47+[6]A30!F47+[6]A30!G47+[6]A30!H47+[6]A30!I47+[6]A32!Z69+[6]A32!AE69</f>
        <v>0</v>
      </c>
      <c r="I36" s="106">
        <f>[6]A07!B46+[6]A30!R47+[6]A30!S47+[6]A30!T47+[6]A30!U47+[6]A30!V47+[6]A30!W47+[6]A30!X47+[6]A30!Y47+[6]A32!B69</f>
        <v>0</v>
      </c>
      <c r="J36" s="4" t="str">
        <f t="shared" si="9"/>
        <v/>
      </c>
      <c r="K36" s="106">
        <f>[7]A07!X46+[7]A07!AB46+[7]A30!B47+[7]A30!C47+[7]A30!D47+[7]A30!E47+[7]A30!F47+[7]A30!G47+[7]A30!H47+[7]A30!I47+[7]A32!Z69+[7]A32!AE69</f>
        <v>0</v>
      </c>
      <c r="L36" s="106">
        <f>[7]A07!B46+[7]A30!R47+[7]A30!S47+[7]A30!T47+[7]A30!U47+[7]A30!V47+[7]A30!W47+[7]A30!X47+[7]A30!Y47+[7]A32!B69</f>
        <v>0</v>
      </c>
      <c r="M36" s="4" t="str">
        <f t="shared" si="10"/>
        <v/>
      </c>
      <c r="N36" s="106">
        <f>[8]A07!X46+[8]A07!AB46+[8]A30!B47+[8]A30!C47+[8]A30!D47+[8]A30!E47+[8]A30!F47+[8]A30!G47+[8]A30!H47+[8]A30!I47+[8]A32!Z69+[8]A32!AE69</f>
        <v>0</v>
      </c>
      <c r="O36" s="106">
        <f>[8]A07!B46+[8]A30!R47+[8]A30!S47+[8]A30!T47+[8]A30!U47+[8]A30!V47+[8]A30!W47+[8]A30!X47+[8]A30!Y47+[8]A32!B69</f>
        <v>0</v>
      </c>
      <c r="P36" s="150" t="e">
        <f t="shared" si="0"/>
        <v>#DIV/0!</v>
      </c>
      <c r="Q36" s="6">
        <f>[15]A07!X46+[15]A07!AB46+[15]A30!B47+[15]A30!C47+[15]A30!D47+[15]A30!E47+[15]A30!F47+[15]A30!G47+[15]A30!H47+[15]A30!I47+[15]A32!Z69+[15]A32!AE69</f>
        <v>0</v>
      </c>
      <c r="R36" s="6">
        <f>[15]A07!B46+[15]A30!R47+[15]A30!S47+[15]A30!T47+[15]A30!U47+[15]A30!V47+[15]A30!W47+[15]A30!X47+[15]A30!Y47+[15]A32!B69</f>
        <v>0</v>
      </c>
      <c r="S36" s="150" t="e">
        <f t="shared" si="1"/>
        <v>#DIV/0!</v>
      </c>
      <c r="T36" s="6">
        <f>[10]A07!X46+[10]A07!AB46+[10]A30!B47+[10]A30!C47+[10]A30!D47+[10]A30!E47+[10]A30!F47+[10]A30!G47+[10]A30!H47+[10]A30!I47+[10]A32!Z69+[10]A32!AE69</f>
        <v>0</v>
      </c>
      <c r="U36" s="6">
        <f>[10]A07!B46+[10]A30!R47+[10]A30!S47+[10]A30!T47+[10]A30!U47+[10]A30!V47+[10]A30!W47+[10]A30!X47+[10]A30!Y47+[10]A32!B69</f>
        <v>0</v>
      </c>
      <c r="V36" s="150" t="e">
        <f t="shared" si="2"/>
        <v>#DIV/0!</v>
      </c>
      <c r="W36" s="6">
        <f>[11]A07!X46+[11]A07!AB46+[11]A30!B47+[11]A30!C47+[11]A30!D47+[11]A30!E47+[11]A30!F47+[11]A30!G47+[11]A30!H47+[11]A30!I47+[11]A32!Z69+[11]A32!AE69</f>
        <v>0</v>
      </c>
      <c r="X36" s="6">
        <f>[11]A07!B46+[11]A30!R47+[11]A30!S47+[11]A30!T47+[11]A30!U47+[11]A30!V47+[11]A30!W47+[11]A30!X47+[11]A30!Y47+[11]A32!B69</f>
        <v>0</v>
      </c>
      <c r="Y36" s="150" t="e">
        <f t="shared" si="3"/>
        <v>#DIV/0!</v>
      </c>
      <c r="Z36" s="6">
        <f>[12]A07!X46+[12]A07!AB46+[12]A30!B47+[12]A30!C47+[12]A30!D47+[12]A30!E47+[12]A30!F47+[12]A30!G47+[12]A30!H47+[12]A30!I47+[12]A32!Z69+[12]A32!AE69</f>
        <v>0</v>
      </c>
      <c r="AA36" s="6">
        <f>[12]A07!B46+[12]A30!R47+[12]A30!S47+[12]A30!T47+[12]A30!U47+[12]A30!V47+[12]A30!W47+[12]A30!X47+[12]A30!Y47+[12]A32!B69</f>
        <v>0</v>
      </c>
      <c r="AB36" s="150" t="e">
        <f t="shared" si="4"/>
        <v>#DIV/0!</v>
      </c>
      <c r="AC36" s="6">
        <f>[13]A07!X46+[13]A07!AB46+[13]A30!B47+[13]A30!C47+[13]A30!D47+[13]A30!E47+[13]A30!F47+[13]A30!G47+[13]A30!H47+[13]A30!I47+[13]A32!Z69+[13]A32!AE69</f>
        <v>0</v>
      </c>
      <c r="AD36" s="6">
        <f>[13]A07!B46+[13]A30!R47+[13]A30!S47+[13]A30!T47+[13]A30!U47+[13]A30!V47+[13]A30!W47+[13]A30!X47+[13]A30!Y47+[13]A32!B69</f>
        <v>0</v>
      </c>
      <c r="AE36" s="150" t="e">
        <f t="shared" si="5"/>
        <v>#DIV/0!</v>
      </c>
      <c r="AF36" s="6">
        <f>[14]A07!X46+[14]A07!AB46+[14]A30!B47+[14]A30!C47+[14]A30!D47+[14]A30!E47+[14]A30!F47+[14]A30!G47+[14]A30!H47+[14]A30!I47+[14]A32!Z69+[14]A32!AE69</f>
        <v>0</v>
      </c>
      <c r="AG36" s="6">
        <f>[14]A07!B46+[14]A30!R47+[14]A30!S47+[14]A30!T47+[14]A30!U47+[14]A30!V47+[14]A30!W47+[14]A30!X47+[14]A30!Y47+[14]A32!B69</f>
        <v>0</v>
      </c>
      <c r="AH36" s="150" t="e">
        <f t="shared" si="6"/>
        <v>#DIV/0!</v>
      </c>
      <c r="AI36" s="6"/>
      <c r="AJ36" s="6"/>
      <c r="AK36" s="4" t="e">
        <f t="shared" si="11"/>
        <v>#DIV/0!</v>
      </c>
      <c r="AL36" s="94">
        <f t="shared" si="16"/>
        <v>0</v>
      </c>
      <c r="AM36" s="94">
        <f t="shared" si="13"/>
        <v>0</v>
      </c>
      <c r="AN36" s="4" t="str">
        <f t="shared" si="14"/>
        <v/>
      </c>
      <c r="AO36" s="1"/>
      <c r="AT36" s="1"/>
    </row>
    <row r="37" spans="1:46" x14ac:dyDescent="0.15">
      <c r="A37" s="77" t="s">
        <v>122</v>
      </c>
      <c r="B37" s="106">
        <f>[4]A07!X47+[4]A07!AB47+[4]A30!B48+[4]A30!C48+[4]A30!D48+[4]A30!E48+[4]A30!F48+[4]A30!G48+[4]A30!H48+[4]A30!I48+[4]A32!Z70+[4]A32!AE70</f>
        <v>0</v>
      </c>
      <c r="C37" s="106">
        <f>[4]A07!B47+[4]A30!R48+[4]A30!S48+[4]A30!T48+[4]A30!U48+[4]A30!V48+[4]A30!W48+[4]A30!X48+[4]A30!Y48+[4]A32!B70</f>
        <v>0</v>
      </c>
      <c r="D37" s="4" t="str">
        <f t="shared" si="7"/>
        <v/>
      </c>
      <c r="E37" s="106">
        <f>[5]A07!X47+[5]A07!AB47+[5]A30!B48+[5]A30!C48+[5]A30!D48+[5]A30!E48+[5]A30!F48+[5]A30!G48+[5]A30!H48+[5]A30!I48+[5]A32!Z70+[5]A32!AE70</f>
        <v>0</v>
      </c>
      <c r="F37" s="106">
        <f>[5]A07!B47+[5]A30!R48+[5]A30!S48+[5]A30!T48+[5]A30!U48+[5]A30!V48+[5]A30!W48+[5]A30!X48+[5]A30!Y48+[5]A32!B70</f>
        <v>0</v>
      </c>
      <c r="G37" s="4" t="str">
        <f t="shared" si="8"/>
        <v/>
      </c>
      <c r="H37" s="106">
        <f>[6]A07!X47+[6]A07!AB47+[6]A30!B48+[6]A30!C48+[6]A30!D48+[6]A30!E48+[6]A30!F48+[6]A30!G48+[6]A30!H48+[6]A30!I48+[6]A32!Z70+[6]A32!AE70</f>
        <v>0</v>
      </c>
      <c r="I37" s="106">
        <f>[6]A07!B47+[6]A30!R48+[6]A30!S48+[6]A30!T48+[6]A30!U48+[6]A30!V48+[6]A30!W48+[6]A30!X48+[6]A30!Y48+[6]A32!B70</f>
        <v>0</v>
      </c>
      <c r="J37" s="4" t="str">
        <f t="shared" si="9"/>
        <v/>
      </c>
      <c r="K37" s="106">
        <f>[7]A07!X47+[7]A07!AB47+[7]A30!B48+[7]A30!C48+[7]A30!D48+[7]A30!E48+[7]A30!F48+[7]A30!G48+[7]A30!H48+[7]A30!I48+[7]A32!Z70+[7]A32!AE70</f>
        <v>0</v>
      </c>
      <c r="L37" s="106">
        <f>[7]A07!B47+[7]A30!R48+[7]A30!S48+[7]A30!T48+[7]A30!U48+[7]A30!V48+[7]A30!W48+[7]A30!X48+[7]A30!Y48+[7]A32!B70</f>
        <v>0</v>
      </c>
      <c r="M37" s="4" t="str">
        <f t="shared" si="10"/>
        <v/>
      </c>
      <c r="N37" s="106">
        <f>[8]A07!X47+[8]A07!AB47+[8]A30!B48+[8]A30!C48+[8]A30!D48+[8]A30!E48+[8]A30!F48+[8]A30!G48+[8]A30!H48+[8]A30!I48+[8]A32!Z70+[8]A32!AE70</f>
        <v>0</v>
      </c>
      <c r="O37" s="106">
        <f>[8]A07!B47+[8]A30!R48+[8]A30!S48+[8]A30!T48+[8]A30!U48+[8]A30!V48+[8]A30!W48+[8]A30!X48+[8]A30!Y48+[8]A32!B70</f>
        <v>0</v>
      </c>
      <c r="P37" s="150" t="e">
        <f t="shared" si="0"/>
        <v>#DIV/0!</v>
      </c>
      <c r="Q37" s="6">
        <f>[15]A07!X47+[15]A07!AB47+[15]A30!B48+[15]A30!C48+[15]A30!D48+[15]A30!E48+[15]A30!F48+[15]A30!G48+[15]A30!H48+[15]A30!I48+[15]A32!Z70+[15]A32!AE70</f>
        <v>0</v>
      </c>
      <c r="R37" s="6">
        <f>[15]A07!B47+[15]A30!R48+[15]A30!S48+[15]A30!T48+[15]A30!U48+[15]A30!V48+[15]A30!W48+[15]A30!X48+[15]A30!Y48+[15]A32!B70</f>
        <v>0</v>
      </c>
      <c r="S37" s="150" t="e">
        <f t="shared" si="1"/>
        <v>#DIV/0!</v>
      </c>
      <c r="T37" s="6">
        <f>[10]A07!X47+[10]A07!AB47+[10]A30!B48+[10]A30!C48+[10]A30!D48+[10]A30!E48+[10]A30!F48+[10]A30!G48+[10]A30!H48+[10]A30!I48+[10]A32!Z70+[10]A32!AE70</f>
        <v>0</v>
      </c>
      <c r="U37" s="6">
        <f>[10]A07!B47+[10]A30!R48+[10]A30!S48+[10]A30!T48+[10]A30!U48+[10]A30!V48+[10]A30!W48+[10]A30!X48+[10]A30!Y48+[10]A32!B70</f>
        <v>0</v>
      </c>
      <c r="V37" s="150" t="e">
        <f t="shared" si="2"/>
        <v>#DIV/0!</v>
      </c>
      <c r="W37" s="6">
        <f>[11]A07!X47+[11]A07!AB47+[11]A30!B48+[11]A30!C48+[11]A30!D48+[11]A30!E48+[11]A30!F48+[11]A30!G48+[11]A30!H48+[11]A30!I48+[11]A32!Z70+[11]A32!AE70</f>
        <v>0</v>
      </c>
      <c r="X37" s="6">
        <f>[11]A07!B47+[11]A30!R48+[11]A30!S48+[11]A30!T48+[11]A30!U48+[11]A30!V48+[11]A30!W48+[11]A30!X48+[11]A30!Y48+[11]A32!B70</f>
        <v>0</v>
      </c>
      <c r="Y37" s="150" t="e">
        <f t="shared" si="3"/>
        <v>#DIV/0!</v>
      </c>
      <c r="Z37" s="6">
        <f>[12]A07!X47+[12]A07!AB47+[12]A30!B48+[12]A30!C48+[12]A30!D48+[12]A30!E48+[12]A30!F48+[12]A30!G48+[12]A30!H48+[12]A30!I48+[12]A32!Z70+[12]A32!AE70</f>
        <v>0</v>
      </c>
      <c r="AA37" s="6">
        <f>[12]A07!B47+[12]A30!R48+[12]A30!S48+[12]A30!T48+[12]A30!U48+[12]A30!V48+[12]A30!W48+[12]A30!X48+[12]A30!Y48+[12]A32!B70</f>
        <v>0</v>
      </c>
      <c r="AB37" s="150" t="e">
        <f t="shared" si="4"/>
        <v>#DIV/0!</v>
      </c>
      <c r="AC37" s="6">
        <f>[13]A07!X47+[13]A07!AB47+[13]A30!B48+[13]A30!C48+[13]A30!D48+[13]A30!E48+[13]A30!F48+[13]A30!G48+[13]A30!H48+[13]A30!I48+[13]A32!Z70+[13]A32!AE70</f>
        <v>0</v>
      </c>
      <c r="AD37" s="6">
        <f>[13]A07!B47+[13]A30!R48+[13]A30!S48+[13]A30!T48+[13]A30!U48+[13]A30!V48+[13]A30!W48+[13]A30!X48+[13]A30!Y48+[13]A32!B70</f>
        <v>0</v>
      </c>
      <c r="AE37" s="150" t="e">
        <f t="shared" si="5"/>
        <v>#DIV/0!</v>
      </c>
      <c r="AF37" s="6">
        <f>[14]A07!X47+[14]A07!AB47+[14]A30!B48+[14]A30!C48+[14]A30!D48+[14]A30!E48+[14]A30!F48+[14]A30!G48+[14]A30!H48+[14]A30!I48+[14]A32!Z70+[14]A32!AE70</f>
        <v>0</v>
      </c>
      <c r="AG37" s="6">
        <f>[14]A07!B47+[14]A30!R48+[14]A30!S48+[14]A30!T48+[14]A30!U48+[14]A30!V48+[14]A30!W48+[14]A30!X48+[14]A30!Y48+[14]A32!B70</f>
        <v>0</v>
      </c>
      <c r="AH37" s="150" t="e">
        <f t="shared" si="6"/>
        <v>#DIV/0!</v>
      </c>
      <c r="AI37" s="6"/>
      <c r="AJ37" s="6"/>
      <c r="AK37" s="4" t="e">
        <f t="shared" si="11"/>
        <v>#DIV/0!</v>
      </c>
      <c r="AL37" s="94">
        <f t="shared" si="16"/>
        <v>0</v>
      </c>
      <c r="AM37" s="94">
        <f t="shared" si="13"/>
        <v>0</v>
      </c>
      <c r="AN37" s="4" t="str">
        <f t="shared" si="14"/>
        <v/>
      </c>
      <c r="AO37" s="1"/>
      <c r="AT37" s="1"/>
    </row>
    <row r="38" spans="1:46" x14ac:dyDescent="0.15">
      <c r="A38" s="77" t="s">
        <v>123</v>
      </c>
      <c r="B38" s="106">
        <f>[4]A07!X48+[4]A07!AB48+[4]A30!B49+[4]A30!C49+[4]A30!D49+[4]A30!E49+[4]A30!F49+[4]A30!G49+[4]A30!H49+[4]A30!I49+[4]A32!Z71+[4]A32!AE71</f>
        <v>0</v>
      </c>
      <c r="C38" s="106">
        <f>[4]A07!B48+[4]A30!R49+[4]A30!S49+[4]A30!T49+[4]A30!U49+[4]A30!V49+[4]A30!W49+[4]A30!X49+[4]A30!Y49+[4]A32!B71</f>
        <v>0</v>
      </c>
      <c r="D38" s="4" t="str">
        <f t="shared" si="7"/>
        <v/>
      </c>
      <c r="E38" s="106">
        <f>[5]A07!X48+[5]A07!AB48+[5]A30!B49+[5]A30!C49+[5]A30!D49+[5]A30!E49+[5]A30!F49+[5]A30!G49+[5]A30!H49+[5]A30!I49+[5]A32!Z71+[5]A32!AE71</f>
        <v>0</v>
      </c>
      <c r="F38" s="106">
        <f>[5]A07!B48+[5]A30!R49+[5]A30!S49+[5]A30!T49+[5]A30!U49+[5]A30!V49+[5]A30!W49+[5]A30!X49+[5]A30!Y49+[5]A32!B71</f>
        <v>0</v>
      </c>
      <c r="G38" s="4" t="str">
        <f t="shared" si="8"/>
        <v/>
      </c>
      <c r="H38" s="106">
        <f>[6]A07!X48+[6]A07!AB48+[6]A30!B49+[6]A30!C49+[6]A30!D49+[6]A30!E49+[6]A30!F49+[6]A30!G49+[6]A30!H49+[6]A30!I49+[6]A32!Z71+[6]A32!AE71</f>
        <v>0</v>
      </c>
      <c r="I38" s="106">
        <f>[6]A07!B48+[6]A30!R49+[6]A30!S49+[6]A30!T49+[6]A30!U49+[6]A30!V49+[6]A30!W49+[6]A30!X49+[6]A30!Y49+[6]A32!B71</f>
        <v>0</v>
      </c>
      <c r="J38" s="4" t="str">
        <f t="shared" si="9"/>
        <v/>
      </c>
      <c r="K38" s="106">
        <f>[7]A07!X48+[7]A07!AB48+[7]A30!B49+[7]A30!C49+[7]A30!D49+[7]A30!E49+[7]A30!F49+[7]A30!G49+[7]A30!H49+[7]A30!I49+[7]A32!Z71+[7]A32!AE71</f>
        <v>0</v>
      </c>
      <c r="L38" s="106">
        <f>[7]A07!B48+[7]A30!R49+[7]A30!S49+[7]A30!T49+[7]A30!U49+[7]A30!V49+[7]A30!W49+[7]A30!X49+[7]A30!Y49+[7]A32!B71</f>
        <v>0</v>
      </c>
      <c r="M38" s="4" t="str">
        <f t="shared" si="10"/>
        <v/>
      </c>
      <c r="N38" s="106">
        <f>[8]A07!X48+[8]A07!AB48+[8]A30!B49+[8]A30!C49+[8]A30!D49+[8]A30!E49+[8]A30!F49+[8]A30!G49+[8]A30!H49+[8]A30!I49+[8]A32!Z71+[8]A32!AE71</f>
        <v>0</v>
      </c>
      <c r="O38" s="106">
        <f>[8]A07!B48+[8]A30!R49+[8]A30!S49+[8]A30!T49+[8]A30!U49+[8]A30!V49+[8]A30!W49+[8]A30!X49+[8]A30!Y49+[8]A32!B71</f>
        <v>0</v>
      </c>
      <c r="P38" s="150" t="e">
        <f t="shared" si="0"/>
        <v>#DIV/0!</v>
      </c>
      <c r="Q38" s="6">
        <f>[15]A07!X48+[15]A07!AB48+[15]A30!B49+[15]A30!C49+[15]A30!D49+[15]A30!E49+[15]A30!F49+[15]A30!G49+[15]A30!H49+[15]A30!I49+[15]A32!Z71+[15]A32!AE71</f>
        <v>0</v>
      </c>
      <c r="R38" s="6">
        <f>[15]A07!B48+[15]A30!R49+[15]A30!S49+[15]A30!T49+[15]A30!U49+[15]A30!V49+[15]A30!W49+[15]A30!X49+[15]A30!Y49+[15]A32!B71</f>
        <v>0</v>
      </c>
      <c r="S38" s="150" t="e">
        <f t="shared" si="1"/>
        <v>#DIV/0!</v>
      </c>
      <c r="T38" s="6">
        <f>[10]A07!X48+[10]A07!AB48+[10]A30!B49+[10]A30!C49+[10]A30!D49+[10]A30!E49+[10]A30!F49+[10]A30!G49+[10]A30!H49+[10]A30!I49+[10]A32!Z71+[10]A32!AE71</f>
        <v>0</v>
      </c>
      <c r="U38" s="6">
        <f>[10]A07!B48+[10]A30!R49+[10]A30!S49+[10]A30!T49+[10]A30!U49+[10]A30!V49+[10]A30!W49+[10]A30!X49+[10]A30!Y49+[10]A32!B71</f>
        <v>0</v>
      </c>
      <c r="V38" s="150" t="e">
        <f t="shared" si="2"/>
        <v>#DIV/0!</v>
      </c>
      <c r="W38" s="6">
        <f>[11]A07!X48+[11]A07!AB48+[11]A30!B49+[11]A30!C49+[11]A30!D49+[11]A30!E49+[11]A30!F49+[11]A30!G49+[11]A30!H49+[11]A30!I49+[11]A32!Z71+[11]A32!AE71</f>
        <v>0</v>
      </c>
      <c r="X38" s="6">
        <f>[11]A07!B48+[11]A30!R49+[11]A30!S49+[11]A30!T49+[11]A30!U49+[11]A30!V49+[11]A30!W49+[11]A30!X49+[11]A30!Y49+[11]A32!B71</f>
        <v>0</v>
      </c>
      <c r="Y38" s="150" t="e">
        <f t="shared" si="3"/>
        <v>#DIV/0!</v>
      </c>
      <c r="Z38" s="6">
        <f>[12]A07!X48+[12]A07!AB48+[12]A30!B49+[12]A30!C49+[12]A30!D49+[12]A30!E49+[12]A30!F49+[12]A30!G49+[12]A30!H49+[12]A30!I49+[12]A32!Z71+[12]A32!AE71</f>
        <v>0</v>
      </c>
      <c r="AA38" s="6">
        <f>[12]A07!B48+[12]A30!R49+[12]A30!S49+[12]A30!T49+[12]A30!U49+[12]A30!V49+[12]A30!W49+[12]A30!X49+[12]A30!Y49+[12]A32!B71</f>
        <v>0</v>
      </c>
      <c r="AB38" s="150" t="e">
        <f t="shared" si="4"/>
        <v>#DIV/0!</v>
      </c>
      <c r="AC38" s="6">
        <f>[13]A07!X48+[13]A07!AB48+[13]A30!B49+[13]A30!C49+[13]A30!D49+[13]A30!E49+[13]A30!F49+[13]A30!G49+[13]A30!H49+[13]A30!I49+[13]A32!Z71+[13]A32!AE71</f>
        <v>0</v>
      </c>
      <c r="AD38" s="6">
        <f>[13]A07!B48+[13]A30!R49+[13]A30!S49+[13]A30!T49+[13]A30!U49+[13]A30!V49+[13]A30!W49+[13]A30!X49+[13]A30!Y49+[13]A32!B71</f>
        <v>0</v>
      </c>
      <c r="AE38" s="150" t="e">
        <f t="shared" si="5"/>
        <v>#DIV/0!</v>
      </c>
      <c r="AF38" s="6">
        <f>[14]A07!X48+[14]A07!AB48+[14]A30!B49+[14]A30!C49+[14]A30!D49+[14]A30!E49+[14]A30!F49+[14]A30!G49+[14]A30!H49+[14]A30!I49+[14]A32!Z71+[14]A32!AE71</f>
        <v>0</v>
      </c>
      <c r="AG38" s="6">
        <f>[14]A07!B48+[14]A30!R49+[14]A30!S49+[14]A30!T49+[14]A30!U49+[14]A30!V49+[14]A30!W49+[14]A30!X49+[14]A30!Y49+[14]A32!B71</f>
        <v>0</v>
      </c>
      <c r="AH38" s="150" t="e">
        <f t="shared" si="6"/>
        <v>#DIV/0!</v>
      </c>
      <c r="AI38" s="6"/>
      <c r="AJ38" s="6"/>
      <c r="AK38" s="4" t="e">
        <f t="shared" si="11"/>
        <v>#DIV/0!</v>
      </c>
      <c r="AL38" s="94">
        <f t="shared" si="16"/>
        <v>0</v>
      </c>
      <c r="AM38" s="94">
        <f t="shared" si="13"/>
        <v>0</v>
      </c>
      <c r="AN38" s="4" t="str">
        <f t="shared" si="14"/>
        <v/>
      </c>
      <c r="AO38" s="1"/>
      <c r="AT38" s="1"/>
    </row>
    <row r="39" spans="1:46" x14ac:dyDescent="0.15">
      <c r="A39" s="77" t="s">
        <v>124</v>
      </c>
      <c r="B39" s="106">
        <f>[4]A07!X49+[4]A07!AB49+[4]A30!B50+[4]A30!C50+[4]A30!D50+[4]A30!E50+[4]A30!F50+[4]A30!G50+[4]A30!H50+[4]A30!I50+[4]A32!Z72+[4]A32!AE72</f>
        <v>10</v>
      </c>
      <c r="C39" s="106">
        <f>[4]A07!B49+[4]A30!R50+[4]A30!S50+[4]A30!T50+[4]A30!U50+[4]A30!V50+[4]A30!W50+[4]A30!X50+[4]A30!Y50+[4]A32!B72</f>
        <v>28</v>
      </c>
      <c r="D39" s="4">
        <f t="shared" si="7"/>
        <v>0.35714285714285715</v>
      </c>
      <c r="E39" s="106">
        <f>[5]A07!X49+[5]A07!AB49+[5]A30!B50+[5]A30!C50+[5]A30!D50+[5]A30!E50+[5]A30!F50+[5]A30!G50+[5]A30!H50+[5]A30!I50+[5]A32!Z72+[5]A32!AE72</f>
        <v>7</v>
      </c>
      <c r="F39" s="106">
        <f>[5]A07!B49+[5]A30!R50+[5]A30!S50+[5]A30!T50+[5]A30!U50+[5]A30!V50+[5]A30!W50+[5]A30!X50+[5]A30!Y50+[5]A32!B72</f>
        <v>17</v>
      </c>
      <c r="G39" s="4">
        <f t="shared" si="8"/>
        <v>0.41176470588235292</v>
      </c>
      <c r="H39" s="106">
        <f>[6]A07!X49+[6]A07!AB49+[6]A30!B50+[6]A30!C50+[6]A30!D50+[6]A30!E50+[6]A30!F50+[6]A30!G50+[6]A30!H50+[6]A30!I50+[6]A32!Z72+[6]A32!AE72</f>
        <v>7</v>
      </c>
      <c r="I39" s="106">
        <f>[6]A07!B49+[6]A30!R50+[6]A30!S50+[6]A30!T50+[6]A30!U50+[6]A30!V50+[6]A30!W50+[6]A30!X50+[6]A30!Y50+[6]A32!B72</f>
        <v>44</v>
      </c>
      <c r="J39" s="4">
        <f t="shared" si="9"/>
        <v>0.15909090909090909</v>
      </c>
      <c r="K39" s="106">
        <f>[7]A07!X49+[7]A07!AB49+[7]A30!B50+[7]A30!C50+[7]A30!D50+[7]A30!E50+[7]A30!F50+[7]A30!G50+[7]A30!H50+[7]A30!I50+[7]A32!Z72+[7]A32!AE72</f>
        <v>13</v>
      </c>
      <c r="L39" s="106">
        <f>[7]A07!B49+[7]A30!R50+[7]A30!S50+[7]A30!T50+[7]A30!U50+[7]A30!V50+[7]A30!W50+[7]A30!X50+[7]A30!Y50+[7]A32!B72</f>
        <v>32</v>
      </c>
      <c r="M39" s="4">
        <f t="shared" si="10"/>
        <v>0.40625</v>
      </c>
      <c r="N39" s="106">
        <f>[8]A07!X49+[8]A07!AB49+[8]A30!B50+[8]A30!C50+[8]A30!D50+[8]A30!E50+[8]A30!F50+[8]A30!G50+[8]A30!H50+[8]A30!I50+[8]A32!Z72+[8]A32!AE72</f>
        <v>10</v>
      </c>
      <c r="O39" s="106">
        <f>[8]A07!B49+[8]A30!R50+[8]A30!S50+[8]A30!T50+[8]A30!U50+[8]A30!V50+[8]A30!W50+[8]A30!X50+[8]A30!Y50+[8]A32!B72</f>
        <v>39</v>
      </c>
      <c r="P39" s="150">
        <f t="shared" si="0"/>
        <v>0.25641025641025639</v>
      </c>
      <c r="Q39" s="6">
        <f>[15]A07!X49+[15]A07!AB49+[15]A30!B50+[15]A30!C50+[15]A30!D50+[15]A30!E50+[15]A30!F50+[15]A30!G50+[15]A30!H50+[15]A30!I50+[15]A32!Z72+[15]A32!AE72</f>
        <v>2</v>
      </c>
      <c r="R39" s="6">
        <f>[15]A07!B49+[15]A30!R50+[15]A30!S50+[15]A30!T50+[15]A30!U50+[15]A30!V50+[15]A30!W50+[15]A30!X50+[15]A30!Y50+[15]A32!B72</f>
        <v>40</v>
      </c>
      <c r="S39" s="150">
        <f t="shared" si="1"/>
        <v>0.05</v>
      </c>
      <c r="T39" s="6">
        <f>[10]A07!X49+[10]A07!AB49+[10]A30!B50+[10]A30!C50+[10]A30!D50+[10]A30!E50+[10]A30!F50+[10]A30!G50+[10]A30!H50+[10]A30!I50+[10]A32!Z72+[10]A32!AE72</f>
        <v>20</v>
      </c>
      <c r="U39" s="6">
        <f>[10]A07!B49+[10]A30!R50+[10]A30!S50+[10]A30!T50+[10]A30!U50+[10]A30!V50+[10]A30!W50+[10]A30!X50+[10]A30!Y50+[10]A32!B72</f>
        <v>66</v>
      </c>
      <c r="V39" s="150">
        <f t="shared" si="2"/>
        <v>0.30303030303030304</v>
      </c>
      <c r="W39" s="6">
        <f>[11]A07!X49+[11]A07!AB49+[11]A30!B50+[11]A30!C50+[11]A30!D50+[11]A30!E50+[11]A30!F50+[11]A30!G50+[11]A30!H50+[11]A30!I50+[11]A32!Z72+[11]A32!AE72</f>
        <v>29</v>
      </c>
      <c r="X39" s="6">
        <f>[11]A07!B49+[11]A30!R50+[11]A30!S50+[11]A30!T50+[11]A30!U50+[11]A30!V50+[11]A30!W50+[11]A30!X50+[11]A30!Y50+[11]A32!B72</f>
        <v>68</v>
      </c>
      <c r="Y39" s="150">
        <f t="shared" si="3"/>
        <v>0.4264705882352941</v>
      </c>
      <c r="Z39" s="6">
        <f>[12]A07!X49+[12]A07!AB49+[12]A30!B50+[12]A30!C50+[12]A30!D50+[12]A30!E50+[12]A30!F50+[12]A30!G50+[12]A30!H50+[12]A30!I50+[12]A32!Z72+[12]A32!AE72</f>
        <v>7</v>
      </c>
      <c r="AA39" s="6">
        <f>[12]A07!B49+[12]A30!R50+[12]A30!S50+[12]A30!T50+[12]A30!U50+[12]A30!V50+[12]A30!W50+[12]A30!X50+[12]A30!Y50+[12]A32!B72</f>
        <v>62</v>
      </c>
      <c r="AB39" s="150">
        <f t="shared" si="4"/>
        <v>0.11290322580645161</v>
      </c>
      <c r="AC39" s="6">
        <f>[13]A07!X49+[13]A07!AB49+[13]A30!B50+[13]A30!C50+[13]A30!D50+[13]A30!E50+[13]A30!F50+[13]A30!G50+[13]A30!H50+[13]A30!I50+[13]A32!Z72+[13]A32!AE72</f>
        <v>22</v>
      </c>
      <c r="AD39" s="6">
        <f>[13]A07!B49+[13]A30!R50+[13]A30!S50+[13]A30!T50+[13]A30!U50+[13]A30!V50+[13]A30!W50+[13]A30!X50+[13]A30!Y50+[13]A32!B72</f>
        <v>64</v>
      </c>
      <c r="AE39" s="150">
        <f t="shared" si="5"/>
        <v>0.34375</v>
      </c>
      <c r="AF39" s="6">
        <f>[14]A07!X49+[14]A07!AB49+[14]A30!B50+[14]A30!C50+[14]A30!D50+[14]A30!E50+[14]A30!F50+[14]A30!G50+[14]A30!H50+[14]A30!I50+[14]A32!Z72+[14]A32!AE72</f>
        <v>6</v>
      </c>
      <c r="AG39" s="6">
        <f>[14]A07!B49+[14]A30!R50+[14]A30!S50+[14]A30!T50+[14]A30!U50+[14]A30!V50+[14]A30!W50+[14]A30!X50+[14]A30!Y50+[14]A32!B72</f>
        <v>37</v>
      </c>
      <c r="AH39" s="150">
        <f t="shared" si="6"/>
        <v>0.16216216216216217</v>
      </c>
      <c r="AI39" s="6"/>
      <c r="AJ39" s="6"/>
      <c r="AK39" s="4" t="e">
        <f t="shared" si="11"/>
        <v>#DIV/0!</v>
      </c>
      <c r="AL39" s="94">
        <f t="shared" si="16"/>
        <v>47</v>
      </c>
      <c r="AM39" s="94">
        <f t="shared" si="13"/>
        <v>160</v>
      </c>
      <c r="AN39" s="4">
        <f t="shared" si="14"/>
        <v>0.29375000000000001</v>
      </c>
      <c r="AO39" s="109" t="str">
        <f>IF(AN39&gt;45%,"1","0")</f>
        <v>0</v>
      </c>
      <c r="AP39" s="1"/>
      <c r="AQ39" s="1"/>
      <c r="AT39" s="151" t="s">
        <v>176</v>
      </c>
    </row>
    <row r="40" spans="1:46" x14ac:dyDescent="0.15">
      <c r="A40" s="77" t="s">
        <v>125</v>
      </c>
      <c r="B40" s="106">
        <f>[4]A07!X50+[4]A07!AB50+[4]A30!B51+[4]A30!C51+[4]A30!D51+[4]A30!E51+[4]A30!F51+[4]A30!G51+[4]A30!H51+[4]A30!I51+[4]A32!Z73+[4]A32!AE73</f>
        <v>0</v>
      </c>
      <c r="C40" s="106">
        <f>[4]A07!B50+[4]A30!R51+[4]A30!S51+[4]A30!T51+[4]A30!U51+[4]A30!V51+[4]A30!W51+[4]A30!X51+[4]A30!Y51+[4]A32!B73</f>
        <v>0</v>
      </c>
      <c r="D40" s="4" t="str">
        <f t="shared" si="7"/>
        <v/>
      </c>
      <c r="E40" s="106">
        <f>[5]A07!X50+[5]A07!AB50+[5]A30!B51+[5]A30!C51+[5]A30!D51+[5]A30!E51+[5]A30!F51+[5]A30!G51+[5]A30!H51+[5]A30!I51+[5]A32!Z73+[5]A32!AE73</f>
        <v>0</v>
      </c>
      <c r="F40" s="106">
        <f>[5]A07!B50+[5]A30!R51+[5]A30!S51+[5]A30!T51+[5]A30!U51+[5]A30!V51+[5]A30!W51+[5]A30!X51+[5]A30!Y51+[5]A32!B73</f>
        <v>0</v>
      </c>
      <c r="G40" s="4" t="str">
        <f t="shared" si="8"/>
        <v/>
      </c>
      <c r="H40" s="106">
        <f>[6]A07!X50+[6]A07!AB50+[6]A30!B51+[6]A30!C51+[6]A30!D51+[6]A30!E51+[6]A30!F51+[6]A30!G51+[6]A30!H51+[6]A30!I51+[6]A32!Z73+[6]A32!AE73</f>
        <v>0</v>
      </c>
      <c r="I40" s="106">
        <f>[6]A07!B50+[6]A30!R51+[6]A30!S51+[6]A30!T51+[6]A30!U51+[6]A30!V51+[6]A30!W51+[6]A30!X51+[6]A30!Y51+[6]A32!B73</f>
        <v>0</v>
      </c>
      <c r="J40" s="4" t="str">
        <f t="shared" si="9"/>
        <v/>
      </c>
      <c r="K40" s="106">
        <f>[7]A07!X50+[7]A07!AB50+[7]A30!B51+[7]A30!C51+[7]A30!D51+[7]A30!E51+[7]A30!F51+[7]A30!G51+[7]A30!H51+[7]A30!I51+[7]A32!Z73+[7]A32!AE73</f>
        <v>0</v>
      </c>
      <c r="L40" s="106">
        <f>[7]A07!B50+[7]A30!R51+[7]A30!S51+[7]A30!T51+[7]A30!U51+[7]A30!V51+[7]A30!W51+[7]A30!X51+[7]A30!Y51+[7]A32!B73</f>
        <v>0</v>
      </c>
      <c r="M40" s="4" t="str">
        <f t="shared" si="10"/>
        <v/>
      </c>
      <c r="N40" s="106">
        <f>[8]A07!X50+[8]A07!AB50+[8]A30!B51+[8]A30!C51+[8]A30!D51+[8]A30!E51+[8]A30!F51+[8]A30!G51+[8]A30!H51+[8]A30!I51+[8]A32!Z73+[8]A32!AE73</f>
        <v>0</v>
      </c>
      <c r="O40" s="106">
        <f>[8]A07!B50+[8]A30!R51+[8]A30!S51+[8]A30!T51+[8]A30!U51+[8]A30!V51+[8]A30!W51+[8]A30!X51+[8]A30!Y51+[8]A32!B73</f>
        <v>0</v>
      </c>
      <c r="P40" s="150" t="e">
        <f t="shared" si="0"/>
        <v>#DIV/0!</v>
      </c>
      <c r="Q40" s="6">
        <f>[15]A07!X50+[15]A07!AB50+[15]A30!B51+[15]A30!C51+[15]A30!D51+[15]A30!E51+[15]A30!F51+[15]A30!G51+[15]A30!H51+[15]A30!I51+[15]A32!Z73+[15]A32!AE73</f>
        <v>0</v>
      </c>
      <c r="R40" s="6">
        <f>[15]A07!B50+[15]A30!R51+[15]A30!S51+[15]A30!T51+[15]A30!U51+[15]A30!V51+[15]A30!W51+[15]A30!X51+[15]A30!Y51+[15]A32!B73</f>
        <v>0</v>
      </c>
      <c r="S40" s="150" t="e">
        <f t="shared" si="1"/>
        <v>#DIV/0!</v>
      </c>
      <c r="T40" s="6">
        <f>[10]A07!X50+[10]A07!AB50+[10]A30!B51+[10]A30!C51+[10]A30!D51+[10]A30!E51+[10]A30!F51+[10]A30!G51+[10]A30!H51+[10]A30!I51+[10]A32!Z73+[10]A32!AE73</f>
        <v>0</v>
      </c>
      <c r="U40" s="6">
        <f>[10]A07!B50+[10]A30!R51+[10]A30!S51+[10]A30!T51+[10]A30!U51+[10]A30!V51+[10]A30!W51+[10]A30!X51+[10]A30!Y51+[10]A32!B73</f>
        <v>0</v>
      </c>
      <c r="V40" s="150" t="e">
        <f t="shared" si="2"/>
        <v>#DIV/0!</v>
      </c>
      <c r="W40" s="6">
        <f>[11]A07!X50+[11]A07!AB50+[11]A30!B51+[11]A30!C51+[11]A30!D51+[11]A30!E51+[11]A30!F51+[11]A30!G51+[11]A30!H51+[11]A30!I51+[11]A32!Z73+[11]A32!AE73</f>
        <v>0</v>
      </c>
      <c r="X40" s="6">
        <f>[11]A07!B50+[11]A30!R51+[11]A30!S51+[11]A30!T51+[11]A30!U51+[11]A30!V51+[11]A30!W51+[11]A30!X51+[11]A30!Y51+[11]A32!B73</f>
        <v>0</v>
      </c>
      <c r="Y40" s="150" t="e">
        <f t="shared" si="3"/>
        <v>#DIV/0!</v>
      </c>
      <c r="Z40" s="6">
        <f>[12]A07!X50+[12]A07!AB50+[12]A30!B51+[12]A30!C51+[12]A30!D51+[12]A30!E51+[12]A30!F51+[12]A30!G51+[12]A30!H51+[12]A30!I51+[12]A32!Z73+[12]A32!AE73</f>
        <v>0</v>
      </c>
      <c r="AA40" s="6">
        <f>[12]A07!B50+[12]A30!R51+[12]A30!S51+[12]A30!T51+[12]A30!U51+[12]A30!V51+[12]A30!W51+[12]A30!X51+[12]A30!Y51+[12]A32!B73</f>
        <v>0</v>
      </c>
      <c r="AB40" s="150" t="e">
        <f t="shared" si="4"/>
        <v>#DIV/0!</v>
      </c>
      <c r="AC40" s="6">
        <f>[13]A07!X50+[13]A07!AB50+[13]A30!B51+[13]A30!C51+[13]A30!D51+[13]A30!E51+[13]A30!F51+[13]A30!G51+[13]A30!H51+[13]A30!I51+[13]A32!Z73+[13]A32!AE73</f>
        <v>0</v>
      </c>
      <c r="AD40" s="6">
        <f>[13]A07!B50+[13]A30!R51+[13]A30!S51+[13]A30!T51+[13]A30!U51+[13]A30!V51+[13]A30!W51+[13]A30!X51+[13]A30!Y51+[13]A32!B73</f>
        <v>0</v>
      </c>
      <c r="AE40" s="150" t="e">
        <f t="shared" si="5"/>
        <v>#DIV/0!</v>
      </c>
      <c r="AF40" s="6">
        <f>[14]A07!X50+[14]A07!AB50+[14]A30!B51+[14]A30!C51+[14]A30!D51+[14]A30!E51+[14]A30!F51+[14]A30!G51+[14]A30!H51+[14]A30!I51+[14]A32!Z73+[14]A32!AE73</f>
        <v>0</v>
      </c>
      <c r="AG40" s="6">
        <f>[14]A07!B50+[14]A30!R51+[14]A30!S51+[14]A30!T51+[14]A30!U51+[14]A30!V51+[14]A30!W51+[14]A30!X51+[14]A30!Y51+[14]A32!B73</f>
        <v>0</v>
      </c>
      <c r="AH40" s="150" t="e">
        <f t="shared" si="6"/>
        <v>#DIV/0!</v>
      </c>
      <c r="AI40" s="6"/>
      <c r="AJ40" s="6"/>
      <c r="AK40" s="4" t="e">
        <f t="shared" si="11"/>
        <v>#DIV/0!</v>
      </c>
      <c r="AL40" s="94">
        <f t="shared" si="16"/>
        <v>0</v>
      </c>
      <c r="AM40" s="94">
        <f t="shared" si="13"/>
        <v>0</v>
      </c>
      <c r="AN40" s="4" t="str">
        <f t="shared" si="14"/>
        <v/>
      </c>
      <c r="AO40" s="1"/>
      <c r="AT40" s="1"/>
    </row>
    <row r="41" spans="1:46" x14ac:dyDescent="0.15">
      <c r="A41" s="77" t="s">
        <v>126</v>
      </c>
      <c r="B41" s="106">
        <f>[4]A07!X51+[4]A07!AB51+[4]A30!B52+[4]A30!C52+[4]A30!D52+[4]A30!E52+[4]A30!F52+[4]A30!G52+[4]A30!H52+[4]A30!I52+[4]A32!Z74+[4]A32!AE74</f>
        <v>0</v>
      </c>
      <c r="C41" s="106">
        <f>[4]A07!B51+[4]A30!R52+[4]A30!S52+[4]A30!T52+[4]A30!U52+[4]A30!V52+[4]A30!W52+[4]A30!X52+[4]A30!Y52+[4]A32!B74</f>
        <v>0</v>
      </c>
      <c r="D41" s="4" t="str">
        <f t="shared" si="7"/>
        <v/>
      </c>
      <c r="E41" s="106">
        <f>[5]A07!X51+[5]A07!AB51+[5]A30!B52+[5]A30!C52+[5]A30!D52+[5]A30!E52+[5]A30!F52+[5]A30!G52+[5]A30!H52+[5]A30!I52+[5]A32!Z74+[5]A32!AE74</f>
        <v>0</v>
      </c>
      <c r="F41" s="106">
        <f>[5]A07!B51+[5]A30!R52+[5]A30!S52+[5]A30!T52+[5]A30!U52+[5]A30!V52+[5]A30!W52+[5]A30!X52+[5]A30!Y52+[5]A32!B74</f>
        <v>0</v>
      </c>
      <c r="G41" s="4" t="str">
        <f t="shared" si="8"/>
        <v/>
      </c>
      <c r="H41" s="106">
        <f>[6]A07!X51+[6]A07!AB51+[6]A30!B52+[6]A30!C52+[6]A30!D52+[6]A30!E52+[6]A30!F52+[6]A30!G52+[6]A30!H52+[6]A30!I52+[6]A32!Z74+[6]A32!AE74</f>
        <v>0</v>
      </c>
      <c r="I41" s="106">
        <f>[6]A07!B51+[6]A30!R52+[6]A30!S52+[6]A30!T52+[6]A30!U52+[6]A30!V52+[6]A30!W52+[6]A30!X52+[6]A30!Y52+[6]A32!B74</f>
        <v>0</v>
      </c>
      <c r="J41" s="4" t="str">
        <f t="shared" si="9"/>
        <v/>
      </c>
      <c r="K41" s="106">
        <f>[7]A07!X51+[7]A07!AB51+[7]A30!B52+[7]A30!C52+[7]A30!D52+[7]A30!E52+[7]A30!F52+[7]A30!G52+[7]A30!H52+[7]A30!I52+[7]A32!Z74+[7]A32!AE74</f>
        <v>0</v>
      </c>
      <c r="L41" s="106">
        <f>[7]A07!B51+[7]A30!R52+[7]A30!S52+[7]A30!T52+[7]A30!U52+[7]A30!V52+[7]A30!W52+[7]A30!X52+[7]A30!Y52+[7]A32!B74</f>
        <v>0</v>
      </c>
      <c r="M41" s="4" t="str">
        <f t="shared" si="10"/>
        <v/>
      </c>
      <c r="N41" s="106">
        <f>[8]A07!X51+[8]A07!AB51+[8]A30!B52+[8]A30!C52+[8]A30!D52+[8]A30!E52+[8]A30!F52+[8]A30!G52+[8]A30!H52+[8]A30!I52+[8]A32!Z74+[8]A32!AE74</f>
        <v>0</v>
      </c>
      <c r="O41" s="106">
        <f>[8]A07!B51+[8]A30!R52+[8]A30!S52+[8]A30!T52+[8]A30!U52+[8]A30!V52+[8]A30!W52+[8]A30!X52+[8]A30!Y52+[8]A32!B74</f>
        <v>0</v>
      </c>
      <c r="P41" s="150" t="e">
        <f t="shared" si="0"/>
        <v>#DIV/0!</v>
      </c>
      <c r="Q41" s="6">
        <f>[15]A07!X51+[15]A07!AB51+[15]A30!B52+[15]A30!C52+[15]A30!D52+[15]A30!E52+[15]A30!F52+[15]A30!G52+[15]A30!H52+[15]A30!I52+[15]A32!Z74+[15]A32!AE74</f>
        <v>0</v>
      </c>
      <c r="R41" s="6">
        <f>[15]A07!B51+[15]A30!R52+[15]A30!S52+[15]A30!T52+[15]A30!U52+[15]A30!V52+[15]A30!W52+[15]A30!X52+[15]A30!Y52+[15]A32!B74</f>
        <v>0</v>
      </c>
      <c r="S41" s="150" t="e">
        <f t="shared" si="1"/>
        <v>#DIV/0!</v>
      </c>
      <c r="T41" s="6">
        <f>[10]A07!X51+[10]A07!AB51+[10]A30!B52+[10]A30!C52+[10]A30!D52+[10]A30!E52+[10]A30!F52+[10]A30!G52+[10]A30!H52+[10]A30!I52+[10]A32!Z74+[10]A32!AE74</f>
        <v>0</v>
      </c>
      <c r="U41" s="6">
        <f>[10]A07!B51+[10]A30!R52+[10]A30!S52+[10]A30!T52+[10]A30!U52+[10]A30!V52+[10]A30!W52+[10]A30!X52+[10]A30!Y52+[10]A32!B74</f>
        <v>0</v>
      </c>
      <c r="V41" s="150" t="e">
        <f t="shared" si="2"/>
        <v>#DIV/0!</v>
      </c>
      <c r="W41" s="6">
        <f>[11]A07!X51+[11]A07!AB51+[11]A30!B52+[11]A30!C52+[11]A30!D52+[11]A30!E52+[11]A30!F52+[11]A30!G52+[11]A30!H52+[11]A30!I52+[11]A32!Z74+[11]A32!AE74</f>
        <v>0</v>
      </c>
      <c r="X41" s="6">
        <f>[11]A07!B51+[11]A30!R52+[11]A30!S52+[11]A30!T52+[11]A30!U52+[11]A30!V52+[11]A30!W52+[11]A30!X52+[11]A30!Y52+[11]A32!B74</f>
        <v>0</v>
      </c>
      <c r="Y41" s="150" t="e">
        <f t="shared" si="3"/>
        <v>#DIV/0!</v>
      </c>
      <c r="Z41" s="6">
        <f>[12]A07!X51+[12]A07!AB51+[12]A30!B52+[12]A30!C52+[12]A30!D52+[12]A30!E52+[12]A30!F52+[12]A30!G52+[12]A30!H52+[12]A30!I52+[12]A32!Z74+[12]A32!AE74</f>
        <v>0</v>
      </c>
      <c r="AA41" s="6">
        <f>[12]A07!B51+[12]A30!R52+[12]A30!S52+[12]A30!T52+[12]A30!U52+[12]A30!V52+[12]A30!W52+[12]A30!X52+[12]A30!Y52+[12]A32!B74</f>
        <v>0</v>
      </c>
      <c r="AB41" s="150" t="e">
        <f t="shared" si="4"/>
        <v>#DIV/0!</v>
      </c>
      <c r="AC41" s="6">
        <f>[13]A07!X51+[13]A07!AB51+[13]A30!B52+[13]A30!C52+[13]A30!D52+[13]A30!E52+[13]A30!F52+[13]A30!G52+[13]A30!H52+[13]A30!I52+[13]A32!Z74+[13]A32!AE74</f>
        <v>0</v>
      </c>
      <c r="AD41" s="6">
        <f>[13]A07!B51+[13]A30!R52+[13]A30!S52+[13]A30!T52+[13]A30!U52+[13]A30!V52+[13]A30!W52+[13]A30!X52+[13]A30!Y52+[13]A32!B74</f>
        <v>0</v>
      </c>
      <c r="AE41" s="150" t="e">
        <f t="shared" si="5"/>
        <v>#DIV/0!</v>
      </c>
      <c r="AF41" s="6">
        <f>[14]A07!X51+[14]A07!AB51+[14]A30!B52+[14]A30!C52+[14]A30!D52+[14]A30!E52+[14]A30!F52+[14]A30!G52+[14]A30!H52+[14]A30!I52+[14]A32!Z74+[14]A32!AE74</f>
        <v>0</v>
      </c>
      <c r="AG41" s="6">
        <f>[14]A07!B51+[14]A30!R52+[14]A30!S52+[14]A30!T52+[14]A30!U52+[14]A30!V52+[14]A30!W52+[14]A30!X52+[14]A30!Y52+[14]A32!B74</f>
        <v>0</v>
      </c>
      <c r="AH41" s="150" t="e">
        <f t="shared" si="6"/>
        <v>#DIV/0!</v>
      </c>
      <c r="AI41" s="6"/>
      <c r="AJ41" s="6"/>
      <c r="AK41" s="4" t="e">
        <f t="shared" si="11"/>
        <v>#DIV/0!</v>
      </c>
      <c r="AL41" s="94">
        <f t="shared" si="16"/>
        <v>0</v>
      </c>
      <c r="AM41" s="94">
        <f t="shared" si="13"/>
        <v>0</v>
      </c>
      <c r="AN41" s="4" t="str">
        <f t="shared" si="14"/>
        <v/>
      </c>
      <c r="AO41" s="1"/>
      <c r="AT41" s="1"/>
    </row>
    <row r="42" spans="1:46" x14ac:dyDescent="0.15">
      <c r="A42" s="77" t="s">
        <v>127</v>
      </c>
      <c r="B42" s="106">
        <f>[4]A07!X52+[4]A07!AB52+[4]A30!B53+[4]A30!C53+[4]A30!D53+[4]A30!E53+[4]A30!F53+[4]A30!G53+[4]A30!H53+[4]A30!I53+[4]A32!Z75+[4]A32!AE75</f>
        <v>0</v>
      </c>
      <c r="C42" s="106">
        <f>[4]A07!B52+[4]A30!R53+[4]A30!S53+[4]A30!T53+[4]A30!U53+[4]A30!V53+[4]A30!W53+[4]A30!X53+[4]A30!Y53+[4]A32!B75</f>
        <v>0</v>
      </c>
      <c r="D42" s="4" t="str">
        <f t="shared" si="7"/>
        <v/>
      </c>
      <c r="E42" s="106">
        <f>[5]A07!X52+[5]A07!AB52+[5]A30!B53+[5]A30!C53+[5]A30!D53+[5]A30!E53+[5]A30!F53+[5]A30!G53+[5]A30!H53+[5]A30!I53+[5]A32!Z75+[5]A32!AE75</f>
        <v>0</v>
      </c>
      <c r="F42" s="106">
        <f>[5]A07!B52+[5]A30!R53+[5]A30!S53+[5]A30!T53+[5]A30!U53+[5]A30!V53+[5]A30!W53+[5]A30!X53+[5]A30!Y53+[5]A32!B75</f>
        <v>0</v>
      </c>
      <c r="G42" s="4" t="str">
        <f t="shared" si="8"/>
        <v/>
      </c>
      <c r="H42" s="106">
        <f>[6]A07!X52+[6]A07!AB52+[6]A30!B53+[6]A30!C53+[6]A30!D53+[6]A30!E53+[6]A30!F53+[6]A30!G53+[6]A30!H53+[6]A30!I53+[6]A32!Z75+[6]A32!AE75</f>
        <v>0</v>
      </c>
      <c r="I42" s="106">
        <f>[6]A07!B52+[6]A30!R53+[6]A30!S53+[6]A30!T53+[6]A30!U53+[6]A30!V53+[6]A30!W53+[6]A30!X53+[6]A30!Y53+[6]A32!B75</f>
        <v>0</v>
      </c>
      <c r="J42" s="4" t="str">
        <f t="shared" si="9"/>
        <v/>
      </c>
      <c r="K42" s="106">
        <f>[7]A07!X52+[7]A07!AB52+[7]A30!B53+[7]A30!C53+[7]A30!D53+[7]A30!E53+[7]A30!F53+[7]A30!G53+[7]A30!H53+[7]A30!I53+[7]A32!Z75+[7]A32!AE75</f>
        <v>0</v>
      </c>
      <c r="L42" s="106">
        <f>[7]A07!B52+[7]A30!R53+[7]A30!S53+[7]A30!T53+[7]A30!U53+[7]A30!V53+[7]A30!W53+[7]A30!X53+[7]A30!Y53+[7]A32!B75</f>
        <v>0</v>
      </c>
      <c r="M42" s="4" t="str">
        <f t="shared" si="10"/>
        <v/>
      </c>
      <c r="N42" s="106">
        <f>[8]A07!X52+[8]A07!AB52+[8]A30!B53+[8]A30!C53+[8]A30!D53+[8]A30!E53+[8]A30!F53+[8]A30!G53+[8]A30!H53+[8]A30!I53+[8]A32!Z75+[8]A32!AE75</f>
        <v>0</v>
      </c>
      <c r="O42" s="106">
        <f>[8]A07!B52+[8]A30!R53+[8]A30!S53+[8]A30!T53+[8]A30!U53+[8]A30!V53+[8]A30!W53+[8]A30!X53+[8]A30!Y53+[8]A32!B75</f>
        <v>0</v>
      </c>
      <c r="P42" s="150" t="e">
        <f t="shared" si="0"/>
        <v>#DIV/0!</v>
      </c>
      <c r="Q42" s="6">
        <f>[15]A07!X52+[15]A07!AB52+[15]A30!B53+[15]A30!C53+[15]A30!D53+[15]A30!E53+[15]A30!F53+[15]A30!G53+[15]A30!H53+[15]A30!I53+[15]A32!Z75+[15]A32!AE75</f>
        <v>0</v>
      </c>
      <c r="R42" s="6">
        <f>[15]A07!B52+[15]A30!R53+[15]A30!S53+[15]A30!T53+[15]A30!U53+[15]A30!V53+[15]A30!W53+[15]A30!X53+[15]A30!Y53+[15]A32!B75</f>
        <v>0</v>
      </c>
      <c r="S42" s="150" t="e">
        <f t="shared" si="1"/>
        <v>#DIV/0!</v>
      </c>
      <c r="T42" s="6">
        <f>[10]A07!X52+[10]A07!AB52+[10]A30!B53+[10]A30!C53+[10]A30!D53+[10]A30!E53+[10]A30!F53+[10]A30!G53+[10]A30!H53+[10]A30!I53+[10]A32!Z75+[10]A32!AE75</f>
        <v>0</v>
      </c>
      <c r="U42" s="6">
        <f>[10]A07!B52+[10]A30!R53+[10]A30!S53+[10]A30!T53+[10]A30!U53+[10]A30!V53+[10]A30!W53+[10]A30!X53+[10]A30!Y53+[10]A32!B75</f>
        <v>0</v>
      </c>
      <c r="V42" s="150" t="e">
        <f t="shared" si="2"/>
        <v>#DIV/0!</v>
      </c>
      <c r="W42" s="6">
        <f>[11]A07!X52+[11]A07!AB52+[11]A30!B53+[11]A30!C53+[11]A30!D53+[11]A30!E53+[11]A30!F53+[11]A30!G53+[11]A30!H53+[11]A30!I53+[11]A32!Z75+[11]A32!AE75</f>
        <v>0</v>
      </c>
      <c r="X42" s="6">
        <f>[11]A07!B52+[11]A30!R53+[11]A30!S53+[11]A30!T53+[11]A30!U53+[11]A30!V53+[11]A30!W53+[11]A30!X53+[11]A30!Y53+[11]A32!B75</f>
        <v>0</v>
      </c>
      <c r="Y42" s="150" t="e">
        <f t="shared" si="3"/>
        <v>#DIV/0!</v>
      </c>
      <c r="Z42" s="6">
        <f>[12]A07!X52+[12]A07!AB52+[12]A30!B53+[12]A30!C53+[12]A30!D53+[12]A30!E53+[12]A30!F53+[12]A30!G53+[12]A30!H53+[12]A30!I53+[12]A32!Z75+[12]A32!AE75</f>
        <v>0</v>
      </c>
      <c r="AA42" s="6">
        <f>[12]A07!B52+[12]A30!R53+[12]A30!S53+[12]A30!T53+[12]A30!U53+[12]A30!V53+[12]A30!W53+[12]A30!X53+[12]A30!Y53+[12]A32!B75</f>
        <v>0</v>
      </c>
      <c r="AB42" s="150" t="e">
        <f t="shared" si="4"/>
        <v>#DIV/0!</v>
      </c>
      <c r="AC42" s="6">
        <f>[13]A07!X52+[13]A07!AB52+[13]A30!B53+[13]A30!C53+[13]A30!D53+[13]A30!E53+[13]A30!F53+[13]A30!G53+[13]A30!H53+[13]A30!I53+[13]A32!Z75+[13]A32!AE75</f>
        <v>0</v>
      </c>
      <c r="AD42" s="6">
        <f>[13]A07!B52+[13]A30!R53+[13]A30!S53+[13]A30!T53+[13]A30!U53+[13]A30!V53+[13]A30!W53+[13]A30!X53+[13]A30!Y53+[13]A32!B75</f>
        <v>0</v>
      </c>
      <c r="AE42" s="150" t="e">
        <f t="shared" si="5"/>
        <v>#DIV/0!</v>
      </c>
      <c r="AF42" s="6">
        <f>[14]A07!X52+[14]A07!AB52+[14]A30!B53+[14]A30!C53+[14]A30!D53+[14]A30!E53+[14]A30!F53+[14]A30!G53+[14]A30!H53+[14]A30!I53+[14]A32!Z75+[14]A32!AE75</f>
        <v>0</v>
      </c>
      <c r="AG42" s="6">
        <f>[14]A07!B52+[14]A30!R53+[14]A30!S53+[14]A30!T53+[14]A30!U53+[14]A30!V53+[14]A30!W53+[14]A30!X53+[14]A30!Y53+[14]A32!B75</f>
        <v>0</v>
      </c>
      <c r="AH42" s="150" t="e">
        <f t="shared" si="6"/>
        <v>#DIV/0!</v>
      </c>
      <c r="AI42" s="6"/>
      <c r="AJ42" s="6"/>
      <c r="AK42" s="4" t="e">
        <f t="shared" si="11"/>
        <v>#DIV/0!</v>
      </c>
      <c r="AL42" s="94">
        <f t="shared" si="16"/>
        <v>0</v>
      </c>
      <c r="AM42" s="94">
        <f t="shared" si="13"/>
        <v>0</v>
      </c>
      <c r="AN42" s="4" t="str">
        <f t="shared" si="14"/>
        <v/>
      </c>
      <c r="AO42" s="1"/>
      <c r="AT42" s="1"/>
    </row>
    <row r="43" spans="1:46" x14ac:dyDescent="0.15">
      <c r="A43" s="77" t="s">
        <v>128</v>
      </c>
      <c r="B43" s="106">
        <f>[4]A07!X53+[4]A07!AB53+[4]A30!B54+[4]A30!C54+[4]A30!D54+[4]A30!E54+[4]A30!F54+[4]A30!G54+[4]A30!H54+[4]A30!I54+[4]A32!Z76+[4]A32!AE76</f>
        <v>0</v>
      </c>
      <c r="C43" s="106">
        <f>[4]A07!B53+[4]A30!R54+[4]A30!S54+[4]A30!T54+[4]A30!U54+[4]A30!V54+[4]A30!W54+[4]A30!X54+[4]A30!Y54+[4]A32!B76</f>
        <v>0</v>
      </c>
      <c r="D43" s="4" t="str">
        <f t="shared" si="7"/>
        <v/>
      </c>
      <c r="E43" s="106">
        <f>[5]A07!X53+[5]A07!AB53+[5]A30!B54+[5]A30!C54+[5]A30!D54+[5]A30!E54+[5]A30!F54+[5]A30!G54+[5]A30!H54+[5]A30!I54+[5]A32!Z76+[5]A32!AE76</f>
        <v>0</v>
      </c>
      <c r="F43" s="106">
        <f>[5]A07!B53+[5]A30!R54+[5]A30!S54+[5]A30!T54+[5]A30!U54+[5]A30!V54+[5]A30!W54+[5]A30!X54+[5]A30!Y54+[5]A32!B76</f>
        <v>0</v>
      </c>
      <c r="G43" s="4" t="str">
        <f t="shared" si="8"/>
        <v/>
      </c>
      <c r="H43" s="106">
        <f>[6]A07!X53+[6]A07!AB53+[6]A30!B54+[6]A30!C54+[6]A30!D54+[6]A30!E54+[6]A30!F54+[6]A30!G54+[6]A30!H54+[6]A30!I54+[6]A32!Z76+[6]A32!AE76</f>
        <v>0</v>
      </c>
      <c r="I43" s="106">
        <f>[6]A07!B53+[6]A30!R54+[6]A30!S54+[6]A30!T54+[6]A30!U54+[6]A30!V54+[6]A30!W54+[6]A30!X54+[6]A30!Y54+[6]A32!B76</f>
        <v>0</v>
      </c>
      <c r="J43" s="4" t="str">
        <f t="shared" si="9"/>
        <v/>
      </c>
      <c r="K43" s="106">
        <f>[7]A07!X53+[7]A07!AB53+[7]A30!B54+[7]A30!C54+[7]A30!D54+[7]A30!E54+[7]A30!F54+[7]A30!G54+[7]A30!H54+[7]A30!I54+[7]A32!Z76+[7]A32!AE76</f>
        <v>0</v>
      </c>
      <c r="L43" s="106">
        <f>[7]A07!B53+[7]A30!R54+[7]A30!S54+[7]A30!T54+[7]A30!U54+[7]A30!V54+[7]A30!W54+[7]A30!X54+[7]A30!Y54+[7]A32!B76</f>
        <v>0</v>
      </c>
      <c r="M43" s="4" t="str">
        <f t="shared" si="10"/>
        <v/>
      </c>
      <c r="N43" s="106">
        <f>[8]A07!X53+[8]A07!AB53+[8]A30!B54+[8]A30!C54+[8]A30!D54+[8]A30!E54+[8]A30!F54+[8]A30!G54+[8]A30!H54+[8]A30!I54+[8]A32!Z76+[8]A32!AE76</f>
        <v>0</v>
      </c>
      <c r="O43" s="106">
        <f>[8]A07!B53+[8]A30!R54+[8]A30!S54+[8]A30!T54+[8]A30!U54+[8]A30!V54+[8]A30!W54+[8]A30!X54+[8]A30!Y54+[8]A32!B76</f>
        <v>0</v>
      </c>
      <c r="P43" s="150" t="e">
        <f t="shared" si="0"/>
        <v>#DIV/0!</v>
      </c>
      <c r="Q43" s="6">
        <f>[15]A07!X53+[15]A07!AB53+[15]A30!B54+[15]A30!C54+[15]A30!D54+[15]A30!E54+[15]A30!F54+[15]A30!G54+[15]A30!H54+[15]A30!I54+[15]A32!Z76+[15]A32!AE76</f>
        <v>0</v>
      </c>
      <c r="R43" s="6">
        <f>[15]A07!B53+[15]A30!R54+[15]A30!S54+[15]A30!T54+[15]A30!U54+[15]A30!V54+[15]A30!W54+[15]A30!X54+[15]A30!Y54+[15]A32!B76</f>
        <v>0</v>
      </c>
      <c r="S43" s="150" t="e">
        <f t="shared" si="1"/>
        <v>#DIV/0!</v>
      </c>
      <c r="T43" s="6">
        <f>[10]A07!X53+[10]A07!AB53+[10]A30!B54+[10]A30!C54+[10]A30!D54+[10]A30!E54+[10]A30!F54+[10]A30!G54+[10]A30!H54+[10]A30!I54+[10]A32!Z76+[10]A32!AE76</f>
        <v>0</v>
      </c>
      <c r="U43" s="6">
        <f>[10]A07!B53+[10]A30!R54+[10]A30!S54+[10]A30!T54+[10]A30!U54+[10]A30!V54+[10]A30!W54+[10]A30!X54+[10]A30!Y54+[10]A32!B76</f>
        <v>0</v>
      </c>
      <c r="V43" s="150" t="e">
        <f t="shared" si="2"/>
        <v>#DIV/0!</v>
      </c>
      <c r="W43" s="6">
        <f>[11]A07!X53+[11]A07!AB53+[11]A30!B54+[11]A30!C54+[11]A30!D54+[11]A30!E54+[11]A30!F54+[11]A30!G54+[11]A30!H54+[11]A30!I54+[11]A32!Z76+[11]A32!AE76</f>
        <v>0</v>
      </c>
      <c r="X43" s="6">
        <f>[11]A07!B53+[11]A30!R54+[11]A30!S54+[11]A30!T54+[11]A30!U54+[11]A30!V54+[11]A30!W54+[11]A30!X54+[11]A30!Y54+[11]A32!B76</f>
        <v>0</v>
      </c>
      <c r="Y43" s="150" t="e">
        <f t="shared" si="3"/>
        <v>#DIV/0!</v>
      </c>
      <c r="Z43" s="6">
        <f>[12]A07!X53+[12]A07!AB53+[12]A30!B54+[12]A30!C54+[12]A30!D54+[12]A30!E54+[12]A30!F54+[12]A30!G54+[12]A30!H54+[12]A30!I54+[12]A32!Z76+[12]A32!AE76</f>
        <v>0</v>
      </c>
      <c r="AA43" s="6">
        <f>[12]A07!B53+[12]A30!R54+[12]A30!S54+[12]A30!T54+[12]A30!U54+[12]A30!V54+[12]A30!W54+[12]A30!X54+[12]A30!Y54+[12]A32!B76</f>
        <v>0</v>
      </c>
      <c r="AB43" s="150" t="e">
        <f t="shared" si="4"/>
        <v>#DIV/0!</v>
      </c>
      <c r="AC43" s="6">
        <f>[13]A07!X53+[13]A07!AB53+[13]A30!B54+[13]A30!C54+[13]A30!D54+[13]A30!E54+[13]A30!F54+[13]A30!G54+[13]A30!H54+[13]A30!I54+[13]A32!Z76+[13]A32!AE76</f>
        <v>0</v>
      </c>
      <c r="AD43" s="6">
        <f>[13]A07!B53+[13]A30!R54+[13]A30!S54+[13]A30!T54+[13]A30!U54+[13]A30!V54+[13]A30!W54+[13]A30!X54+[13]A30!Y54+[13]A32!B76</f>
        <v>0</v>
      </c>
      <c r="AE43" s="150" t="e">
        <f t="shared" si="5"/>
        <v>#DIV/0!</v>
      </c>
      <c r="AF43" s="6">
        <f>[14]A07!X53+[14]A07!AB53+[14]A30!B54+[14]A30!C54+[14]A30!D54+[14]A30!E54+[14]A30!F54+[14]A30!G54+[14]A30!H54+[14]A30!I54+[14]A32!Z76+[14]A32!AE76</f>
        <v>0</v>
      </c>
      <c r="AG43" s="6">
        <f>[14]A07!B53+[14]A30!R54+[14]A30!S54+[14]A30!T54+[14]A30!U54+[14]A30!V54+[14]A30!W54+[14]A30!X54+[14]A30!Y54+[14]A32!B76</f>
        <v>0</v>
      </c>
      <c r="AH43" s="150" t="e">
        <f t="shared" si="6"/>
        <v>#DIV/0!</v>
      </c>
      <c r="AI43" s="6"/>
      <c r="AJ43" s="6"/>
      <c r="AK43" s="4" t="e">
        <f t="shared" si="11"/>
        <v>#DIV/0!</v>
      </c>
      <c r="AL43" s="94">
        <f t="shared" si="16"/>
        <v>0</v>
      </c>
      <c r="AM43" s="94">
        <f t="shared" si="13"/>
        <v>0</v>
      </c>
      <c r="AN43" s="4" t="str">
        <f t="shared" si="14"/>
        <v/>
      </c>
      <c r="AO43" s="1"/>
      <c r="AT43" s="1"/>
    </row>
    <row r="44" spans="1:46" x14ac:dyDescent="0.15">
      <c r="A44" s="76" t="s">
        <v>129</v>
      </c>
      <c r="B44" s="106">
        <f>[4]A07!X54+[4]A07!AB54+[4]A30!B55+[4]A30!C55+[4]A30!D55+[4]A30!E55+[4]A30!F55+[4]A30!G55+[4]A30!H55+[4]A30!I55+[4]A32!Z77+[4]A32!AE77</f>
        <v>72</v>
      </c>
      <c r="C44" s="106">
        <f>[4]A07!B54+[4]A30!R55+[4]A30!S55+[4]A30!T55+[4]A30!U55+[4]A30!V55+[4]A30!W55+[4]A30!X55+[4]A30!Y55+[4]A32!B77</f>
        <v>98</v>
      </c>
      <c r="D44" s="4">
        <f t="shared" si="7"/>
        <v>0.73469387755102045</v>
      </c>
      <c r="E44" s="106">
        <f>[5]A07!X54+[5]A07!AB54+[5]A30!B55+[5]A30!C55+[5]A30!D55+[5]A30!E55+[5]A30!F55+[5]A30!G55+[5]A30!H55+[5]A30!I55+[5]A32!Z77+[5]A32!AE77</f>
        <v>43</v>
      </c>
      <c r="F44" s="106">
        <f>[5]A07!B54+[5]A30!R55+[5]A30!S55+[5]A30!T55+[5]A30!U55+[5]A30!V55+[5]A30!W55+[5]A30!X55+[5]A30!Y55+[5]A32!B77</f>
        <v>72</v>
      </c>
      <c r="G44" s="4">
        <f t="shared" si="8"/>
        <v>0.59722222222222221</v>
      </c>
      <c r="H44" s="106">
        <f>[6]A07!X54+[6]A07!AB54+[6]A30!B55+[6]A30!C55+[6]A30!D55+[6]A30!E55+[6]A30!F55+[6]A30!G55+[6]A30!H55+[6]A30!I55+[6]A32!Z77+[6]A32!AE77</f>
        <v>64</v>
      </c>
      <c r="I44" s="106">
        <f>[6]A07!B54+[6]A30!R55+[6]A30!S55+[6]A30!T55+[6]A30!U55+[6]A30!V55+[6]A30!W55+[6]A30!X55+[6]A30!Y55+[6]A32!B77</f>
        <v>79</v>
      </c>
      <c r="J44" s="4">
        <f t="shared" si="9"/>
        <v>0.810126582278481</v>
      </c>
      <c r="K44" s="106">
        <f>[7]A07!X54+[7]A07!AB54+[7]A30!B55+[7]A30!C55+[7]A30!D55+[7]A30!E55+[7]A30!F55+[7]A30!G55+[7]A30!H55+[7]A30!I55+[7]A32!Z77+[7]A32!AE77</f>
        <v>30</v>
      </c>
      <c r="L44" s="106">
        <f>[7]A07!B54+[7]A30!R55+[7]A30!S55+[7]A30!T55+[7]A30!U55+[7]A30!V55+[7]A30!W55+[7]A30!X55+[7]A30!Y55+[7]A32!B77</f>
        <v>46</v>
      </c>
      <c r="M44" s="4">
        <f t="shared" si="10"/>
        <v>0.65217391304347827</v>
      </c>
      <c r="N44" s="106">
        <f>[8]A07!X54+[8]A07!AB54+[8]A30!B55+[8]A30!C55+[8]A30!D55+[8]A30!E55+[8]A30!F55+[8]A30!G55+[8]A30!H55+[8]A30!I55+[8]A32!Z77+[8]A32!AE77</f>
        <v>40</v>
      </c>
      <c r="O44" s="106">
        <f>[8]A07!B54+[8]A30!R55+[8]A30!S55+[8]A30!T55+[8]A30!U55+[8]A30!V55+[8]A30!W55+[8]A30!X55+[8]A30!Y55+[8]A32!B77</f>
        <v>44</v>
      </c>
      <c r="P44" s="150">
        <f t="shared" si="0"/>
        <v>0.90909090909090906</v>
      </c>
      <c r="Q44" s="6">
        <f>[15]A07!X54+[15]A07!AB54+[15]A30!B55+[15]A30!C55+[15]A30!D55+[15]A30!E55+[15]A30!F55+[15]A30!G55+[15]A30!H55+[15]A30!I55+[15]A32!Z77+[15]A32!AE77</f>
        <v>22</v>
      </c>
      <c r="R44" s="6">
        <f>[15]A07!B54+[15]A30!R55+[15]A30!S55+[15]A30!T55+[15]A30!U55+[15]A30!V55+[15]A30!W55+[15]A30!X55+[15]A30!Y55+[15]A32!B77</f>
        <v>26</v>
      </c>
      <c r="S44" s="150">
        <f t="shared" si="1"/>
        <v>0.84615384615384615</v>
      </c>
      <c r="T44" s="6">
        <f>[10]A07!X54+[10]A07!AB54+[10]A30!B55+[10]A30!C55+[10]A30!D55+[10]A30!E55+[10]A30!F55+[10]A30!G55+[10]A30!H55+[10]A30!I55+[10]A32!Z77+[10]A32!AE77</f>
        <v>53</v>
      </c>
      <c r="U44" s="6">
        <f>[10]A07!B54+[10]A30!R55+[10]A30!S55+[10]A30!T55+[10]A30!U55+[10]A30!V55+[10]A30!W55+[10]A30!X55+[10]A30!Y55+[10]A32!B77</f>
        <v>82</v>
      </c>
      <c r="V44" s="150">
        <f t="shared" si="2"/>
        <v>0.64634146341463417</v>
      </c>
      <c r="W44" s="6">
        <f>[11]A07!X54+[11]A07!AB54+[11]A30!B55+[11]A30!C55+[11]A30!D55+[11]A30!E55+[11]A30!F55+[11]A30!G55+[11]A30!H55+[11]A30!I55+[11]A32!Z77+[11]A32!AE77</f>
        <v>27</v>
      </c>
      <c r="X44" s="6">
        <f>[11]A07!B54+[11]A30!R55+[11]A30!S55+[11]A30!T55+[11]A30!U55+[11]A30!V55+[11]A30!W55+[11]A30!X55+[11]A30!Y55+[11]A32!B77</f>
        <v>54</v>
      </c>
      <c r="Y44" s="150">
        <f t="shared" si="3"/>
        <v>0.5</v>
      </c>
      <c r="Z44" s="6">
        <f>[12]A07!X54+[12]A07!AB54+[12]A30!B55+[12]A30!C55+[12]A30!D55+[12]A30!E55+[12]A30!F55+[12]A30!G55+[12]A30!H55+[12]A30!I55+[12]A32!Z77+[12]A32!AE77</f>
        <v>62</v>
      </c>
      <c r="AA44" s="6">
        <f>[12]A07!B54+[12]A30!R55+[12]A30!S55+[12]A30!T55+[12]A30!U55+[12]A30!V55+[12]A30!W55+[12]A30!X55+[12]A30!Y55+[12]A32!B77</f>
        <v>117</v>
      </c>
      <c r="AB44" s="150">
        <f t="shared" si="4"/>
        <v>0.52991452991452992</v>
      </c>
      <c r="AC44" s="6">
        <f>[13]A07!X54+[13]A07!AB54+[13]A30!B55+[13]A30!C55+[13]A30!D55+[13]A30!E55+[13]A30!F55+[13]A30!G55+[13]A30!H55+[13]A30!I55+[13]A32!Z77+[13]A32!AE77</f>
        <v>55</v>
      </c>
      <c r="AD44" s="6">
        <f>[13]A07!B54+[13]A30!R55+[13]A30!S55+[13]A30!T55+[13]A30!U55+[13]A30!V55+[13]A30!W55+[13]A30!X55+[13]A30!Y55+[13]A32!B77</f>
        <v>72</v>
      </c>
      <c r="AE44" s="150">
        <f t="shared" si="5"/>
        <v>0.76388888888888884</v>
      </c>
      <c r="AF44" s="6">
        <f>[14]A07!X54+[14]A07!AB54+[14]A30!B55+[14]A30!C55+[14]A30!D55+[14]A30!E55+[14]A30!F55+[14]A30!G55+[14]A30!H55+[14]A30!I55+[14]A32!Z77+[14]A32!AE77</f>
        <v>37</v>
      </c>
      <c r="AG44" s="6">
        <f>[14]A07!B54+[14]A30!R55+[14]A30!S55+[14]A30!T55+[14]A30!U55+[14]A30!V55+[14]A30!W55+[14]A30!X55+[14]A30!Y55+[14]A32!B77</f>
        <v>57</v>
      </c>
      <c r="AH44" s="150">
        <f t="shared" si="6"/>
        <v>0.64912280701754388</v>
      </c>
      <c r="AI44" s="6"/>
      <c r="AJ44" s="6"/>
      <c r="AK44" s="4" t="e">
        <f t="shared" si="11"/>
        <v>#DIV/0!</v>
      </c>
      <c r="AL44" s="94">
        <f t="shared" si="16"/>
        <v>249</v>
      </c>
      <c r="AM44" s="94">
        <f t="shared" si="13"/>
        <v>339</v>
      </c>
      <c r="AN44" s="4">
        <f t="shared" si="14"/>
        <v>0.73451327433628322</v>
      </c>
      <c r="AO44" s="109" t="str">
        <f>IF(AN44&gt;75%,"1","0")</f>
        <v>0</v>
      </c>
      <c r="AP44" s="1"/>
      <c r="AQ44" s="1"/>
      <c r="AT44" s="151" t="s">
        <v>177</v>
      </c>
    </row>
    <row r="45" spans="1:46" x14ac:dyDescent="0.15">
      <c r="A45" s="82" t="s">
        <v>130</v>
      </c>
      <c r="B45" s="106">
        <f>[4]A07!X55+[4]A07!AB55+[4]A30!B56+[4]A30!C56+[4]A30!D56+[4]A30!E56+[4]A30!F56+[4]A30!G56+[4]A30!H56+[4]A30!I56+[4]A32!Z78+[4]A32!AE78</f>
        <v>258</v>
      </c>
      <c r="C45" s="106">
        <f>[4]A07!B55+[4]A30!R56+[4]A30!S56+[4]A30!T56+[4]A30!U56+[4]A30!V56+[4]A30!W56+[4]A30!X56+[4]A30!Y56+[4]A32!B78</f>
        <v>678</v>
      </c>
      <c r="D45" s="4">
        <f t="shared" si="7"/>
        <v>0.38053097345132741</v>
      </c>
      <c r="E45" s="106">
        <f>[5]A07!X55+[5]A07!AB55+[5]A30!B56+[5]A30!C56+[5]A30!D56+[5]A30!E56+[5]A30!F56+[5]A30!G56+[5]A30!H56+[5]A30!I56+[5]A32!Z78+[5]A32!AE78</f>
        <v>162</v>
      </c>
      <c r="F45" s="106">
        <f>[5]A07!B55+[5]A30!R56+[5]A30!S56+[5]A30!T56+[5]A30!U56+[5]A30!V56+[5]A30!W56+[5]A30!X56+[5]A30!Y56+[5]A32!B78</f>
        <v>508</v>
      </c>
      <c r="G45" s="4">
        <f t="shared" si="8"/>
        <v>0.31889763779527558</v>
      </c>
      <c r="H45" s="106">
        <f>[6]A07!X55+[6]A07!AB55+[6]A30!B56+[6]A30!C56+[6]A30!D56+[6]A30!E56+[6]A30!F56+[6]A30!G56+[6]A30!H56+[6]A30!I56+[6]A32!Z78+[6]A32!AE78</f>
        <v>241</v>
      </c>
      <c r="I45" s="106">
        <f>[6]A07!B55+[6]A30!R56+[6]A30!S56+[6]A30!T56+[6]A30!U56+[6]A30!V56+[6]A30!W56+[6]A30!X56+[6]A30!Y56+[6]A32!B78</f>
        <v>725</v>
      </c>
      <c r="J45" s="4">
        <f t="shared" si="9"/>
        <v>0.33241379310344826</v>
      </c>
      <c r="K45" s="106">
        <f>[7]A07!X55+[7]A07!AB55+[7]A30!B56+[7]A30!C56+[7]A30!D56+[7]A30!E56+[7]A30!F56+[7]A30!G56+[7]A30!H56+[7]A30!I56+[7]A32!Z78+[7]A32!AE78</f>
        <v>211</v>
      </c>
      <c r="L45" s="106">
        <f>[7]A07!B55+[7]A30!R56+[7]A30!S56+[7]A30!T56+[7]A30!U56+[7]A30!V56+[7]A30!W56+[7]A30!X56+[7]A30!Y56+[7]A32!B78</f>
        <v>638</v>
      </c>
      <c r="M45" s="4">
        <f t="shared" si="10"/>
        <v>0.33072100313479624</v>
      </c>
      <c r="N45" s="106">
        <f>[8]A07!X55+[8]A07!AB55+[8]A30!B56+[8]A30!C56+[8]A30!D56+[8]A30!E56+[8]A30!F56+[8]A30!G56+[8]A30!H56+[8]A30!I56+[8]A32!Z78+[8]A32!AE78</f>
        <v>195</v>
      </c>
      <c r="O45" s="106">
        <f>[8]A07!B55+[8]A30!R56+[8]A30!S56+[8]A30!T56+[8]A30!U56+[8]A30!V56+[8]A30!W56+[8]A30!X56+[8]A30!Y56+[8]A32!B78</f>
        <v>658</v>
      </c>
      <c r="P45" s="150">
        <f t="shared" si="0"/>
        <v>0.29635258358662614</v>
      </c>
      <c r="Q45" s="6">
        <f>[15]A07!X55+[15]A07!AB55+[15]A30!B56+[15]A30!C56+[15]A30!D56+[15]A30!E56+[15]A30!F56+[15]A30!G56+[15]A30!H56+[15]A30!I56+[15]A32!Z78+[15]A32!AE78</f>
        <v>203</v>
      </c>
      <c r="R45" s="6">
        <f>[15]A07!B55+[15]A30!R56+[15]A30!S56+[15]A30!T56+[15]A30!U56+[15]A30!V56+[15]A30!W56+[15]A30!X56+[15]A30!Y56+[15]A32!B78</f>
        <v>668</v>
      </c>
      <c r="S45" s="150">
        <f t="shared" si="1"/>
        <v>0.30389221556886226</v>
      </c>
      <c r="T45" s="6">
        <f>[10]A07!X55+[10]A07!AB55+[10]A30!B56+[10]A30!C56+[10]A30!D56+[10]A30!E56+[10]A30!F56+[10]A30!G56+[10]A30!H56+[10]A30!I56+[10]A32!Z78+[10]A32!AE78</f>
        <v>165</v>
      </c>
      <c r="U45" s="6">
        <f>[10]A07!B55+[10]A30!R56+[10]A30!S56+[10]A30!T56+[10]A30!U56+[10]A30!V56+[10]A30!W56+[10]A30!X56+[10]A30!Y56+[10]A32!B78</f>
        <v>634</v>
      </c>
      <c r="V45" s="150">
        <f t="shared" si="2"/>
        <v>0.26025236593059936</v>
      </c>
      <c r="W45" s="6">
        <f>[11]A07!X55+[11]A07!AB55+[11]A30!B56+[11]A30!C56+[11]A30!D56+[11]A30!E56+[11]A30!F56+[11]A30!G56+[11]A30!H56+[11]A30!I56+[11]A32!Z78+[11]A32!AE78</f>
        <v>183</v>
      </c>
      <c r="X45" s="6">
        <f>[11]A07!B55+[11]A30!R56+[11]A30!S56+[11]A30!T56+[11]A30!U56+[11]A30!V56+[11]A30!W56+[11]A30!X56+[11]A30!Y56+[11]A32!B78</f>
        <v>635</v>
      </c>
      <c r="Y45" s="150">
        <f t="shared" si="3"/>
        <v>0.28818897637795277</v>
      </c>
      <c r="Z45" s="6">
        <f>[12]A07!X55+[12]A07!AB55+[12]A30!B56+[12]A30!C56+[12]A30!D56+[12]A30!E56+[12]A30!F56+[12]A30!G56+[12]A30!H56+[12]A30!I56+[12]A32!Z78+[12]A32!AE78</f>
        <v>191</v>
      </c>
      <c r="AA45" s="6">
        <f>[12]A07!B55+[12]A30!R56+[12]A30!S56+[12]A30!T56+[12]A30!U56+[12]A30!V56+[12]A30!W56+[12]A30!X56+[12]A30!Y56+[12]A32!B78</f>
        <v>632</v>
      </c>
      <c r="AB45" s="150">
        <f t="shared" si="4"/>
        <v>0.30221518987341772</v>
      </c>
      <c r="AC45" s="6">
        <f>[13]A07!X55+[13]A07!AB55+[13]A30!B56+[13]A30!C56+[13]A30!D56+[13]A30!E56+[13]A30!F56+[13]A30!G56+[13]A30!H56+[13]A30!I56+[13]A32!Z78+[13]A32!AE78</f>
        <v>211</v>
      </c>
      <c r="AD45" s="6">
        <f>[13]A07!B55+[13]A30!R56+[13]A30!S56+[13]A30!T56+[13]A30!U56+[13]A30!V56+[13]A30!W56+[13]A30!X56+[13]A30!Y56+[13]A32!B78</f>
        <v>637</v>
      </c>
      <c r="AE45" s="150">
        <f t="shared" si="5"/>
        <v>0.33124018838304553</v>
      </c>
      <c r="AF45" s="6">
        <f>[14]A07!X55+[14]A07!AB55+[14]A30!B56+[14]A30!C56+[14]A30!D56+[14]A30!E56+[14]A30!F56+[14]A30!G56+[14]A30!H56+[14]A30!I56+[14]A32!Z78+[14]A32!AE78</f>
        <v>216</v>
      </c>
      <c r="AG45" s="6">
        <f>[14]A07!B55+[14]A30!R56+[14]A30!S56+[14]A30!T56+[14]A30!U56+[14]A30!V56+[14]A30!W56+[14]A30!X56+[14]A30!Y56+[14]A32!B78</f>
        <v>662</v>
      </c>
      <c r="AH45" s="150">
        <f t="shared" si="6"/>
        <v>0.32628398791540786</v>
      </c>
      <c r="AI45" s="6"/>
      <c r="AJ45" s="6"/>
      <c r="AK45" s="4" t="e">
        <f t="shared" si="11"/>
        <v>#DIV/0!</v>
      </c>
      <c r="AL45" s="94">
        <f t="shared" si="16"/>
        <v>1067</v>
      </c>
      <c r="AM45" s="94">
        <f t="shared" si="13"/>
        <v>3207</v>
      </c>
      <c r="AN45" s="4">
        <f t="shared" si="14"/>
        <v>0.33270969753663859</v>
      </c>
      <c r="AO45" s="109" t="str">
        <f t="shared" si="15"/>
        <v>0</v>
      </c>
      <c r="AP45" s="1"/>
      <c r="AQ45" s="1"/>
      <c r="AT45" s="151" t="s">
        <v>175</v>
      </c>
    </row>
    <row r="46" spans="1:46" x14ac:dyDescent="0.15">
      <c r="A46" s="82" t="s">
        <v>131</v>
      </c>
      <c r="B46" s="106">
        <f>[4]A07!X56+[4]A07!AB56+[4]A30!B57+[4]A30!C57+[4]A30!D57+[4]A30!E57+[4]A30!F57+[4]A30!G57+[4]A30!H57+[4]A30!I57+[4]A32!Z79+[4]A32!AE79</f>
        <v>0</v>
      </c>
      <c r="C46" s="106">
        <f>[4]A07!B56+[4]A30!R57+[4]A30!S57+[4]A30!T57+[4]A30!U57+[4]A30!V57+[4]A30!W57+[4]A30!X57+[4]A30!Y57+[4]A32!B79</f>
        <v>0</v>
      </c>
      <c r="D46" s="4" t="str">
        <f t="shared" si="7"/>
        <v/>
      </c>
      <c r="E46" s="106">
        <f>[5]A07!X56+[5]A07!AB56+[5]A30!B57+[5]A30!C57+[5]A30!D57+[5]A30!E57+[5]A30!F57+[5]A30!G57+[5]A30!H57+[5]A30!I57+[5]A32!Z79+[5]A32!AE79</f>
        <v>0</v>
      </c>
      <c r="F46" s="106">
        <f>[5]A07!B56+[5]A30!R57+[5]A30!S57+[5]A30!T57+[5]A30!U57+[5]A30!V57+[5]A30!W57+[5]A30!X57+[5]A30!Y57+[5]A32!B79</f>
        <v>0</v>
      </c>
      <c r="G46" s="4" t="str">
        <f t="shared" si="8"/>
        <v/>
      </c>
      <c r="H46" s="106">
        <f>[6]A07!X56+[6]A07!AB56+[6]A30!B57+[6]A30!C57+[6]A30!D57+[6]A30!E57+[6]A30!F57+[6]A30!G57+[6]A30!H57+[6]A30!I57+[6]A32!Z79+[6]A32!AE79</f>
        <v>0</v>
      </c>
      <c r="I46" s="106">
        <f>[6]A07!B56+[6]A30!R57+[6]A30!S57+[6]A30!T57+[6]A30!U57+[6]A30!V57+[6]A30!W57+[6]A30!X57+[6]A30!Y57+[6]A32!B79</f>
        <v>0</v>
      </c>
      <c r="J46" s="4" t="str">
        <f t="shared" si="9"/>
        <v/>
      </c>
      <c r="K46" s="106">
        <f>[7]A07!X56+[7]A07!AB56+[7]A30!B57+[7]A30!C57+[7]A30!D57+[7]A30!E57+[7]A30!F57+[7]A30!G57+[7]A30!H57+[7]A30!I57+[7]A32!Z79+[7]A32!AE79</f>
        <v>0</v>
      </c>
      <c r="L46" s="106">
        <f>[7]A07!B56+[7]A30!R57+[7]A30!S57+[7]A30!T57+[7]A30!U57+[7]A30!V57+[7]A30!W57+[7]A30!X57+[7]A30!Y57+[7]A32!B79</f>
        <v>0</v>
      </c>
      <c r="M46" s="4" t="str">
        <f t="shared" si="10"/>
        <v/>
      </c>
      <c r="N46" s="106">
        <f>[8]A07!X56+[8]A07!AB56+[8]A30!B57+[8]A30!C57+[8]A30!D57+[8]A30!E57+[8]A30!F57+[8]A30!G57+[8]A30!H57+[8]A30!I57+[8]A32!Z79+[8]A32!AE79</f>
        <v>0</v>
      </c>
      <c r="O46" s="106">
        <f>[8]A07!B56+[8]A30!R57+[8]A30!S57+[8]A30!T57+[8]A30!U57+[8]A30!V57+[8]A30!W57+[8]A30!X57+[8]A30!Y57+[8]A32!B79</f>
        <v>0</v>
      </c>
      <c r="P46" s="150" t="e">
        <f t="shared" si="0"/>
        <v>#DIV/0!</v>
      </c>
      <c r="Q46" s="6">
        <f>[15]A07!X56+[15]A07!AB56+[15]A30!B57+[15]A30!C57+[15]A30!D57+[15]A30!E57+[15]A30!F57+[15]A30!G57+[15]A30!H57+[15]A30!I57+[15]A32!Z79+[15]A32!AE79</f>
        <v>0</v>
      </c>
      <c r="R46" s="6">
        <f>[15]A07!B56+[15]A30!R57+[15]A30!S57+[15]A30!T57+[15]A30!U57+[15]A30!V57+[15]A30!W57+[15]A30!X57+[15]A30!Y57+[15]A32!B79</f>
        <v>0</v>
      </c>
      <c r="S46" s="150" t="e">
        <f t="shared" si="1"/>
        <v>#DIV/0!</v>
      </c>
      <c r="T46" s="6">
        <f>[10]A07!X56+[10]A07!AB56+[10]A30!B57+[10]A30!C57+[10]A30!D57+[10]A30!E57+[10]A30!F57+[10]A30!G57+[10]A30!H57+[10]A30!I57+[10]A32!Z79+[10]A32!AE79</f>
        <v>0</v>
      </c>
      <c r="U46" s="6">
        <f>[10]A07!B56+[10]A30!R57+[10]A30!S57+[10]A30!T57+[10]A30!U57+[10]A30!V57+[10]A30!W57+[10]A30!X57+[10]A30!Y57+[10]A32!B79</f>
        <v>0</v>
      </c>
      <c r="V46" s="150" t="e">
        <f t="shared" si="2"/>
        <v>#DIV/0!</v>
      </c>
      <c r="W46" s="6">
        <f>[11]A07!X56+[11]A07!AB56+[11]A30!B57+[11]A30!C57+[11]A30!D57+[11]A30!E57+[11]A30!F57+[11]A30!G57+[11]A30!H57+[11]A30!I57+[11]A32!Z79+[11]A32!AE79</f>
        <v>0</v>
      </c>
      <c r="X46" s="6">
        <f>[11]A07!B56+[11]A30!R57+[11]A30!S57+[11]A30!T57+[11]A30!U57+[11]A30!V57+[11]A30!W57+[11]A30!X57+[11]A30!Y57+[11]A32!B79</f>
        <v>0</v>
      </c>
      <c r="Y46" s="150" t="e">
        <f t="shared" si="3"/>
        <v>#DIV/0!</v>
      </c>
      <c r="Z46" s="6">
        <f>[12]A07!X56+[12]A07!AB56+[12]A30!B57+[12]A30!C57+[12]A30!D57+[12]A30!E57+[12]A30!F57+[12]A30!G57+[12]A30!H57+[12]A30!I57+[12]A32!Z79+[12]A32!AE79</f>
        <v>0</v>
      </c>
      <c r="AA46" s="6">
        <f>[12]A07!B56+[12]A30!R57+[12]A30!S57+[12]A30!T57+[12]A30!U57+[12]A30!V57+[12]A30!W57+[12]A30!X57+[12]A30!Y57+[12]A32!B79</f>
        <v>0</v>
      </c>
      <c r="AB46" s="150" t="e">
        <f t="shared" si="4"/>
        <v>#DIV/0!</v>
      </c>
      <c r="AC46" s="6">
        <f>[13]A07!X56+[13]A07!AB56+[13]A30!B57+[13]A30!C57+[13]A30!D57+[13]A30!E57+[13]A30!F57+[13]A30!G57+[13]A30!H57+[13]A30!I57+[13]A32!Z79+[13]A32!AE79</f>
        <v>0</v>
      </c>
      <c r="AD46" s="6">
        <f>[13]A07!B56+[13]A30!R57+[13]A30!S57+[13]A30!T57+[13]A30!U57+[13]A30!V57+[13]A30!W57+[13]A30!X57+[13]A30!Y57+[13]A32!B79</f>
        <v>0</v>
      </c>
      <c r="AE46" s="150" t="e">
        <f t="shared" si="5"/>
        <v>#DIV/0!</v>
      </c>
      <c r="AF46" s="6">
        <f>[14]A07!X56+[14]A07!AB56+[14]A30!B57+[14]A30!C57+[14]A30!D57+[14]A30!E57+[14]A30!F57+[14]A30!G57+[14]A30!H57+[14]A30!I57+[14]A32!Z79+[14]A32!AE79</f>
        <v>0</v>
      </c>
      <c r="AG46" s="6">
        <f>[14]A07!B56+[14]A30!R57+[14]A30!S57+[14]A30!T57+[14]A30!U57+[14]A30!V57+[14]A30!W57+[14]A30!X57+[14]A30!Y57+[14]A32!B79</f>
        <v>0</v>
      </c>
      <c r="AH46" s="150" t="e">
        <f t="shared" si="6"/>
        <v>#DIV/0!</v>
      </c>
      <c r="AI46" s="6"/>
      <c r="AJ46" s="6"/>
      <c r="AK46" s="4" t="e">
        <f t="shared" si="11"/>
        <v>#DIV/0!</v>
      </c>
      <c r="AL46" s="94">
        <f t="shared" si="16"/>
        <v>0</v>
      </c>
      <c r="AM46" s="94">
        <f t="shared" si="13"/>
        <v>0</v>
      </c>
      <c r="AN46" s="4" t="str">
        <f t="shared" si="14"/>
        <v/>
      </c>
      <c r="AO46" s="1"/>
      <c r="AT46" s="1"/>
    </row>
    <row r="47" spans="1:46" x14ac:dyDescent="0.2">
      <c r="A47" s="79" t="s">
        <v>132</v>
      </c>
      <c r="B47" s="106">
        <f>[4]A07!X57+[4]A07!AB57+[4]A30!B58+[4]A30!C58+[4]A30!D58+[4]A30!E58+[4]A30!F58+[4]A30!G58+[4]A30!H58+[4]A30!I58+[4]A32!Z80+[4]A32!AE80</f>
        <v>0</v>
      </c>
      <c r="C47" s="106">
        <f>[4]A07!B57+[4]A30!R58+[4]A30!S58+[4]A30!T58+[4]A30!U58+[4]A30!V58+[4]A30!W58+[4]A30!X58+[4]A30!Y58+[4]A32!B80</f>
        <v>0</v>
      </c>
      <c r="D47" s="4" t="str">
        <f t="shared" si="7"/>
        <v/>
      </c>
      <c r="E47" s="106">
        <f>[5]A07!X57+[5]A07!AB57+[5]A30!B58+[5]A30!C58+[5]A30!D58+[5]A30!E58+[5]A30!F58+[5]A30!G58+[5]A30!H58+[5]A30!I58+[5]A32!Z80+[5]A32!AE80</f>
        <v>0</v>
      </c>
      <c r="F47" s="106">
        <f>[5]A07!B57+[5]A30!R58+[5]A30!S58+[5]A30!T58+[5]A30!U58+[5]A30!V58+[5]A30!W58+[5]A30!X58+[5]A30!Y58+[5]A32!B80</f>
        <v>0</v>
      </c>
      <c r="G47" s="4" t="str">
        <f t="shared" si="8"/>
        <v/>
      </c>
      <c r="H47" s="106">
        <f>[6]A07!X57+[6]A07!AB57+[6]A30!B58+[6]A30!C58+[6]A30!D58+[6]A30!E58+[6]A30!F58+[6]A30!G58+[6]A30!H58+[6]A30!I58+[6]A32!Z80+[6]A32!AE80</f>
        <v>0</v>
      </c>
      <c r="I47" s="106">
        <f>[6]A07!B57+[6]A30!R58+[6]A30!S58+[6]A30!T58+[6]A30!U58+[6]A30!V58+[6]A30!W58+[6]A30!X58+[6]A30!Y58+[6]A32!B80</f>
        <v>0</v>
      </c>
      <c r="J47" s="4" t="str">
        <f t="shared" si="9"/>
        <v/>
      </c>
      <c r="K47" s="106">
        <f>[7]A07!X57+[7]A07!AB57+[7]A30!B58+[7]A30!C58+[7]A30!D58+[7]A30!E58+[7]A30!F58+[7]A30!G58+[7]A30!H58+[7]A30!I58+[7]A32!Z80+[7]A32!AE80</f>
        <v>0</v>
      </c>
      <c r="L47" s="106">
        <f>[7]A07!B57+[7]A30!R58+[7]A30!S58+[7]A30!T58+[7]A30!U58+[7]A30!V58+[7]A30!W58+[7]A30!X58+[7]A30!Y58+[7]A32!B80</f>
        <v>0</v>
      </c>
      <c r="M47" s="4" t="str">
        <f t="shared" si="10"/>
        <v/>
      </c>
      <c r="N47" s="106">
        <f>[8]A07!X57+[8]A07!AB57+[8]A30!B58+[8]A30!C58+[8]A30!D58+[8]A30!E58+[8]A30!F58+[8]A30!G58+[8]A30!H58+[8]A30!I58+[8]A32!Z80+[8]A32!AE80</f>
        <v>0</v>
      </c>
      <c r="O47" s="106">
        <f>[8]A07!B57+[8]A30!R58+[8]A30!S58+[8]A30!T58+[8]A30!U58+[8]A30!V58+[8]A30!W58+[8]A30!X58+[8]A30!Y58+[8]A32!B80</f>
        <v>0</v>
      </c>
      <c r="P47" s="150" t="e">
        <f t="shared" si="0"/>
        <v>#DIV/0!</v>
      </c>
      <c r="Q47" s="6">
        <f>[15]A07!X57+[15]A07!AB57+[15]A30!B58+[15]A30!C58+[15]A30!D58+[15]A30!E58+[15]A30!F58+[15]A30!G58+[15]A30!H58+[15]A30!I58+[15]A32!Z80+[15]A32!AE80</f>
        <v>0</v>
      </c>
      <c r="R47" s="6">
        <f>[15]A07!B57+[15]A30!R58+[15]A30!S58+[15]A30!T58+[15]A30!U58+[15]A30!V58+[15]A30!W58+[15]A30!X58+[15]A30!Y58+[15]A32!B80</f>
        <v>0</v>
      </c>
      <c r="S47" s="150" t="e">
        <f t="shared" si="1"/>
        <v>#DIV/0!</v>
      </c>
      <c r="T47" s="6">
        <f>[10]A07!X57+[10]A07!AB57+[10]A30!B58+[10]A30!C58+[10]A30!D58+[10]A30!E58+[10]A30!F58+[10]A30!G58+[10]A30!H58+[10]A30!I58+[10]A32!Z80+[10]A32!AE80</f>
        <v>0</v>
      </c>
      <c r="U47" s="6">
        <f>[10]A07!B57+[10]A30!R58+[10]A30!S58+[10]A30!T58+[10]A30!U58+[10]A30!V58+[10]A30!W58+[10]A30!X58+[10]A30!Y58+[10]A32!B80</f>
        <v>0</v>
      </c>
      <c r="V47" s="150" t="e">
        <f t="shared" si="2"/>
        <v>#DIV/0!</v>
      </c>
      <c r="W47" s="6">
        <f>[11]A07!X57+[11]A07!AB57+[11]A30!B58+[11]A30!C58+[11]A30!D58+[11]A30!E58+[11]A30!F58+[11]A30!G58+[11]A30!H58+[11]A30!I58+[11]A32!Z80+[11]A32!AE80</f>
        <v>0</v>
      </c>
      <c r="X47" s="6">
        <f>[11]A07!B57+[11]A30!R58+[11]A30!S58+[11]A30!T58+[11]A30!U58+[11]A30!V58+[11]A30!W58+[11]A30!X58+[11]A30!Y58+[11]A32!B80</f>
        <v>0</v>
      </c>
      <c r="Y47" s="150" t="e">
        <f t="shared" si="3"/>
        <v>#DIV/0!</v>
      </c>
      <c r="Z47" s="6">
        <f>[12]A07!X57+[12]A07!AB57+[12]A30!B58+[12]A30!C58+[12]A30!D58+[12]A30!E58+[12]A30!F58+[12]A30!G58+[12]A30!H58+[12]A30!I58+[12]A32!Z80+[12]A32!AE80</f>
        <v>0</v>
      </c>
      <c r="AA47" s="6">
        <f>[12]A07!B57+[12]A30!R58+[12]A30!S58+[12]A30!T58+[12]A30!U58+[12]A30!V58+[12]A30!W58+[12]A30!X58+[12]A30!Y58+[12]A32!B80</f>
        <v>0</v>
      </c>
      <c r="AB47" s="150" t="e">
        <f t="shared" si="4"/>
        <v>#DIV/0!</v>
      </c>
      <c r="AC47" s="6">
        <f>[13]A07!X57+[13]A07!AB57+[13]A30!B58+[13]A30!C58+[13]A30!D58+[13]A30!E58+[13]A30!F58+[13]A30!G58+[13]A30!H58+[13]A30!I58+[13]A32!Z80+[13]A32!AE80</f>
        <v>0</v>
      </c>
      <c r="AD47" s="6">
        <f>[13]A07!B57+[13]A30!R58+[13]A30!S58+[13]A30!T58+[13]A30!U58+[13]A30!V58+[13]A30!W58+[13]A30!X58+[13]A30!Y58+[13]A32!B80</f>
        <v>0</v>
      </c>
      <c r="AE47" s="150" t="e">
        <f t="shared" si="5"/>
        <v>#DIV/0!</v>
      </c>
      <c r="AF47" s="6">
        <f>[14]A07!X57+[14]A07!AB57+[14]A30!B58+[14]A30!C58+[14]A30!D58+[14]A30!E58+[14]A30!F58+[14]A30!G58+[14]A30!H58+[14]A30!I58+[14]A32!Z80+[14]A32!AE80</f>
        <v>0</v>
      </c>
      <c r="AG47" s="6">
        <f>[14]A07!B57+[14]A30!R58+[14]A30!S58+[14]A30!T58+[14]A30!U58+[14]A30!V58+[14]A30!W58+[14]A30!X58+[14]A30!Y58+[14]A32!B80</f>
        <v>0</v>
      </c>
      <c r="AH47" s="150" t="e">
        <f t="shared" si="6"/>
        <v>#DIV/0!</v>
      </c>
      <c r="AI47" s="6"/>
      <c r="AJ47" s="6"/>
      <c r="AK47" s="4" t="e">
        <f t="shared" si="11"/>
        <v>#DIV/0!</v>
      </c>
      <c r="AL47" s="94">
        <f t="shared" si="16"/>
        <v>0</v>
      </c>
      <c r="AM47" s="94">
        <f t="shared" si="13"/>
        <v>0</v>
      </c>
      <c r="AN47" s="4" t="str">
        <f t="shared" si="14"/>
        <v/>
      </c>
      <c r="AO47" s="1"/>
      <c r="AT47" s="1"/>
    </row>
    <row r="48" spans="1:46" x14ac:dyDescent="0.15">
      <c r="A48" s="77" t="s">
        <v>133</v>
      </c>
      <c r="B48" s="106">
        <f>[4]A07!X58+[4]A07!AB58+[4]A30!B59+[4]A30!C59+[4]A30!D59+[4]A30!E59+[4]A30!F59+[4]A30!G59+[4]A30!H59+[4]A30!I59+[4]A32!Z81+[4]A32!AE81</f>
        <v>378</v>
      </c>
      <c r="C48" s="106">
        <f>[4]A07!B58+[4]A30!R59+[4]A30!S59+[4]A30!T59+[4]A30!U59+[4]A30!V59+[4]A30!W59+[4]A30!X59+[4]A30!Y59+[4]A32!B81</f>
        <v>744</v>
      </c>
      <c r="D48" s="4">
        <f t="shared" si="7"/>
        <v>0.50806451612903225</v>
      </c>
      <c r="E48" s="106">
        <f>[5]A07!X58+[5]A07!AB58+[5]A30!B59+[5]A30!C59+[5]A30!D59+[5]A30!E59+[5]A30!F59+[5]A30!G59+[5]A30!H59+[5]A30!I59+[5]A32!Z81+[5]A32!AE81</f>
        <v>327</v>
      </c>
      <c r="F48" s="106">
        <f>[5]A07!B58+[5]A30!R59+[5]A30!S59+[5]A30!T59+[5]A30!U59+[5]A30!V59+[5]A30!W59+[5]A30!X59+[5]A30!Y59+[5]A32!B81</f>
        <v>634</v>
      </c>
      <c r="G48" s="4">
        <f t="shared" si="8"/>
        <v>0.51577287066246058</v>
      </c>
      <c r="H48" s="106">
        <f>[6]A07!X58+[6]A07!AB58+[6]A30!B59+[6]A30!C59+[6]A30!D59+[6]A30!E59+[6]A30!F59+[6]A30!G59+[6]A30!H59+[6]A30!I59+[6]A32!Z81+[6]A32!AE81</f>
        <v>324</v>
      </c>
      <c r="I48" s="106">
        <f>[6]A07!B58+[6]A30!R59+[6]A30!S59+[6]A30!T59+[6]A30!U59+[6]A30!V59+[6]A30!W59+[6]A30!X59+[6]A30!Y59+[6]A32!B81</f>
        <v>741</v>
      </c>
      <c r="J48" s="4">
        <f t="shared" si="9"/>
        <v>0.43724696356275305</v>
      </c>
      <c r="K48" s="106">
        <f>[7]A07!X58+[7]A07!AB58+[7]A30!B59+[7]A30!C59+[7]A30!D59+[7]A30!E59+[7]A30!F59+[7]A30!G59+[7]A30!H59+[7]A30!I59+[7]A32!Z81+[7]A32!AE81</f>
        <v>244</v>
      </c>
      <c r="L48" s="106">
        <f>[7]A07!B58+[7]A30!R59+[7]A30!S59+[7]A30!T59+[7]A30!U59+[7]A30!V59+[7]A30!W59+[7]A30!X59+[7]A30!Y59+[7]A32!B81</f>
        <v>673</v>
      </c>
      <c r="M48" s="4">
        <f t="shared" si="10"/>
        <v>0.36255572065378899</v>
      </c>
      <c r="N48" s="106">
        <f>[8]A07!X58+[8]A07!AB58+[8]A30!B59+[8]A30!C59+[8]A30!D59+[8]A30!E59+[8]A30!F59+[8]A30!G59+[8]A30!H59+[8]A30!I59+[8]A32!Z81+[8]A32!AE81</f>
        <v>120</v>
      </c>
      <c r="O48" s="106">
        <f>[8]A07!B58+[8]A30!R59+[8]A30!S59+[8]A30!T59+[8]A30!U59+[8]A30!V59+[8]A30!W59+[8]A30!X59+[8]A30!Y59+[8]A32!B81</f>
        <v>403</v>
      </c>
      <c r="P48" s="150">
        <f t="shared" si="0"/>
        <v>0.29776674937965258</v>
      </c>
      <c r="Q48" s="6">
        <f>[15]A07!X58+[15]A07!AB58+[15]A30!B59+[15]A30!C59+[15]A30!D59+[15]A30!E59+[15]A30!F59+[15]A30!G59+[15]A30!H59+[15]A30!I59+[15]A32!Z81+[15]A32!AE81</f>
        <v>293</v>
      </c>
      <c r="R48" s="6">
        <f>[15]A07!B58+[15]A30!R59+[15]A30!S59+[15]A30!T59+[15]A30!U59+[15]A30!V59+[15]A30!W59+[15]A30!X59+[15]A30!Y59+[15]A32!B81</f>
        <v>568</v>
      </c>
      <c r="S48" s="150">
        <f t="shared" si="1"/>
        <v>0.51584507042253525</v>
      </c>
      <c r="T48" s="6">
        <f>[10]A07!X58+[10]A07!AB58+[10]A30!B59+[10]A30!C59+[10]A30!D59+[10]A30!E59+[10]A30!F59+[10]A30!G59+[10]A30!H59+[10]A30!I59+[10]A32!Z81+[10]A32!AE81</f>
        <v>318</v>
      </c>
      <c r="U48" s="6">
        <f>[10]A07!B58+[10]A30!R59+[10]A30!S59+[10]A30!T59+[10]A30!U59+[10]A30!V59+[10]A30!W59+[10]A30!X59+[10]A30!Y59+[10]A32!B81</f>
        <v>561</v>
      </c>
      <c r="V48" s="150">
        <f t="shared" si="2"/>
        <v>0.5668449197860963</v>
      </c>
      <c r="W48" s="6">
        <f>[11]A07!X58+[11]A07!AB58+[11]A30!B59+[11]A30!C59+[11]A30!D59+[11]A30!E59+[11]A30!F59+[11]A30!G59+[11]A30!H59+[11]A30!I59+[11]A32!Z81+[11]A32!AE81</f>
        <v>310</v>
      </c>
      <c r="X48" s="6">
        <f>[11]A07!B58+[11]A30!R59+[11]A30!S59+[11]A30!T59+[11]A30!U59+[11]A30!V59+[11]A30!W59+[11]A30!X59+[11]A30!Y59+[11]A32!B81</f>
        <v>590</v>
      </c>
      <c r="Y48" s="150">
        <f t="shared" si="3"/>
        <v>0.52542372881355937</v>
      </c>
      <c r="Z48" s="6">
        <f>[12]A07!X58+[12]A07!AB58+[12]A30!B59+[12]A30!C59+[12]A30!D59+[12]A30!E59+[12]A30!F59+[12]A30!G59+[12]A30!H59+[12]A30!I59+[12]A32!Z81+[12]A32!AE81</f>
        <v>333</v>
      </c>
      <c r="AA48" s="6">
        <f>[12]A07!B58+[12]A30!R59+[12]A30!S59+[12]A30!T59+[12]A30!U59+[12]A30!V59+[12]A30!W59+[12]A30!X59+[12]A30!Y59+[12]A32!B81</f>
        <v>672</v>
      </c>
      <c r="AB48" s="150">
        <f t="shared" si="4"/>
        <v>0.4955357142857143</v>
      </c>
      <c r="AC48" s="6">
        <f>[13]A07!X58+[13]A07!AB58+[13]A30!B59+[13]A30!C59+[13]A30!D59+[13]A30!E59+[13]A30!F59+[13]A30!G59+[13]A30!H59+[13]A30!I59+[13]A32!Z81+[13]A32!AE81</f>
        <v>404</v>
      </c>
      <c r="AD48" s="6">
        <f>[13]A07!B58+[13]A30!R59+[13]A30!S59+[13]A30!T59+[13]A30!U59+[13]A30!V59+[13]A30!W59+[13]A30!X59+[13]A30!Y59+[13]A32!B81</f>
        <v>748</v>
      </c>
      <c r="AE48" s="150">
        <f t="shared" si="5"/>
        <v>0.5401069518716578</v>
      </c>
      <c r="AF48" s="6">
        <f>[14]A07!X58+[14]A07!AB58+[14]A30!B59+[14]A30!C59+[14]A30!D59+[14]A30!E59+[14]A30!F59+[14]A30!G59+[14]A30!H59+[14]A30!I59+[14]A32!Z81+[14]A32!AE81</f>
        <v>401</v>
      </c>
      <c r="AG48" s="6">
        <f>[14]A07!B58+[14]A30!R59+[14]A30!S59+[14]A30!T59+[14]A30!U59+[14]A30!V59+[14]A30!W59+[14]A30!X59+[14]A30!Y59+[14]A32!B81</f>
        <v>689</v>
      </c>
      <c r="AH48" s="150">
        <f t="shared" si="6"/>
        <v>0.58200290275761979</v>
      </c>
      <c r="AI48" s="6"/>
      <c r="AJ48" s="6"/>
      <c r="AK48" s="4" t="e">
        <f t="shared" si="11"/>
        <v>#DIV/0!</v>
      </c>
      <c r="AL48" s="94">
        <f t="shared" si="16"/>
        <v>1393</v>
      </c>
      <c r="AM48" s="94">
        <f t="shared" si="13"/>
        <v>3195</v>
      </c>
      <c r="AN48" s="4">
        <f t="shared" si="14"/>
        <v>0.43599374021909232</v>
      </c>
      <c r="AO48" s="109" t="str">
        <f>IF(AN48&gt;45%,"1","0")</f>
        <v>0</v>
      </c>
      <c r="AP48" s="1"/>
      <c r="AQ48" s="1"/>
      <c r="AT48" s="151" t="s">
        <v>176</v>
      </c>
    </row>
    <row r="49" spans="1:46" x14ac:dyDescent="0.15">
      <c r="A49" s="77" t="s">
        <v>134</v>
      </c>
      <c r="B49" s="106">
        <f>[4]A07!X59+[4]A07!AB59+[4]A30!B60+[4]A30!C60+[4]A30!D60+[4]A30!E60+[4]A30!F60+[4]A30!G60+[4]A30!H60+[4]A30!I60+[4]A32!Z82+[4]A32!AE82</f>
        <v>43</v>
      </c>
      <c r="C49" s="106">
        <f>[4]A07!B59+[4]A30!R60+[4]A30!S60+[4]A30!T60+[4]A30!U60+[4]A30!V60+[4]A30!W60+[4]A30!X60+[4]A30!Y60+[4]A32!B82</f>
        <v>88</v>
      </c>
      <c r="D49" s="4">
        <f t="shared" si="7"/>
        <v>0.48863636363636365</v>
      </c>
      <c r="E49" s="106">
        <f>[5]A07!X59+[5]A07!AB59+[5]A30!B60+[5]A30!C60+[5]A30!D60+[5]A30!E60+[5]A30!F60+[5]A30!G60+[5]A30!H60+[5]A30!I60+[5]A32!Z82+[5]A32!AE82</f>
        <v>43</v>
      </c>
      <c r="F49" s="106">
        <f>[5]A07!B59+[5]A30!R60+[5]A30!S60+[5]A30!T60+[5]A30!U60+[5]A30!V60+[5]A30!W60+[5]A30!X60+[5]A30!Y60+[5]A32!B82</f>
        <v>128</v>
      </c>
      <c r="G49" s="4">
        <f t="shared" si="8"/>
        <v>0.3359375</v>
      </c>
      <c r="H49" s="106">
        <f>[6]A07!X59+[6]A07!AB59+[6]A30!B60+[6]A30!C60+[6]A30!D60+[6]A30!E60+[6]A30!F60+[6]A30!G60+[6]A30!H60+[6]A30!I60+[6]A32!Z82+[6]A32!AE82</f>
        <v>60</v>
      </c>
      <c r="I49" s="106">
        <f>[6]A07!B59+[6]A30!R60+[6]A30!S60+[6]A30!T60+[6]A30!U60+[6]A30!V60+[6]A30!W60+[6]A30!X60+[6]A30!Y60+[6]A32!B82</f>
        <v>172</v>
      </c>
      <c r="J49" s="4">
        <f t="shared" si="9"/>
        <v>0.34883720930232559</v>
      </c>
      <c r="K49" s="106">
        <f>[7]A07!X59+[7]A07!AB59+[7]A30!B60+[7]A30!C60+[7]A30!D60+[7]A30!E60+[7]A30!F60+[7]A30!G60+[7]A30!H60+[7]A30!I60+[7]A32!Z82+[7]A32!AE82</f>
        <v>57</v>
      </c>
      <c r="L49" s="106">
        <f>[7]A07!B59+[7]A30!R60+[7]A30!S60+[7]A30!T60+[7]A30!U60+[7]A30!V60+[7]A30!W60+[7]A30!X60+[7]A30!Y60+[7]A32!B82</f>
        <v>142</v>
      </c>
      <c r="M49" s="4">
        <f t="shared" si="10"/>
        <v>0.40140845070422537</v>
      </c>
      <c r="N49" s="106">
        <f>[8]A07!X59+[8]A07!AB59+[8]A30!B60+[8]A30!C60+[8]A30!D60+[8]A30!E60+[8]A30!F60+[8]A30!G60+[8]A30!H60+[8]A30!I60+[8]A32!Z82+[8]A32!AE82</f>
        <v>53</v>
      </c>
      <c r="O49" s="106">
        <f>[8]A07!B59+[8]A30!R60+[8]A30!S60+[8]A30!T60+[8]A30!U60+[8]A30!V60+[8]A30!W60+[8]A30!X60+[8]A30!Y60+[8]A32!B82</f>
        <v>124</v>
      </c>
      <c r="P49" s="150">
        <f t="shared" si="0"/>
        <v>0.42741935483870969</v>
      </c>
      <c r="Q49" s="6">
        <f>[15]A07!X59+[15]A07!AB59+[15]A30!B60+[15]A30!C60+[15]A30!D60+[15]A30!E60+[15]A30!F60+[15]A30!G60+[15]A30!H60+[15]A30!I60+[15]A32!Z82+[15]A32!AE82</f>
        <v>43</v>
      </c>
      <c r="R49" s="6">
        <f>[15]A07!B59+[15]A30!R60+[15]A30!S60+[15]A30!T60+[15]A30!U60+[15]A30!V60+[15]A30!W60+[15]A30!X60+[15]A30!Y60+[15]A32!B82</f>
        <v>125</v>
      </c>
      <c r="S49" s="150">
        <f t="shared" si="1"/>
        <v>0.34399999999999997</v>
      </c>
      <c r="T49" s="6">
        <f>[10]A07!X59+[10]A07!AB59+[10]A30!B60+[10]A30!C60+[10]A30!D60+[10]A30!E60+[10]A30!F60+[10]A30!G60+[10]A30!H60+[10]A30!I60+[10]A32!Z82+[10]A32!AE82</f>
        <v>54</v>
      </c>
      <c r="U49" s="6">
        <f>[10]A07!B59+[10]A30!R60+[10]A30!S60+[10]A30!T60+[10]A30!U60+[10]A30!V60+[10]A30!W60+[10]A30!X60+[10]A30!Y60+[10]A32!B82</f>
        <v>132</v>
      </c>
      <c r="V49" s="150">
        <f t="shared" si="2"/>
        <v>0.40909090909090912</v>
      </c>
      <c r="W49" s="6">
        <f>[11]A07!X59+[11]A07!AB59+[11]A30!B60+[11]A30!C60+[11]A30!D60+[11]A30!E60+[11]A30!F60+[11]A30!G60+[11]A30!H60+[11]A30!I60+[11]A32!Z82+[11]A32!AE82</f>
        <v>57</v>
      </c>
      <c r="X49" s="6">
        <f>[11]A07!B59+[11]A30!R60+[11]A30!S60+[11]A30!T60+[11]A30!U60+[11]A30!V60+[11]A30!W60+[11]A30!X60+[11]A30!Y60+[11]A32!B82</f>
        <v>110</v>
      </c>
      <c r="Y49" s="150">
        <f t="shared" si="3"/>
        <v>0.51818181818181819</v>
      </c>
      <c r="Z49" s="6">
        <f>[12]A07!X59+[12]A07!AB59+[12]A30!B60+[12]A30!C60+[12]A30!D60+[12]A30!E60+[12]A30!F60+[12]A30!G60+[12]A30!H60+[12]A30!I60+[12]A32!Z82+[12]A32!AE82</f>
        <v>65</v>
      </c>
      <c r="AA49" s="6">
        <f>[12]A07!B59+[12]A30!R60+[12]A30!S60+[12]A30!T60+[12]A30!U60+[12]A30!V60+[12]A30!W60+[12]A30!X60+[12]A30!Y60+[12]A32!B82</f>
        <v>127</v>
      </c>
      <c r="AB49" s="150">
        <f t="shared" si="4"/>
        <v>0.51181102362204722</v>
      </c>
      <c r="AC49" s="6">
        <f>[13]A07!X59+[13]A07!AB59+[13]A30!B60+[13]A30!C60+[13]A30!D60+[13]A30!E60+[13]A30!F60+[13]A30!G60+[13]A30!H60+[13]A30!I60+[13]A32!Z82+[13]A32!AE82</f>
        <v>56</v>
      </c>
      <c r="AD49" s="6">
        <f>[13]A07!B59+[13]A30!R60+[13]A30!S60+[13]A30!T60+[13]A30!U60+[13]A30!V60+[13]A30!W60+[13]A30!X60+[13]A30!Y60+[13]A32!B82</f>
        <v>128</v>
      </c>
      <c r="AE49" s="150">
        <f t="shared" si="5"/>
        <v>0.4375</v>
      </c>
      <c r="AF49" s="6">
        <f>[14]A07!X59+[14]A07!AB59+[14]A30!B60+[14]A30!C60+[14]A30!D60+[14]A30!E60+[14]A30!F60+[14]A30!G60+[14]A30!H60+[14]A30!I60+[14]A32!Z82+[14]A32!AE82</f>
        <v>21</v>
      </c>
      <c r="AG49" s="6">
        <f>[14]A07!B59+[14]A30!R60+[14]A30!S60+[14]A30!T60+[14]A30!U60+[14]A30!V60+[14]A30!W60+[14]A30!X60+[14]A30!Y60+[14]A32!B82</f>
        <v>56</v>
      </c>
      <c r="AH49" s="150">
        <f t="shared" si="6"/>
        <v>0.375</v>
      </c>
      <c r="AI49" s="6"/>
      <c r="AJ49" s="6"/>
      <c r="AK49" s="4" t="e">
        <f t="shared" si="11"/>
        <v>#DIV/0!</v>
      </c>
      <c r="AL49" s="94">
        <f t="shared" si="16"/>
        <v>256</v>
      </c>
      <c r="AM49" s="94">
        <f t="shared" si="13"/>
        <v>654</v>
      </c>
      <c r="AN49" s="4">
        <f t="shared" si="14"/>
        <v>0.39143730886850153</v>
      </c>
      <c r="AO49" s="109" t="str">
        <f>IF(AN49&gt;45%,"1","0")</f>
        <v>0</v>
      </c>
      <c r="AP49" s="1"/>
      <c r="AQ49" s="1"/>
      <c r="AT49" s="151" t="s">
        <v>176</v>
      </c>
    </row>
    <row r="50" spans="1:46" x14ac:dyDescent="0.15">
      <c r="A50" s="77" t="s">
        <v>135</v>
      </c>
      <c r="B50" s="106">
        <f>[4]A07!X60+[4]A07!AB60+[4]A30!B61+[4]A30!C61+[4]A30!D61+[4]A30!E61+[4]A30!F61+[4]A30!G61+[4]A30!H61+[4]A30!I61+[4]A32!Z83+[4]A32!AE83</f>
        <v>132</v>
      </c>
      <c r="C50" s="106">
        <f>[4]A07!B60+[4]A30!R61+[4]A30!S61+[4]A30!T61+[4]A30!U61+[4]A30!V61+[4]A30!W61+[4]A30!X61+[4]A30!Y61+[4]A32!B83</f>
        <v>605</v>
      </c>
      <c r="D50" s="4">
        <f t="shared" si="7"/>
        <v>0.21818181818181817</v>
      </c>
      <c r="E50" s="106">
        <f>[5]A07!X60+[5]A07!AB60+[5]A30!B61+[5]A30!C61+[5]A30!D61+[5]A30!E61+[5]A30!F61+[5]A30!G61+[5]A30!H61+[5]A30!I61+[5]A32!Z83+[5]A32!AE83</f>
        <v>100</v>
      </c>
      <c r="F50" s="106">
        <f>[5]A07!B60+[5]A30!R61+[5]A30!S61+[5]A30!T61+[5]A30!U61+[5]A30!V61+[5]A30!W61+[5]A30!X61+[5]A30!Y61+[5]A32!B83</f>
        <v>524</v>
      </c>
      <c r="G50" s="4">
        <f t="shared" si="8"/>
        <v>0.19083969465648856</v>
      </c>
      <c r="H50" s="106">
        <f>[6]A07!X60+[6]A07!AB60+[6]A30!B61+[6]A30!C61+[6]A30!D61+[6]A30!E61+[6]A30!F61+[6]A30!G61+[6]A30!H61+[6]A30!I61+[6]A32!Z83+[6]A32!AE83</f>
        <v>160</v>
      </c>
      <c r="I50" s="106">
        <f>[6]A07!B60+[6]A30!R61+[6]A30!S61+[6]A30!T61+[6]A30!U61+[6]A30!V61+[6]A30!W61+[6]A30!X61+[6]A30!Y61+[6]A32!B83</f>
        <v>702</v>
      </c>
      <c r="J50" s="4">
        <f t="shared" si="9"/>
        <v>0.22792022792022792</v>
      </c>
      <c r="K50" s="106">
        <f>[7]A07!X60+[7]A07!AB60+[7]A30!B61+[7]A30!C61+[7]A30!D61+[7]A30!E61+[7]A30!F61+[7]A30!G61+[7]A30!H61+[7]A30!I61+[7]A32!Z83+[7]A32!AE83</f>
        <v>118</v>
      </c>
      <c r="L50" s="106">
        <f>[7]A07!B60+[7]A30!R61+[7]A30!S61+[7]A30!T61+[7]A30!U61+[7]A30!V61+[7]A30!W61+[7]A30!X61+[7]A30!Y61+[7]A32!B83</f>
        <v>646</v>
      </c>
      <c r="M50" s="4">
        <f t="shared" si="10"/>
        <v>0.1826625386996904</v>
      </c>
      <c r="N50" s="106">
        <f>[8]A07!X60+[8]A07!AB60+[8]A30!B61+[8]A30!C61+[8]A30!D61+[8]A30!E61+[8]A30!F61+[8]A30!G61+[8]A30!H61+[8]A30!I61+[8]A32!Z83+[8]A32!AE83</f>
        <v>100</v>
      </c>
      <c r="O50" s="106">
        <f>[8]A07!B60+[8]A30!R61+[8]A30!S61+[8]A30!T61+[8]A30!U61+[8]A30!V61+[8]A30!W61+[8]A30!X61+[8]A30!Y61+[8]A32!B83</f>
        <v>556</v>
      </c>
      <c r="P50" s="150">
        <f t="shared" si="0"/>
        <v>0.17985611510791366</v>
      </c>
      <c r="Q50" s="6">
        <f>[15]A07!X60+[15]A07!AB60+[15]A30!B61+[15]A30!C61+[15]A30!D61+[15]A30!E61+[15]A30!F61+[15]A30!G61+[15]A30!H61+[15]A30!I61+[15]A32!Z83+[15]A32!AE83</f>
        <v>118</v>
      </c>
      <c r="R50" s="6">
        <f>[15]A07!B60+[15]A30!R61+[15]A30!S61+[15]A30!T61+[15]A30!U61+[15]A30!V61+[15]A30!W61+[15]A30!X61+[15]A30!Y61+[15]A32!B83</f>
        <v>462</v>
      </c>
      <c r="S50" s="150">
        <f t="shared" si="1"/>
        <v>0.25541125541125542</v>
      </c>
      <c r="T50" s="6">
        <f>[10]A07!X60+[10]A07!AB60+[10]A30!B61+[10]A30!C61+[10]A30!D61+[10]A30!E61+[10]A30!F61+[10]A30!G61+[10]A30!H61+[10]A30!I61+[10]A32!Z83+[10]A32!AE83</f>
        <v>107</v>
      </c>
      <c r="U50" s="6">
        <f>[10]A07!B60+[10]A30!R61+[10]A30!S61+[10]A30!T61+[10]A30!U61+[10]A30!V61+[10]A30!W61+[10]A30!X61+[10]A30!Y61+[10]A32!B83</f>
        <v>439</v>
      </c>
      <c r="V50" s="150">
        <f t="shared" si="2"/>
        <v>0.24373576309794989</v>
      </c>
      <c r="W50" s="6">
        <f>[11]A07!X60+[11]A07!AB60+[11]A30!B61+[11]A30!C61+[11]A30!D61+[11]A30!E61+[11]A30!F61+[11]A30!G61+[11]A30!H61+[11]A30!I61+[11]A32!Z83+[11]A32!AE83</f>
        <v>188</v>
      </c>
      <c r="X50" s="6">
        <f>[11]A07!B60+[11]A30!R61+[11]A30!S61+[11]A30!T61+[11]A30!U61+[11]A30!V61+[11]A30!W61+[11]A30!X61+[11]A30!Y61+[11]A32!B83</f>
        <v>559</v>
      </c>
      <c r="Y50" s="150">
        <f t="shared" si="3"/>
        <v>0.3363148479427549</v>
      </c>
      <c r="Z50" s="6">
        <f>[12]A07!X60+[12]A07!AB60+[12]A30!B61+[12]A30!C61+[12]A30!D61+[12]A30!E61+[12]A30!F61+[12]A30!G61+[12]A30!H61+[12]A30!I61+[12]A32!Z83+[12]A32!AE83</f>
        <v>86</v>
      </c>
      <c r="AA50" s="6">
        <f>[12]A07!B60+[12]A30!R61+[12]A30!S61+[12]A30!T61+[12]A30!U61+[12]A30!V61+[12]A30!W61+[12]A30!X61+[12]A30!Y61+[12]A32!B83</f>
        <v>375</v>
      </c>
      <c r="AB50" s="150">
        <f t="shared" si="4"/>
        <v>0.22933333333333333</v>
      </c>
      <c r="AC50" s="6">
        <f>[13]A07!X60+[13]A07!AB60+[13]A30!B61+[13]A30!C61+[13]A30!D61+[13]A30!E61+[13]A30!F61+[13]A30!G61+[13]A30!H61+[13]A30!I61+[13]A32!Z83+[13]A32!AE83</f>
        <v>121</v>
      </c>
      <c r="AD50" s="6">
        <f>[13]A07!B60+[13]A30!R61+[13]A30!S61+[13]A30!T61+[13]A30!U61+[13]A30!V61+[13]A30!W61+[13]A30!X61+[13]A30!Y61+[13]A32!B83</f>
        <v>523</v>
      </c>
      <c r="AE50" s="150">
        <f t="shared" si="5"/>
        <v>0.23135755258126195</v>
      </c>
      <c r="AF50" s="6">
        <f>[14]A07!X60+[14]A07!AB60+[14]A30!B61+[14]A30!C61+[14]A30!D61+[14]A30!E61+[14]A30!F61+[14]A30!G61+[14]A30!H61+[14]A30!I61+[14]A32!Z83+[14]A32!AE83</f>
        <v>89</v>
      </c>
      <c r="AG50" s="6">
        <f>[14]A07!B60+[14]A30!R61+[14]A30!S61+[14]A30!T61+[14]A30!U61+[14]A30!V61+[14]A30!W61+[14]A30!X61+[14]A30!Y61+[14]A32!B83</f>
        <v>411</v>
      </c>
      <c r="AH50" s="150">
        <f t="shared" si="6"/>
        <v>0.21654501216545013</v>
      </c>
      <c r="AI50" s="6"/>
      <c r="AJ50" s="6"/>
      <c r="AK50" s="4" t="e">
        <f t="shared" si="11"/>
        <v>#DIV/0!</v>
      </c>
      <c r="AL50" s="94">
        <f t="shared" si="16"/>
        <v>610</v>
      </c>
      <c r="AM50" s="94">
        <f t="shared" si="13"/>
        <v>3033</v>
      </c>
      <c r="AN50" s="4">
        <f t="shared" si="14"/>
        <v>0.20112100230794594</v>
      </c>
      <c r="AO50" s="109" t="str">
        <f t="shared" si="15"/>
        <v>0</v>
      </c>
      <c r="AP50" s="1"/>
      <c r="AQ50" s="1"/>
      <c r="AT50" s="151" t="s">
        <v>175</v>
      </c>
    </row>
    <row r="51" spans="1:46" x14ac:dyDescent="0.15">
      <c r="A51" s="77" t="s">
        <v>136</v>
      </c>
      <c r="B51" s="106">
        <f>[4]A07!X61+[4]A07!AB61+[4]A30!B62+[4]A30!C62+[4]A30!D62+[4]A30!E62+[4]A30!F62+[4]A30!G62+[4]A30!H62+[4]A30!I62+[4]A32!Z84+[4]A32!AE84</f>
        <v>59</v>
      </c>
      <c r="C51" s="106">
        <f>[4]A07!B61+[4]A30!R62+[4]A30!S62+[4]A30!T62+[4]A30!U62+[4]A30!V62+[4]A30!W62+[4]A30!X62+[4]A30!Y62+[4]A32!B84</f>
        <v>258</v>
      </c>
      <c r="D51" s="4">
        <f t="shared" si="7"/>
        <v>0.22868217054263565</v>
      </c>
      <c r="E51" s="106">
        <f>[5]A07!X61+[5]A07!AB61+[5]A30!B62+[5]A30!C62+[5]A30!D62+[5]A30!E62+[5]A30!F62+[5]A30!G62+[5]A30!H62+[5]A30!I62+[5]A32!Z84+[5]A32!AE84</f>
        <v>29</v>
      </c>
      <c r="F51" s="106">
        <f>[5]A07!B61+[5]A30!R62+[5]A30!S62+[5]A30!T62+[5]A30!U62+[5]A30!V62+[5]A30!W62+[5]A30!X62+[5]A30!Y62+[5]A32!B84</f>
        <v>154</v>
      </c>
      <c r="G51" s="4">
        <f t="shared" si="8"/>
        <v>0.18831168831168832</v>
      </c>
      <c r="H51" s="106">
        <f>[6]A07!X61+[6]A07!AB61+[6]A30!B62+[6]A30!C62+[6]A30!D62+[6]A30!E62+[6]A30!F62+[6]A30!G62+[6]A30!H62+[6]A30!I62+[6]A32!Z84+[6]A32!AE84</f>
        <v>38</v>
      </c>
      <c r="I51" s="106">
        <f>[6]A07!B61+[6]A30!R62+[6]A30!S62+[6]A30!T62+[6]A30!U62+[6]A30!V62+[6]A30!W62+[6]A30!X62+[6]A30!Y62+[6]A32!B84</f>
        <v>272</v>
      </c>
      <c r="J51" s="4">
        <f t="shared" si="9"/>
        <v>0.13970588235294118</v>
      </c>
      <c r="K51" s="106">
        <f>[7]A07!X61+[7]A07!AB61+[7]A30!B62+[7]A30!C62+[7]A30!D62+[7]A30!E62+[7]A30!F62+[7]A30!G62+[7]A30!H62+[7]A30!I62+[7]A32!Z84+[7]A32!AE84</f>
        <v>28</v>
      </c>
      <c r="L51" s="106">
        <f>[7]A07!B61+[7]A30!R62+[7]A30!S62+[7]A30!T62+[7]A30!U62+[7]A30!V62+[7]A30!W62+[7]A30!X62+[7]A30!Y62+[7]A32!B84</f>
        <v>332</v>
      </c>
      <c r="M51" s="4">
        <f t="shared" si="10"/>
        <v>8.4337349397590355E-2</v>
      </c>
      <c r="N51" s="106">
        <f>[8]A07!X61+[8]A07!AB61+[8]A30!B62+[8]A30!C62+[8]A30!D62+[8]A30!E62+[8]A30!F62+[8]A30!G62+[8]A30!H62+[8]A30!I62+[8]A32!Z84+[8]A32!AE84</f>
        <v>34</v>
      </c>
      <c r="O51" s="106">
        <f>[8]A07!B61+[8]A30!R62+[8]A30!S62+[8]A30!T62+[8]A30!U62+[8]A30!V62+[8]A30!W62+[8]A30!X62+[8]A30!Y62+[8]A32!B84</f>
        <v>293</v>
      </c>
      <c r="P51" s="150">
        <f t="shared" si="0"/>
        <v>0.11604095563139932</v>
      </c>
      <c r="Q51" s="6">
        <f>[15]A07!X61+[15]A07!AB61+[15]A30!B62+[15]A30!C62+[15]A30!D62+[15]A30!E62+[15]A30!F62+[15]A30!G62+[15]A30!H62+[15]A30!I62+[15]A32!Z84+[15]A32!AE84</f>
        <v>39</v>
      </c>
      <c r="R51" s="6">
        <f>[15]A07!B61+[15]A30!R62+[15]A30!S62+[15]A30!T62+[15]A30!U62+[15]A30!V62+[15]A30!W62+[15]A30!X62+[15]A30!Y62+[15]A32!B84</f>
        <v>235</v>
      </c>
      <c r="S51" s="150">
        <f t="shared" si="1"/>
        <v>0.16595744680851063</v>
      </c>
      <c r="T51" s="6">
        <f>[10]A07!X61+[10]A07!AB61+[10]A30!B62+[10]A30!C62+[10]A30!D62+[10]A30!E62+[10]A30!F62+[10]A30!G62+[10]A30!H62+[10]A30!I62+[10]A32!Z84+[10]A32!AE84</f>
        <v>39</v>
      </c>
      <c r="U51" s="6">
        <f>[10]A07!B61+[10]A30!R62+[10]A30!S62+[10]A30!T62+[10]A30!U62+[10]A30!V62+[10]A30!W62+[10]A30!X62+[10]A30!Y62+[10]A32!B84</f>
        <v>245</v>
      </c>
      <c r="V51" s="150">
        <f t="shared" si="2"/>
        <v>0.15918367346938775</v>
      </c>
      <c r="W51" s="6">
        <f>[11]A07!X61+[11]A07!AB61+[11]A30!B62+[11]A30!C62+[11]A30!D62+[11]A30!E62+[11]A30!F62+[11]A30!G62+[11]A30!H62+[11]A30!I62+[11]A32!Z84+[11]A32!AE84</f>
        <v>57</v>
      </c>
      <c r="X51" s="6">
        <f>[11]A07!B61+[11]A30!R62+[11]A30!S62+[11]A30!T62+[11]A30!U62+[11]A30!V62+[11]A30!W62+[11]A30!X62+[11]A30!Y62+[11]A32!B84</f>
        <v>333</v>
      </c>
      <c r="Y51" s="150">
        <f t="shared" si="3"/>
        <v>0.17117117117117117</v>
      </c>
      <c r="Z51" s="6">
        <f>[12]A07!X61+[12]A07!AB61+[12]A30!B62+[12]A30!C62+[12]A30!D62+[12]A30!E62+[12]A30!F62+[12]A30!G62+[12]A30!H62+[12]A30!I62+[12]A32!Z84+[12]A32!AE84</f>
        <v>39</v>
      </c>
      <c r="AA51" s="6">
        <f>[12]A07!B61+[12]A30!R62+[12]A30!S62+[12]A30!T62+[12]A30!U62+[12]A30!V62+[12]A30!W62+[12]A30!X62+[12]A30!Y62+[12]A32!B84</f>
        <v>297</v>
      </c>
      <c r="AB51" s="150">
        <f t="shared" si="4"/>
        <v>0.13131313131313133</v>
      </c>
      <c r="AC51" s="6">
        <f>[13]A07!X61+[13]A07!AB61+[13]A30!B62+[13]A30!C62+[13]A30!D62+[13]A30!E62+[13]A30!F62+[13]A30!G62+[13]A30!H62+[13]A30!I62+[13]A32!Z84+[13]A32!AE84</f>
        <v>36</v>
      </c>
      <c r="AD51" s="6">
        <f>[13]A07!B61+[13]A30!R62+[13]A30!S62+[13]A30!T62+[13]A30!U62+[13]A30!V62+[13]A30!W62+[13]A30!X62+[13]A30!Y62+[13]A32!B84</f>
        <v>295</v>
      </c>
      <c r="AE51" s="150">
        <f t="shared" si="5"/>
        <v>0.12203389830508475</v>
      </c>
      <c r="AF51" s="6">
        <f>[14]A07!X61+[14]A07!AB61+[14]A30!B62+[14]A30!C62+[14]A30!D62+[14]A30!E62+[14]A30!F62+[14]A30!G62+[14]A30!H62+[14]A30!I62+[14]A32!Z84+[14]A32!AE84</f>
        <v>28</v>
      </c>
      <c r="AG51" s="6">
        <f>[14]A07!B61+[14]A30!R62+[14]A30!S62+[14]A30!T62+[14]A30!U62+[14]A30!V62+[14]A30!W62+[14]A30!X62+[14]A30!Y62+[14]A32!B84</f>
        <v>315</v>
      </c>
      <c r="AH51" s="150">
        <f t="shared" si="6"/>
        <v>8.8888888888888892E-2</v>
      </c>
      <c r="AI51" s="6"/>
      <c r="AJ51" s="6"/>
      <c r="AK51" s="4" t="e">
        <f t="shared" si="11"/>
        <v>#DIV/0!</v>
      </c>
      <c r="AL51" s="94">
        <f t="shared" si="16"/>
        <v>188</v>
      </c>
      <c r="AM51" s="94">
        <f t="shared" si="13"/>
        <v>1309</v>
      </c>
      <c r="AN51" s="4">
        <f t="shared" si="14"/>
        <v>0.14362108479755539</v>
      </c>
      <c r="AO51" s="109" t="str">
        <f t="shared" si="15"/>
        <v>0</v>
      </c>
      <c r="AP51" s="1"/>
      <c r="AQ51" s="1"/>
      <c r="AT51" s="151" t="s">
        <v>175</v>
      </c>
    </row>
    <row r="52" spans="1:46" x14ac:dyDescent="0.15">
      <c r="A52" s="77" t="s">
        <v>137</v>
      </c>
      <c r="B52" s="106">
        <f>[4]A07!X62+[4]A07!AB62+[4]A30!B63+[4]A30!C63+[4]A30!D63+[4]A30!E63+[4]A30!F63+[4]A30!G63+[4]A30!H63+[4]A30!I63+[4]A32!Z85+[4]A32!AE85</f>
        <v>0</v>
      </c>
      <c r="C52" s="106">
        <f>[4]A07!B62+[4]A30!R63+[4]A30!S63+[4]A30!T63+[4]A30!U63+[4]A30!V63+[4]A30!W63+[4]A30!X63+[4]A30!Y63+[4]A32!B85</f>
        <v>0</v>
      </c>
      <c r="D52" s="4" t="str">
        <f t="shared" si="7"/>
        <v/>
      </c>
      <c r="E52" s="106">
        <f>[5]A07!X62+[5]A07!AB62+[5]A30!B63+[5]A30!C63+[5]A30!D63+[5]A30!E63+[5]A30!F63+[5]A30!G63+[5]A30!H63+[5]A30!I63+[5]A32!Z85+[5]A32!AE85</f>
        <v>0</v>
      </c>
      <c r="F52" s="106">
        <f>[5]A07!B62+[5]A30!R63+[5]A30!S63+[5]A30!T63+[5]A30!U63+[5]A30!V63+[5]A30!W63+[5]A30!X63+[5]A30!Y63+[5]A32!B85</f>
        <v>32</v>
      </c>
      <c r="G52" s="4">
        <f t="shared" si="8"/>
        <v>0</v>
      </c>
      <c r="H52" s="106">
        <f>[6]A07!X62+[6]A07!AB62+[6]A30!B63+[6]A30!C63+[6]A30!D63+[6]A30!E63+[6]A30!F63+[6]A30!G63+[6]A30!H63+[6]A30!I63+[6]A32!Z85+[6]A32!AE85</f>
        <v>0</v>
      </c>
      <c r="I52" s="106">
        <f>[6]A07!B62+[6]A30!R63+[6]A30!S63+[6]A30!T63+[6]A30!U63+[6]A30!V63+[6]A30!W63+[6]A30!X63+[6]A30!Y63+[6]A32!B85</f>
        <v>62</v>
      </c>
      <c r="J52" s="4">
        <f t="shared" si="9"/>
        <v>0</v>
      </c>
      <c r="K52" s="106">
        <f>[7]A07!X62+[7]A07!AB62+[7]A30!B63+[7]A30!C63+[7]A30!D63+[7]A30!E63+[7]A30!F63+[7]A30!G63+[7]A30!H63+[7]A30!I63+[7]A32!Z85+[7]A32!AE85</f>
        <v>0</v>
      </c>
      <c r="L52" s="106">
        <f>[7]A07!B62+[7]A30!R63+[7]A30!S63+[7]A30!T63+[7]A30!U63+[7]A30!V63+[7]A30!W63+[7]A30!X63+[7]A30!Y63+[7]A32!B85</f>
        <v>60</v>
      </c>
      <c r="M52" s="4">
        <f t="shared" si="10"/>
        <v>0</v>
      </c>
      <c r="N52" s="106">
        <f>[8]A07!X62+[8]A07!AB62+[8]A30!B63+[8]A30!C63+[8]A30!D63+[8]A30!E63+[8]A30!F63+[8]A30!G63+[8]A30!H63+[8]A30!I63+[8]A32!Z85+[8]A32!AE85</f>
        <v>0</v>
      </c>
      <c r="O52" s="106">
        <f>[8]A07!B62+[8]A30!R63+[8]A30!S63+[8]A30!T63+[8]A30!U63+[8]A30!V63+[8]A30!W63+[8]A30!X63+[8]A30!Y63+[8]A32!B85</f>
        <v>70</v>
      </c>
      <c r="P52" s="150">
        <f t="shared" si="0"/>
        <v>0</v>
      </c>
      <c r="Q52" s="6">
        <f>[15]A07!X62+[15]A07!AB62+[15]A30!B63+[15]A30!C63+[15]A30!D63+[15]A30!E63+[15]A30!F63+[15]A30!G63+[15]A30!H63+[15]A30!I63+[15]A32!Z85+[15]A32!AE85</f>
        <v>0</v>
      </c>
      <c r="R52" s="6">
        <f>[15]A07!B62+[15]A30!R63+[15]A30!S63+[15]A30!T63+[15]A30!U63+[15]A30!V63+[15]A30!W63+[15]A30!X63+[15]A30!Y63+[15]A32!B85</f>
        <v>2</v>
      </c>
      <c r="S52" s="150">
        <f t="shared" si="1"/>
        <v>0</v>
      </c>
      <c r="T52" s="6">
        <f>[10]A07!X62+[10]A07!AB62+[10]A30!B63+[10]A30!C63+[10]A30!D63+[10]A30!E63+[10]A30!F63+[10]A30!G63+[10]A30!H63+[10]A30!I63+[10]A32!Z85+[10]A32!AE85</f>
        <v>0</v>
      </c>
      <c r="U52" s="6">
        <f>[10]A07!B62+[10]A30!R63+[10]A30!S63+[10]A30!T63+[10]A30!U63+[10]A30!V63+[10]A30!W63+[10]A30!X63+[10]A30!Y63+[10]A32!B85</f>
        <v>5</v>
      </c>
      <c r="V52" s="150">
        <f t="shared" si="2"/>
        <v>0</v>
      </c>
      <c r="W52" s="6">
        <f>[11]A07!X62+[11]A07!AB62+[11]A30!B63+[11]A30!C63+[11]A30!D63+[11]A30!E63+[11]A30!F63+[11]A30!G63+[11]A30!H63+[11]A30!I63+[11]A32!Z85+[11]A32!AE85</f>
        <v>0</v>
      </c>
      <c r="X52" s="6">
        <f>[11]A07!B62+[11]A30!R63+[11]A30!S63+[11]A30!T63+[11]A30!U63+[11]A30!V63+[11]A30!W63+[11]A30!X63+[11]A30!Y63+[11]A32!B85</f>
        <v>8</v>
      </c>
      <c r="Y52" s="150">
        <f t="shared" si="3"/>
        <v>0</v>
      </c>
      <c r="Z52" s="6">
        <f>[12]A07!X62+[12]A07!AB62+[12]A30!B63+[12]A30!C63+[12]A30!D63+[12]A30!E63+[12]A30!F63+[12]A30!G63+[12]A30!H63+[12]A30!I63+[12]A32!Z85+[12]A32!AE85</f>
        <v>0</v>
      </c>
      <c r="AA52" s="6">
        <f>[12]A07!B62+[12]A30!R63+[12]A30!S63+[12]A30!T63+[12]A30!U63+[12]A30!V63+[12]A30!W63+[12]A30!X63+[12]A30!Y63+[12]A32!B85</f>
        <v>1</v>
      </c>
      <c r="AB52" s="150">
        <f t="shared" si="4"/>
        <v>0</v>
      </c>
      <c r="AC52" s="6">
        <f>[13]A07!X62+[13]A07!AB62+[13]A30!B63+[13]A30!C63+[13]A30!D63+[13]A30!E63+[13]A30!F63+[13]A30!G63+[13]A30!H63+[13]A30!I63+[13]A32!Z85+[13]A32!AE85</f>
        <v>0</v>
      </c>
      <c r="AD52" s="6">
        <f>[13]A07!B62+[13]A30!R63+[13]A30!S63+[13]A30!T63+[13]A30!U63+[13]A30!V63+[13]A30!W63+[13]A30!X63+[13]A30!Y63+[13]A32!B85</f>
        <v>1</v>
      </c>
      <c r="AE52" s="150">
        <f t="shared" si="5"/>
        <v>0</v>
      </c>
      <c r="AF52" s="6">
        <f>[14]A07!X62+[14]A07!AB62+[14]A30!B63+[14]A30!C63+[14]A30!D63+[14]A30!E63+[14]A30!F63+[14]A30!G63+[14]A30!H63+[14]A30!I63+[14]A32!Z85+[14]A32!AE85</f>
        <v>0</v>
      </c>
      <c r="AG52" s="6">
        <f>[14]A07!B62+[14]A30!R63+[14]A30!S63+[14]A30!T63+[14]A30!U63+[14]A30!V63+[14]A30!W63+[14]A30!X63+[14]A30!Y63+[14]A32!B85</f>
        <v>2</v>
      </c>
      <c r="AH52" s="150">
        <f t="shared" si="6"/>
        <v>0</v>
      </c>
      <c r="AI52" s="6"/>
      <c r="AJ52" s="6"/>
      <c r="AK52" s="4" t="e">
        <f t="shared" si="11"/>
        <v>#DIV/0!</v>
      </c>
      <c r="AL52" s="94">
        <f t="shared" si="16"/>
        <v>0</v>
      </c>
      <c r="AM52" s="94">
        <f t="shared" si="13"/>
        <v>224</v>
      </c>
      <c r="AN52" s="4">
        <f t="shared" si="14"/>
        <v>0</v>
      </c>
      <c r="AO52" s="109" t="str">
        <f>IF(AN52&gt;33%,"1","0")</f>
        <v>0</v>
      </c>
      <c r="AP52" s="1"/>
      <c r="AQ52" s="1"/>
      <c r="AT52" s="151" t="s">
        <v>174</v>
      </c>
    </row>
    <row r="53" spans="1:46" x14ac:dyDescent="0.15">
      <c r="A53" s="77" t="s">
        <v>138</v>
      </c>
      <c r="B53" s="106">
        <f>[4]A07!X63+[4]A07!AB63+[4]A30!B64+[4]A30!C64+[4]A30!D64+[4]A30!E64+[4]A30!F64+[4]A30!G64+[4]A30!H64+[4]A30!I64+[4]A32!Z86+[4]A32!AE86</f>
        <v>0</v>
      </c>
      <c r="C53" s="106">
        <f>[4]A07!B63+[4]A30!R64+[4]A30!S64+[4]A30!T64+[4]A30!U64+[4]A30!V64+[4]A30!W64+[4]A30!X64+[4]A30!Y64+[4]A32!B86</f>
        <v>0</v>
      </c>
      <c r="D53" s="4" t="str">
        <f t="shared" si="7"/>
        <v/>
      </c>
      <c r="E53" s="106">
        <f>[5]A07!X63+[5]A07!AB63+[5]A30!B64+[5]A30!C64+[5]A30!D64+[5]A30!E64+[5]A30!F64+[5]A30!G64+[5]A30!H64+[5]A30!I64+[5]A32!Z86+[5]A32!AE86</f>
        <v>0</v>
      </c>
      <c r="F53" s="106">
        <f>[5]A07!B63+[5]A30!R64+[5]A30!S64+[5]A30!T64+[5]A30!U64+[5]A30!V64+[5]A30!W64+[5]A30!X64+[5]A30!Y64+[5]A32!B86</f>
        <v>0</v>
      </c>
      <c r="G53" s="4" t="str">
        <f t="shared" si="8"/>
        <v/>
      </c>
      <c r="H53" s="106">
        <f>[6]A07!X63+[6]A07!AB63+[6]A30!B64+[6]A30!C64+[6]A30!D64+[6]A30!E64+[6]A30!F64+[6]A30!G64+[6]A30!H64+[6]A30!I64+[6]A32!Z86+[6]A32!AE86</f>
        <v>0</v>
      </c>
      <c r="I53" s="106">
        <f>[6]A07!B63+[6]A30!R64+[6]A30!S64+[6]A30!T64+[6]A30!U64+[6]A30!V64+[6]A30!W64+[6]A30!X64+[6]A30!Y64+[6]A32!B86</f>
        <v>0</v>
      </c>
      <c r="J53" s="4" t="str">
        <f t="shared" si="9"/>
        <v/>
      </c>
      <c r="K53" s="106">
        <f>[7]A07!X63+[7]A07!AB63+[7]A30!B64+[7]A30!C64+[7]A30!D64+[7]A30!E64+[7]A30!F64+[7]A30!G64+[7]A30!H64+[7]A30!I64+[7]A32!Z86+[7]A32!AE86</f>
        <v>0</v>
      </c>
      <c r="L53" s="106">
        <f>[7]A07!B63+[7]A30!R64+[7]A30!S64+[7]A30!T64+[7]A30!U64+[7]A30!V64+[7]A30!W64+[7]A30!X64+[7]A30!Y64+[7]A32!B86</f>
        <v>0</v>
      </c>
      <c r="M53" s="4" t="str">
        <f t="shared" si="10"/>
        <v/>
      </c>
      <c r="N53" s="106">
        <f>[8]A07!X63+[8]A07!AB63+[8]A30!B64+[8]A30!C64+[8]A30!D64+[8]A30!E64+[8]A30!F64+[8]A30!G64+[8]A30!H64+[8]A30!I64+[8]A32!Z86+[8]A32!AE86</f>
        <v>0</v>
      </c>
      <c r="O53" s="106">
        <f>[8]A07!B63+[8]A30!R64+[8]A30!S64+[8]A30!T64+[8]A30!U64+[8]A30!V64+[8]A30!W64+[8]A30!X64+[8]A30!Y64+[8]A32!B86</f>
        <v>0</v>
      </c>
      <c r="P53" s="150" t="e">
        <f t="shared" si="0"/>
        <v>#DIV/0!</v>
      </c>
      <c r="Q53" s="6">
        <f>[15]A07!X63+[15]A07!AB63+[15]A30!B64+[15]A30!C64+[15]A30!D64+[15]A30!E64+[15]A30!F64+[15]A30!G64+[15]A30!H64+[15]A30!I64+[15]A32!Z86+[15]A32!AE86</f>
        <v>0</v>
      </c>
      <c r="R53" s="6">
        <f>[15]A07!B63+[15]A30!R64+[15]A30!S64+[15]A30!T64+[15]A30!U64+[15]A30!V64+[15]A30!W64+[15]A30!X64+[15]A30!Y64+[15]A32!B86</f>
        <v>0</v>
      </c>
      <c r="S53" s="150" t="e">
        <f t="shared" si="1"/>
        <v>#DIV/0!</v>
      </c>
      <c r="T53" s="6">
        <f>[10]A07!X63+[10]A07!AB63+[10]A30!B64+[10]A30!C64+[10]A30!D64+[10]A30!E64+[10]A30!F64+[10]A30!G64+[10]A30!H64+[10]A30!I64+[10]A32!Z86+[10]A32!AE86</f>
        <v>0</v>
      </c>
      <c r="U53" s="6">
        <f>[10]A07!B63+[10]A30!R64+[10]A30!S64+[10]A30!T64+[10]A30!U64+[10]A30!V64+[10]A30!W64+[10]A30!X64+[10]A30!Y64+[10]A32!B86</f>
        <v>0</v>
      </c>
      <c r="V53" s="150" t="e">
        <f t="shared" si="2"/>
        <v>#DIV/0!</v>
      </c>
      <c r="W53" s="6">
        <f>[11]A07!X63+[11]A07!AB63+[11]A30!B64+[11]A30!C64+[11]A30!D64+[11]A30!E64+[11]A30!F64+[11]A30!G64+[11]A30!H64+[11]A30!I64+[11]A32!Z86+[11]A32!AE86</f>
        <v>0</v>
      </c>
      <c r="X53" s="6">
        <f>[11]A07!B63+[11]A30!R64+[11]A30!S64+[11]A30!T64+[11]A30!U64+[11]A30!V64+[11]A30!W64+[11]A30!X64+[11]A30!Y64+[11]A32!B86</f>
        <v>0</v>
      </c>
      <c r="Y53" s="150" t="e">
        <f t="shared" si="3"/>
        <v>#DIV/0!</v>
      </c>
      <c r="Z53" s="6">
        <f>[12]A07!X63+[12]A07!AB63+[12]A30!B64+[12]A30!C64+[12]A30!D64+[12]A30!E64+[12]A30!F64+[12]A30!G64+[12]A30!H64+[12]A30!I64+[12]A32!Z86+[12]A32!AE86</f>
        <v>0</v>
      </c>
      <c r="AA53" s="6">
        <f>[12]A07!B63+[12]A30!R64+[12]A30!S64+[12]A30!T64+[12]A30!U64+[12]A30!V64+[12]A30!W64+[12]A30!X64+[12]A30!Y64+[12]A32!B86</f>
        <v>0</v>
      </c>
      <c r="AB53" s="150" t="e">
        <f t="shared" si="4"/>
        <v>#DIV/0!</v>
      </c>
      <c r="AC53" s="6">
        <f>[13]A07!X63+[13]A07!AB63+[13]A30!B64+[13]A30!C64+[13]A30!D64+[13]A30!E64+[13]A30!F64+[13]A30!G64+[13]A30!H64+[13]A30!I64+[13]A32!Z86+[13]A32!AE86</f>
        <v>0</v>
      </c>
      <c r="AD53" s="6">
        <f>[13]A07!B63+[13]A30!R64+[13]A30!S64+[13]A30!T64+[13]A30!U64+[13]A30!V64+[13]A30!W64+[13]A30!X64+[13]A30!Y64+[13]A32!B86</f>
        <v>0</v>
      </c>
      <c r="AE53" s="150" t="e">
        <f t="shared" si="5"/>
        <v>#DIV/0!</v>
      </c>
      <c r="AF53" s="6">
        <f>[14]A07!X63+[14]A07!AB63+[14]A30!B64+[14]A30!C64+[14]A30!D64+[14]A30!E64+[14]A30!F64+[14]A30!G64+[14]A30!H64+[14]A30!I64+[14]A32!Z86+[14]A32!AE86</f>
        <v>0</v>
      </c>
      <c r="AG53" s="6">
        <f>[14]A07!B63+[14]A30!R64+[14]A30!S64+[14]A30!T64+[14]A30!U64+[14]A30!V64+[14]A30!W64+[14]A30!X64+[14]A30!Y64+[14]A32!B86</f>
        <v>0</v>
      </c>
      <c r="AH53" s="150" t="e">
        <f t="shared" si="6"/>
        <v>#DIV/0!</v>
      </c>
      <c r="AI53" s="6"/>
      <c r="AJ53" s="6"/>
      <c r="AK53" s="4" t="e">
        <f t="shared" si="11"/>
        <v>#DIV/0!</v>
      </c>
      <c r="AL53" s="94">
        <f t="shared" si="16"/>
        <v>0</v>
      </c>
      <c r="AM53" s="94">
        <f t="shared" si="13"/>
        <v>0</v>
      </c>
      <c r="AN53" s="4" t="str">
        <f t="shared" si="14"/>
        <v/>
      </c>
      <c r="AO53" s="1"/>
      <c r="AT53" s="1"/>
    </row>
    <row r="54" spans="1:46" x14ac:dyDescent="0.15">
      <c r="A54" s="77" t="s">
        <v>139</v>
      </c>
      <c r="B54" s="106">
        <f>[4]A07!X64+[4]A07!AB64+[4]A30!B65+[4]A30!C65+[4]A30!D65+[4]A30!E65+[4]A30!F65+[4]A30!G65+[4]A30!H65+[4]A30!I65+[4]A32!Z87+[4]A32!AE87</f>
        <v>0</v>
      </c>
      <c r="C54" s="106">
        <f>[4]A07!B64+[4]A30!R65+[4]A30!S65+[4]A30!T65+[4]A30!U65+[4]A30!V65+[4]A30!W65+[4]A30!X65+[4]A30!Y65+[4]A32!B87</f>
        <v>0</v>
      </c>
      <c r="D54" s="4" t="str">
        <f t="shared" si="7"/>
        <v/>
      </c>
      <c r="E54" s="106">
        <f>[5]A07!X64+[5]A07!AB64+[5]A30!B65+[5]A30!C65+[5]A30!D65+[5]A30!E65+[5]A30!F65+[5]A30!G65+[5]A30!H65+[5]A30!I65+[5]A32!Z87+[5]A32!AE87</f>
        <v>0</v>
      </c>
      <c r="F54" s="106">
        <f>[5]A07!B64+[5]A30!R65+[5]A30!S65+[5]A30!T65+[5]A30!U65+[5]A30!V65+[5]A30!W65+[5]A30!X65+[5]A30!Y65+[5]A32!B87</f>
        <v>0</v>
      </c>
      <c r="G54" s="4" t="str">
        <f t="shared" si="8"/>
        <v/>
      </c>
      <c r="H54" s="106">
        <f>[6]A07!X64+[6]A07!AB64+[6]A30!B65+[6]A30!C65+[6]A30!D65+[6]A30!E65+[6]A30!F65+[6]A30!G65+[6]A30!H65+[6]A30!I65+[6]A32!Z87+[6]A32!AE87</f>
        <v>0</v>
      </c>
      <c r="I54" s="106">
        <f>[6]A07!B64+[6]A30!R65+[6]A30!S65+[6]A30!T65+[6]A30!U65+[6]A30!V65+[6]A30!W65+[6]A30!X65+[6]A30!Y65+[6]A32!B87</f>
        <v>0</v>
      </c>
      <c r="J54" s="4" t="str">
        <f t="shared" si="9"/>
        <v/>
      </c>
      <c r="K54" s="106">
        <f>[7]A07!X64+[7]A07!AB64+[7]A30!B65+[7]A30!C65+[7]A30!D65+[7]A30!E65+[7]A30!F65+[7]A30!G65+[7]A30!H65+[7]A30!I65+[7]A32!Z87+[7]A32!AE87</f>
        <v>0</v>
      </c>
      <c r="L54" s="106">
        <f>[7]A07!B64+[7]A30!R65+[7]A30!S65+[7]A30!T65+[7]A30!U65+[7]A30!V65+[7]A30!W65+[7]A30!X65+[7]A30!Y65+[7]A32!B87</f>
        <v>0</v>
      </c>
      <c r="M54" s="4" t="str">
        <f t="shared" si="10"/>
        <v/>
      </c>
      <c r="N54" s="106">
        <f>[8]A07!X64+[8]A07!AB64+[8]A30!B65+[8]A30!C65+[8]A30!D65+[8]A30!E65+[8]A30!F65+[8]A30!G65+[8]A30!H65+[8]A30!I65+[8]A32!Z87+[8]A32!AE87</f>
        <v>0</v>
      </c>
      <c r="O54" s="106">
        <f>[8]A07!B64+[8]A30!R65+[8]A30!S65+[8]A30!T65+[8]A30!U65+[8]A30!V65+[8]A30!W65+[8]A30!X65+[8]A30!Y65+[8]A32!B87</f>
        <v>0</v>
      </c>
      <c r="P54" s="150" t="e">
        <f t="shared" si="0"/>
        <v>#DIV/0!</v>
      </c>
      <c r="Q54" s="6">
        <f>[15]A07!X64+[15]A07!AB64+[15]A30!B65+[15]A30!C65+[15]A30!D65+[15]A30!E65+[15]A30!F65+[15]A30!G65+[15]A30!H65+[15]A30!I65+[15]A32!Z87+[15]A32!AE87</f>
        <v>0</v>
      </c>
      <c r="R54" s="6">
        <f>[15]A07!B64+[15]A30!R65+[15]A30!S65+[15]A30!T65+[15]A30!U65+[15]A30!V65+[15]A30!W65+[15]A30!X65+[15]A30!Y65+[15]A32!B87</f>
        <v>0</v>
      </c>
      <c r="S54" s="150" t="e">
        <f t="shared" si="1"/>
        <v>#DIV/0!</v>
      </c>
      <c r="T54" s="6">
        <f>[10]A07!X64+[10]A07!AB64+[10]A30!B65+[10]A30!C65+[10]A30!D65+[10]A30!E65+[10]A30!F65+[10]A30!G65+[10]A30!H65+[10]A30!I65+[10]A32!Z87+[10]A32!AE87</f>
        <v>0</v>
      </c>
      <c r="U54" s="6">
        <f>[10]A07!B64+[10]A30!R65+[10]A30!S65+[10]A30!T65+[10]A30!U65+[10]A30!V65+[10]A30!W65+[10]A30!X65+[10]A30!Y65+[10]A32!B87</f>
        <v>0</v>
      </c>
      <c r="V54" s="150" t="e">
        <f t="shared" si="2"/>
        <v>#DIV/0!</v>
      </c>
      <c r="W54" s="6">
        <f>[11]A07!X64+[11]A07!AB64+[11]A30!B65+[11]A30!C65+[11]A30!D65+[11]A30!E65+[11]A30!F65+[11]A30!G65+[11]A30!H65+[11]A30!I65+[11]A32!Z87+[11]A32!AE87</f>
        <v>0</v>
      </c>
      <c r="X54" s="6">
        <f>[11]A07!B64+[11]A30!R65+[11]A30!S65+[11]A30!T65+[11]A30!U65+[11]A30!V65+[11]A30!W65+[11]A30!X65+[11]A30!Y65+[11]A32!B87</f>
        <v>0</v>
      </c>
      <c r="Y54" s="150" t="e">
        <f t="shared" si="3"/>
        <v>#DIV/0!</v>
      </c>
      <c r="Z54" s="6">
        <f>[12]A07!X64+[12]A07!AB64+[12]A30!B65+[12]A30!C65+[12]A30!D65+[12]A30!E65+[12]A30!F65+[12]A30!G65+[12]A30!H65+[12]A30!I65+[12]A32!Z87+[12]A32!AE87</f>
        <v>0</v>
      </c>
      <c r="AA54" s="6">
        <f>[12]A07!B64+[12]A30!R65+[12]A30!S65+[12]A30!T65+[12]A30!U65+[12]A30!V65+[12]A30!W65+[12]A30!X65+[12]A30!Y65+[12]A32!B87</f>
        <v>0</v>
      </c>
      <c r="AB54" s="150" t="e">
        <f t="shared" si="4"/>
        <v>#DIV/0!</v>
      </c>
      <c r="AC54" s="6">
        <f>[13]A07!X64+[13]A07!AB64+[13]A30!B65+[13]A30!C65+[13]A30!D65+[13]A30!E65+[13]A30!F65+[13]A30!G65+[13]A30!H65+[13]A30!I65+[13]A32!Z87+[13]A32!AE87</f>
        <v>0</v>
      </c>
      <c r="AD54" s="6">
        <f>[13]A07!B64+[13]A30!R65+[13]A30!S65+[13]A30!T65+[13]A30!U65+[13]A30!V65+[13]A30!W65+[13]A30!X65+[13]A30!Y65+[13]A32!B87</f>
        <v>0</v>
      </c>
      <c r="AE54" s="150" t="e">
        <f t="shared" si="5"/>
        <v>#DIV/0!</v>
      </c>
      <c r="AF54" s="6">
        <f>[14]A07!X64+[14]A07!AB64+[14]A30!B65+[14]A30!C65+[14]A30!D65+[14]A30!E65+[14]A30!F65+[14]A30!G65+[14]A30!H65+[14]A30!I65+[14]A32!Z87+[14]A32!AE87</f>
        <v>0</v>
      </c>
      <c r="AG54" s="6">
        <f>[14]A07!B64+[14]A30!R65+[14]A30!S65+[14]A30!T65+[14]A30!U65+[14]A30!V65+[14]A30!W65+[14]A30!X65+[14]A30!Y65+[14]A32!B87</f>
        <v>0</v>
      </c>
      <c r="AH54" s="150" t="e">
        <f t="shared" si="6"/>
        <v>#DIV/0!</v>
      </c>
      <c r="AI54" s="6"/>
      <c r="AJ54" s="6"/>
      <c r="AK54" s="4" t="e">
        <f t="shared" si="11"/>
        <v>#DIV/0!</v>
      </c>
      <c r="AL54" s="94">
        <f t="shared" si="16"/>
        <v>0</v>
      </c>
      <c r="AM54" s="94">
        <f t="shared" si="13"/>
        <v>0</v>
      </c>
      <c r="AN54" s="4" t="str">
        <f t="shared" si="14"/>
        <v/>
      </c>
      <c r="AO54" s="1"/>
      <c r="AT54" s="1"/>
    </row>
    <row r="55" spans="1:46" x14ac:dyDescent="0.15">
      <c r="A55" s="76" t="s">
        <v>140</v>
      </c>
      <c r="B55" s="106">
        <f>[4]A07!X65+[4]A07!AB65+[4]A30!B66+[4]A30!C66+[4]A30!D66+[4]A30!E66+[4]A30!F66+[4]A30!G66+[4]A30!H66+[4]A30!I66+[4]A32!Z88+[4]A32!AE88</f>
        <v>0</v>
      </c>
      <c r="C55" s="106">
        <f>[4]A07!B65+[4]A30!R66+[4]A30!S66+[4]A30!T66+[4]A30!U66+[4]A30!V66+[4]A30!W66+[4]A30!X66+[4]A30!Y66+[4]A32!B88</f>
        <v>0</v>
      </c>
      <c r="D55" s="4" t="str">
        <f t="shared" si="7"/>
        <v/>
      </c>
      <c r="E55" s="106">
        <f>[5]A07!X65+[5]A07!AB65+[5]A30!B66+[5]A30!C66+[5]A30!D66+[5]A30!E66+[5]A30!F66+[5]A30!G66+[5]A30!H66+[5]A30!I66+[5]A32!Z88+[5]A32!AE88</f>
        <v>0</v>
      </c>
      <c r="F55" s="106">
        <f>[5]A07!B65+[5]A30!R66+[5]A30!S66+[5]A30!T66+[5]A30!U66+[5]A30!V66+[5]A30!W66+[5]A30!X66+[5]A30!Y66+[5]A32!B88</f>
        <v>0</v>
      </c>
      <c r="G55" s="4" t="str">
        <f t="shared" si="8"/>
        <v/>
      </c>
      <c r="H55" s="106">
        <f>[6]A07!X65+[6]A07!AB65+[6]A30!B66+[6]A30!C66+[6]A30!D66+[6]A30!E66+[6]A30!F66+[6]A30!G66+[6]A30!H66+[6]A30!I66+[6]A32!Z88+[6]A32!AE88</f>
        <v>0</v>
      </c>
      <c r="I55" s="106">
        <f>[6]A07!B65+[6]A30!R66+[6]A30!S66+[6]A30!T66+[6]A30!U66+[6]A30!V66+[6]A30!W66+[6]A30!X66+[6]A30!Y66+[6]A32!B88</f>
        <v>0</v>
      </c>
      <c r="J55" s="4" t="str">
        <f t="shared" si="9"/>
        <v/>
      </c>
      <c r="K55" s="106">
        <f>[7]A07!X65+[7]A07!AB65+[7]A30!B66+[7]A30!C66+[7]A30!D66+[7]A30!E66+[7]A30!F66+[7]A30!G66+[7]A30!H66+[7]A30!I66+[7]A32!Z88+[7]A32!AE88</f>
        <v>0</v>
      </c>
      <c r="L55" s="106">
        <f>[7]A07!B65+[7]A30!R66+[7]A30!S66+[7]A30!T66+[7]A30!U66+[7]A30!V66+[7]A30!W66+[7]A30!X66+[7]A30!Y66+[7]A32!B88</f>
        <v>0</v>
      </c>
      <c r="M55" s="4" t="str">
        <f t="shared" si="10"/>
        <v/>
      </c>
      <c r="N55" s="106">
        <f>[8]A07!X65+[8]A07!AB65+[8]A30!B66+[8]A30!C66+[8]A30!D66+[8]A30!E66+[8]A30!F66+[8]A30!G66+[8]A30!H66+[8]A30!I66+[8]A32!Z88+[8]A32!AE88</f>
        <v>0</v>
      </c>
      <c r="O55" s="106">
        <f>[8]A07!B65+[8]A30!R66+[8]A30!S66+[8]A30!T66+[8]A30!U66+[8]A30!V66+[8]A30!W66+[8]A30!X66+[8]A30!Y66+[8]A32!B88</f>
        <v>0</v>
      </c>
      <c r="P55" s="150" t="e">
        <f t="shared" si="0"/>
        <v>#DIV/0!</v>
      </c>
      <c r="Q55" s="6">
        <f>[15]A07!X65+[15]A07!AB65+[15]A30!B66+[15]A30!C66+[15]A30!D66+[15]A30!E66+[15]A30!F66+[15]A30!G66+[15]A30!H66+[15]A30!I66+[15]A32!Z88+[15]A32!AE88</f>
        <v>0</v>
      </c>
      <c r="R55" s="6">
        <f>[15]A07!B65+[15]A30!R66+[15]A30!S66+[15]A30!T66+[15]A30!U66+[15]A30!V66+[15]A30!W66+[15]A30!X66+[15]A30!Y66+[15]A32!B88</f>
        <v>0</v>
      </c>
      <c r="S55" s="150" t="e">
        <f t="shared" si="1"/>
        <v>#DIV/0!</v>
      </c>
      <c r="T55" s="6">
        <f>[10]A07!X65+[10]A07!AB65+[10]A30!B66+[10]A30!C66+[10]A30!D66+[10]A30!E66+[10]A30!F66+[10]A30!G66+[10]A30!H66+[10]A30!I66+[10]A32!Z88+[10]A32!AE88</f>
        <v>0</v>
      </c>
      <c r="U55" s="6">
        <f>[10]A07!B65+[10]A30!R66+[10]A30!S66+[10]A30!T66+[10]A30!U66+[10]A30!V66+[10]A30!W66+[10]A30!X66+[10]A30!Y66+[10]A32!B88</f>
        <v>0</v>
      </c>
      <c r="V55" s="150" t="e">
        <f t="shared" si="2"/>
        <v>#DIV/0!</v>
      </c>
      <c r="W55" s="6">
        <f>[11]A07!X65+[11]A07!AB65+[11]A30!B66+[11]A30!C66+[11]A30!D66+[11]A30!E66+[11]A30!F66+[11]A30!G66+[11]A30!H66+[11]A30!I66+[11]A32!Z88+[11]A32!AE88</f>
        <v>0</v>
      </c>
      <c r="X55" s="6">
        <f>[11]A07!B65+[11]A30!R66+[11]A30!S66+[11]A30!T66+[11]A30!U66+[11]A30!V66+[11]A30!W66+[11]A30!X66+[11]A30!Y66+[11]A32!B88</f>
        <v>0</v>
      </c>
      <c r="Y55" s="150" t="e">
        <f t="shared" si="3"/>
        <v>#DIV/0!</v>
      </c>
      <c r="Z55" s="6">
        <f>[12]A07!X65+[12]A07!AB65+[12]A30!B66+[12]A30!C66+[12]A30!D66+[12]A30!E66+[12]A30!F66+[12]A30!G66+[12]A30!H66+[12]A30!I66+[12]A32!Z88+[12]A32!AE88</f>
        <v>0</v>
      </c>
      <c r="AA55" s="6">
        <f>[12]A07!B65+[12]A30!R66+[12]A30!S66+[12]A30!T66+[12]A30!U66+[12]A30!V66+[12]A30!W66+[12]A30!X66+[12]A30!Y66+[12]A32!B88</f>
        <v>0</v>
      </c>
      <c r="AB55" s="150" t="e">
        <f t="shared" si="4"/>
        <v>#DIV/0!</v>
      </c>
      <c r="AC55" s="6">
        <f>[13]A07!X65+[13]A07!AB65+[13]A30!B66+[13]A30!C66+[13]A30!D66+[13]A30!E66+[13]A30!F66+[13]A30!G66+[13]A30!H66+[13]A30!I66+[13]A32!Z88+[13]A32!AE88</f>
        <v>0</v>
      </c>
      <c r="AD55" s="6">
        <f>[13]A07!B65+[13]A30!R66+[13]A30!S66+[13]A30!T66+[13]A30!U66+[13]A30!V66+[13]A30!W66+[13]A30!X66+[13]A30!Y66+[13]A32!B88</f>
        <v>0</v>
      </c>
      <c r="AE55" s="150" t="e">
        <f t="shared" si="5"/>
        <v>#DIV/0!</v>
      </c>
      <c r="AF55" s="6">
        <f>[14]A07!X65+[14]A07!AB65+[14]A30!B66+[14]A30!C66+[14]A30!D66+[14]A30!E66+[14]A30!F66+[14]A30!G66+[14]A30!H66+[14]A30!I66+[14]A32!Z88+[14]A32!AE88</f>
        <v>0</v>
      </c>
      <c r="AG55" s="6">
        <f>[14]A07!B65+[14]A30!R66+[14]A30!S66+[14]A30!T66+[14]A30!U66+[14]A30!V66+[14]A30!W66+[14]A30!X66+[14]A30!Y66+[14]A32!B88</f>
        <v>0</v>
      </c>
      <c r="AH55" s="150" t="e">
        <f t="shared" si="6"/>
        <v>#DIV/0!</v>
      </c>
      <c r="AI55" s="6"/>
      <c r="AJ55" s="6"/>
      <c r="AK55" s="4" t="e">
        <f t="shared" si="11"/>
        <v>#DIV/0!</v>
      </c>
      <c r="AL55" s="94">
        <f t="shared" si="16"/>
        <v>0</v>
      </c>
      <c r="AM55" s="94">
        <f t="shared" si="13"/>
        <v>0</v>
      </c>
      <c r="AN55" s="4" t="str">
        <f t="shared" si="14"/>
        <v/>
      </c>
      <c r="AO55" s="1"/>
      <c r="AT55" s="1"/>
    </row>
    <row r="56" spans="1:46" x14ac:dyDescent="0.15">
      <c r="A56" s="78" t="s">
        <v>141</v>
      </c>
      <c r="B56" s="106">
        <f>[4]A07!X66+[4]A07!AB66+[4]A30!B67+[4]A30!C67+[4]A30!D67+[4]A30!E67+[4]A30!F67+[4]A30!G67+[4]A30!H67+[4]A30!I67+[4]A32!Z89+[4]A32!AE89</f>
        <v>0</v>
      </c>
      <c r="C56" s="106">
        <f>[4]A07!B66+[4]A30!R67+[4]A30!S67+[4]A30!T67+[4]A30!U67+[4]A30!V67+[4]A30!W67+[4]A30!X67+[4]A30!Y67+[4]A32!B89</f>
        <v>0</v>
      </c>
      <c r="D56" s="4" t="str">
        <f t="shared" si="7"/>
        <v/>
      </c>
      <c r="E56" s="106">
        <f>[5]A07!X66+[5]A07!AB66+[5]A30!B67+[5]A30!C67+[5]A30!D67+[5]A30!E67+[5]A30!F67+[5]A30!G67+[5]A30!H67+[5]A30!I67+[5]A32!Z89+[5]A32!AE89</f>
        <v>0</v>
      </c>
      <c r="F56" s="106">
        <f>[5]A07!B66+[5]A30!R67+[5]A30!S67+[5]A30!T67+[5]A30!U67+[5]A30!V67+[5]A30!W67+[5]A30!X67+[5]A30!Y67+[5]A32!B89</f>
        <v>0</v>
      </c>
      <c r="G56" s="4" t="str">
        <f t="shared" si="8"/>
        <v/>
      </c>
      <c r="H56" s="106">
        <f>[6]A07!X66+[6]A07!AB66+[6]A30!B67+[6]A30!C67+[6]A30!D67+[6]A30!E67+[6]A30!F67+[6]A30!G67+[6]A30!H67+[6]A30!I67+[6]A32!Z89+[6]A32!AE89</f>
        <v>0</v>
      </c>
      <c r="I56" s="106">
        <f>[6]A07!B66+[6]A30!R67+[6]A30!S67+[6]A30!T67+[6]A30!U67+[6]A30!V67+[6]A30!W67+[6]A30!X67+[6]A30!Y67+[6]A32!B89</f>
        <v>0</v>
      </c>
      <c r="J56" s="4" t="str">
        <f t="shared" si="9"/>
        <v/>
      </c>
      <c r="K56" s="106">
        <f>[7]A07!X66+[7]A07!AB66+[7]A30!B67+[7]A30!C67+[7]A30!D67+[7]A30!E67+[7]A30!F67+[7]A30!G67+[7]A30!H67+[7]A30!I67+[7]A32!Z89+[7]A32!AE89</f>
        <v>0</v>
      </c>
      <c r="L56" s="106">
        <f>[7]A07!B66+[7]A30!R67+[7]A30!S67+[7]A30!T67+[7]A30!U67+[7]A30!V67+[7]A30!W67+[7]A30!X67+[7]A30!Y67+[7]A32!B89</f>
        <v>0</v>
      </c>
      <c r="M56" s="4" t="str">
        <f t="shared" si="10"/>
        <v/>
      </c>
      <c r="N56" s="106">
        <f>[8]A07!X66+[8]A07!AB66+[8]A30!B67+[8]A30!C67+[8]A30!D67+[8]A30!E67+[8]A30!F67+[8]A30!G67+[8]A30!H67+[8]A30!I67+[8]A32!Z89+[8]A32!AE89</f>
        <v>0</v>
      </c>
      <c r="O56" s="106">
        <f>[8]A07!B66+[8]A30!R67+[8]A30!S67+[8]A30!T67+[8]A30!U67+[8]A30!V67+[8]A30!W67+[8]A30!X67+[8]A30!Y67+[8]A32!B89</f>
        <v>0</v>
      </c>
      <c r="P56" s="150" t="e">
        <f t="shared" si="0"/>
        <v>#DIV/0!</v>
      </c>
      <c r="Q56" s="6">
        <f>[15]A07!X66+[15]A07!AB66+[15]A30!B67+[15]A30!C67+[15]A30!D67+[15]A30!E67+[15]A30!F67+[15]A30!G67+[15]A30!H67+[15]A30!I67+[15]A32!Z89+[15]A32!AE89</f>
        <v>0</v>
      </c>
      <c r="R56" s="6">
        <f>[15]A07!B66+[15]A30!R67+[15]A30!S67+[15]A30!T67+[15]A30!U67+[15]A30!V67+[15]A30!W67+[15]A30!X67+[15]A30!Y67+[15]A32!B89</f>
        <v>0</v>
      </c>
      <c r="S56" s="150" t="e">
        <f t="shared" si="1"/>
        <v>#DIV/0!</v>
      </c>
      <c r="T56" s="6">
        <f>[10]A07!X66+[10]A07!AB66+[10]A30!B67+[10]A30!C67+[10]A30!D67+[10]A30!E67+[10]A30!F67+[10]A30!G67+[10]A30!H67+[10]A30!I67+[10]A32!Z89+[10]A32!AE89</f>
        <v>0</v>
      </c>
      <c r="U56" s="6">
        <f>[10]A07!B66+[10]A30!R67+[10]A30!S67+[10]A30!T67+[10]A30!U67+[10]A30!V67+[10]A30!W67+[10]A30!X67+[10]A30!Y67+[10]A32!B89</f>
        <v>0</v>
      </c>
      <c r="V56" s="150" t="e">
        <f t="shared" si="2"/>
        <v>#DIV/0!</v>
      </c>
      <c r="W56" s="6">
        <f>[11]A07!X66+[11]A07!AB66+[11]A30!B67+[11]A30!C67+[11]A30!D67+[11]A30!E67+[11]A30!F67+[11]A30!G67+[11]A30!H67+[11]A30!I67+[11]A32!Z89+[11]A32!AE89</f>
        <v>0</v>
      </c>
      <c r="X56" s="6">
        <f>[11]A07!B66+[11]A30!R67+[11]A30!S67+[11]A30!T67+[11]A30!U67+[11]A30!V67+[11]A30!W67+[11]A30!X67+[11]A30!Y67+[11]A32!B89</f>
        <v>0</v>
      </c>
      <c r="Y56" s="150" t="e">
        <f t="shared" si="3"/>
        <v>#DIV/0!</v>
      </c>
      <c r="Z56" s="6">
        <f>[12]A07!X66+[12]A07!AB66+[12]A30!B67+[12]A30!C67+[12]A30!D67+[12]A30!E67+[12]A30!F67+[12]A30!G67+[12]A30!H67+[12]A30!I67+[12]A32!Z89+[12]A32!AE89</f>
        <v>0</v>
      </c>
      <c r="AA56" s="6">
        <f>[12]A07!B66+[12]A30!R67+[12]A30!S67+[12]A30!T67+[12]A30!U67+[12]A30!V67+[12]A30!W67+[12]A30!X67+[12]A30!Y67+[12]A32!B89</f>
        <v>0</v>
      </c>
      <c r="AB56" s="150" t="e">
        <f t="shared" si="4"/>
        <v>#DIV/0!</v>
      </c>
      <c r="AC56" s="6">
        <f>[13]A07!X66+[13]A07!AB66+[13]A30!B67+[13]A30!C67+[13]A30!D67+[13]A30!E67+[13]A30!F67+[13]A30!G67+[13]A30!H67+[13]A30!I67+[13]A32!Z89+[13]A32!AE89</f>
        <v>0</v>
      </c>
      <c r="AD56" s="6">
        <f>[13]A07!B66+[13]A30!R67+[13]A30!S67+[13]A30!T67+[13]A30!U67+[13]A30!V67+[13]A30!W67+[13]A30!X67+[13]A30!Y67+[13]A32!B89</f>
        <v>0</v>
      </c>
      <c r="AE56" s="150" t="e">
        <f t="shared" si="5"/>
        <v>#DIV/0!</v>
      </c>
      <c r="AF56" s="6">
        <f>[14]A07!X66+[14]A07!AB66+[14]A30!B67+[14]A30!C67+[14]A30!D67+[14]A30!E67+[14]A30!F67+[14]A30!G67+[14]A30!H67+[14]A30!I67+[14]A32!Z89+[14]A32!AE89</f>
        <v>0</v>
      </c>
      <c r="AG56" s="6">
        <f>[14]A07!B66+[14]A30!R67+[14]A30!S67+[14]A30!T67+[14]A30!U67+[14]A30!V67+[14]A30!W67+[14]A30!X67+[14]A30!Y67+[14]A32!B89</f>
        <v>0</v>
      </c>
      <c r="AH56" s="150" t="e">
        <f t="shared" si="6"/>
        <v>#DIV/0!</v>
      </c>
      <c r="AI56" s="6"/>
      <c r="AJ56" s="6"/>
      <c r="AK56" s="4" t="e">
        <f t="shared" si="11"/>
        <v>#DIV/0!</v>
      </c>
      <c r="AL56" s="94">
        <f t="shared" si="16"/>
        <v>0</v>
      </c>
      <c r="AM56" s="94">
        <f t="shared" si="13"/>
        <v>0</v>
      </c>
      <c r="AN56" s="4" t="str">
        <f t="shared" si="14"/>
        <v/>
      </c>
      <c r="AO56" s="1"/>
      <c r="AT56" s="1"/>
    </row>
    <row r="57" spans="1:46" x14ac:dyDescent="0.25">
      <c r="B57" s="1">
        <f>SUM(B2:B56)</f>
        <v>1551</v>
      </c>
      <c r="C57" s="1">
        <f>SUM(C2:C56)</f>
        <v>5255</v>
      </c>
      <c r="D57" s="4">
        <f t="shared" ref="D57" si="17">B57/C57</f>
        <v>0.29514747859181734</v>
      </c>
      <c r="E57" s="1">
        <f>SUM(E2:E56)</f>
        <v>1147</v>
      </c>
      <c r="F57" s="1">
        <f>SUM(F2:F56)</f>
        <v>4297</v>
      </c>
      <c r="G57" s="4">
        <f t="shared" ref="G57" si="18">E57/F57</f>
        <v>0.26693041656969979</v>
      </c>
      <c r="H57" s="1">
        <f>SUM(H2:H56)</f>
        <v>1517</v>
      </c>
      <c r="I57" s="1">
        <f>SUM(I2:I56)</f>
        <v>5800</v>
      </c>
      <c r="J57" s="150">
        <f t="shared" ref="J57" si="19">H57/I57</f>
        <v>0.26155172413793104</v>
      </c>
      <c r="K57" s="1">
        <f>SUM(K2:K56)</f>
        <v>1382</v>
      </c>
      <c r="L57" s="1">
        <f>SUM(L2:L56)</f>
        <v>5910</v>
      </c>
      <c r="M57" s="150">
        <f t="shared" ref="M57" si="20">K57/L57</f>
        <v>0.23384094754653131</v>
      </c>
      <c r="N57" s="1">
        <f>SUM(N2:N56)</f>
        <v>1170</v>
      </c>
      <c r="O57" s="1">
        <f>SUM(O2:O56)</f>
        <v>5026</v>
      </c>
      <c r="P57" s="150">
        <f t="shared" si="0"/>
        <v>0.23278949462793475</v>
      </c>
      <c r="Q57" s="1">
        <f>SUM(Q2:Q56)</f>
        <v>1245</v>
      </c>
      <c r="R57" s="1">
        <f>SUM(R2:R56)</f>
        <v>4580</v>
      </c>
      <c r="S57" s="150">
        <f t="shared" si="1"/>
        <v>0.27183406113537117</v>
      </c>
      <c r="T57" s="1">
        <f>SUM(T2:T56)</f>
        <v>1360</v>
      </c>
      <c r="U57" s="1">
        <f>SUM(U2:U56)</f>
        <v>5080</v>
      </c>
      <c r="V57" s="150">
        <f t="shared" si="2"/>
        <v>0.26771653543307089</v>
      </c>
      <c r="W57" s="1">
        <f>SUM(W2:W56)</f>
        <v>1333</v>
      </c>
      <c r="X57" s="1">
        <f>SUM(X2:X56)</f>
        <v>4871</v>
      </c>
      <c r="Y57" s="150">
        <f t="shared" si="3"/>
        <v>0.27366043933483886</v>
      </c>
      <c r="Z57" s="1">
        <f>SUM(Z2:Z56)</f>
        <v>1266</v>
      </c>
      <c r="AA57" s="1">
        <f>SUM(AA2:AA56)</f>
        <v>4777</v>
      </c>
      <c r="AB57" s="150">
        <f t="shared" si="4"/>
        <v>0.26501988695834205</v>
      </c>
      <c r="AC57" s="1">
        <f>SUM(AC2:AC56)</f>
        <v>1425</v>
      </c>
      <c r="AD57" s="1">
        <f>SUM(AD2:AD56)</f>
        <v>5286</v>
      </c>
      <c r="AE57" s="150">
        <f t="shared" si="5"/>
        <v>0.26958002270147557</v>
      </c>
      <c r="AF57" s="1">
        <f>SUM(AF2:AF56)</f>
        <v>1335</v>
      </c>
      <c r="AG57" s="1">
        <f>SUM(AG2:AG56)</f>
        <v>4823</v>
      </c>
      <c r="AH57" s="150">
        <f t="shared" si="6"/>
        <v>0.27679867302508809</v>
      </c>
      <c r="AI57" s="1">
        <f>SUM(AI2:AI56)</f>
        <v>0</v>
      </c>
      <c r="AJ57" s="1">
        <f>SUM(AJ2:AJ56)</f>
        <v>0</v>
      </c>
      <c r="AK57" s="4" t="e">
        <f>AI57/AJ57</f>
        <v>#DIV/0!</v>
      </c>
      <c r="AL57" s="91">
        <f>SUM(AL2:AL56)</f>
        <v>6767</v>
      </c>
      <c r="AM57" s="91">
        <f>SUM(AM2:AM56)</f>
        <v>26288</v>
      </c>
      <c r="AN57" s="4">
        <f t="shared" ref="AN57" si="21">AL57/AM57</f>
        <v>0.25741783323189288</v>
      </c>
      <c r="AO57" s="112">
        <f>AO2+AO3+AO4+AO5+AO6+AO7+AO8+AO9+AO10+AO11+AO12+AO13+AO14+AO15+AO16+AO17+AO18+AO19+AO20+AO21+AO22+AO23+AO24+AO25+AO26+AO27+AO28+AO29+AO30+AO31+AO32+AO33+AO34+AO35+AO36+AO37+AO38+AO39+AO40+AO41+AO42+AO43+AO44+AO45+AO46+AO47+AO48+AO49+AO50+AO51+AO52+AO53+AO54+AO55+AO56</f>
        <v>3</v>
      </c>
      <c r="AP57" s="18">
        <v>24</v>
      </c>
      <c r="AQ57" s="113">
        <f>AO57/AP57</f>
        <v>0.125</v>
      </c>
      <c r="AR57" s="96">
        <v>0.6</v>
      </c>
      <c r="AT57" s="1"/>
    </row>
    <row r="58" spans="1:46" x14ac:dyDescent="0.25">
      <c r="A58" s="2" t="s">
        <v>234</v>
      </c>
      <c r="B58" s="106">
        <f>[16]A07!$X$12+[16]A07!$AB$12+[16]A30!$B$13+[16]A30!$C$13+[16]A30!$D$13+[16]A30!$E$13+[16]A30!$F$13+[16]A30!$G$13+[16]A30!$H$13+[16]A30!$I$13+[16]A32!$Z$35+[16]A32!$AE$35</f>
        <v>80</v>
      </c>
      <c r="C58" s="106">
        <f>[16]A07!$B$12+[16]A30!$R$13+[16]A30!$S$13+[16]A30!$T$13+[16]A30!$U$13+[16]A30!$V$13+[16]A30!$W$13+[16]A30!$X$13+[16]A30!$Y$13+[16]A32!$B$35</f>
        <v>220</v>
      </c>
    </row>
    <row r="59" spans="1:46" x14ac:dyDescent="0.25">
      <c r="B59" s="83" t="e">
        <f>#REF!+#REF!+#REF!+#REF!+#REF!+#REF!+#REF!+#REF!+#REF!+#REF!+#REF!+#REF!</f>
        <v>#REF!</v>
      </c>
      <c r="C59" s="83" t="e">
        <f>#REF!+#REF!+#REF!+#REF!+#REF!+#REF!+#REF!+#REF!+#REF!+#REF!</f>
        <v>#REF!</v>
      </c>
    </row>
  </sheetData>
  <autoFilter ref="A1:AT59" xr:uid="{00000000-0001-0000-0C00-000000000000}"/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0A9DF-B8AD-4A9A-97E9-1C7A3F6379B8}">
  <dimension ref="A1:Q228"/>
  <sheetViews>
    <sheetView showGridLines="0" zoomScale="80" zoomScaleNormal="80" workbookViewId="0">
      <selection activeCell="B19" sqref="B19"/>
    </sheetView>
  </sheetViews>
  <sheetFormatPr baseColWidth="10" defaultColWidth="11.42578125" defaultRowHeight="13.5" x14ac:dyDescent="0.25"/>
  <cols>
    <col min="1" max="1" width="11.42578125" style="2"/>
    <col min="2" max="2" width="51.42578125" style="2" customWidth="1"/>
    <col min="3" max="5" width="15.7109375" style="2" customWidth="1"/>
    <col min="6" max="14" width="11.42578125" style="2" customWidth="1"/>
    <col min="15" max="15" width="11.42578125" style="2"/>
    <col min="16" max="16" width="14.5703125" style="2" customWidth="1"/>
    <col min="17" max="16384" width="11.42578125" style="2"/>
  </cols>
  <sheetData>
    <row r="1" spans="1:17" ht="33.6" customHeight="1" x14ac:dyDescent="0.25">
      <c r="A1" s="2" t="s">
        <v>35</v>
      </c>
      <c r="B1" s="17" t="s">
        <v>169</v>
      </c>
      <c r="C1" s="1" t="s">
        <v>187</v>
      </c>
      <c r="D1" s="5" t="s">
        <v>188</v>
      </c>
      <c r="E1" s="1" t="s">
        <v>189</v>
      </c>
      <c r="F1" s="5" t="s">
        <v>190</v>
      </c>
      <c r="G1" s="1" t="s">
        <v>191</v>
      </c>
      <c r="H1" s="5" t="s">
        <v>192</v>
      </c>
      <c r="I1" s="1" t="s">
        <v>193</v>
      </c>
      <c r="J1" s="5" t="s">
        <v>194</v>
      </c>
      <c r="K1" s="1" t="s">
        <v>195</v>
      </c>
      <c r="L1" s="5" t="s">
        <v>196</v>
      </c>
      <c r="M1" s="1" t="s">
        <v>197</v>
      </c>
      <c r="N1" s="5" t="s">
        <v>198</v>
      </c>
      <c r="O1" s="109" t="s">
        <v>4</v>
      </c>
      <c r="P1" s="111" t="s">
        <v>170</v>
      </c>
      <c r="Q1" s="110" t="s">
        <v>235</v>
      </c>
    </row>
    <row r="2" spans="1:17" ht="27" x14ac:dyDescent="0.15">
      <c r="A2" s="2" t="s">
        <v>199</v>
      </c>
      <c r="B2" s="76" t="s">
        <v>87</v>
      </c>
      <c r="C2" s="159">
        <f>'1,6 CN'!$D$2</f>
        <v>0.32258064516129031</v>
      </c>
      <c r="D2" s="159">
        <f>'1,6 CN'!$G$2</f>
        <v>0.26865671641791045</v>
      </c>
      <c r="E2" s="102">
        <f>'1,6 CN'!$J$2</f>
        <v>0.23243243243243245</v>
      </c>
      <c r="F2" s="102">
        <f>'1,6 CN'!$M$2</f>
        <v>0.18128654970760233</v>
      </c>
      <c r="G2" s="102">
        <f>'1,6 CN'!$P$2</f>
        <v>0.26845637583892618</v>
      </c>
      <c r="H2" s="102">
        <f>'1,6 CN'!$S$2</f>
        <v>0.31543624161073824</v>
      </c>
      <c r="I2" s="102">
        <f>'1,6 CN'!$V$2</f>
        <v>0.33155080213903743</v>
      </c>
      <c r="J2" s="102">
        <f>'1,6 CN'!$Y$2</f>
        <v>0.27544910179640719</v>
      </c>
      <c r="K2" s="102">
        <f>'1,6 CN'!$AB$2</f>
        <v>0.28712871287128711</v>
      </c>
      <c r="L2" s="102">
        <f>'1,6 CN'!$AE$2</f>
        <v>0.27403846153846156</v>
      </c>
      <c r="M2" s="102">
        <f>'1,6 CN'!$AH$2</f>
        <v>0.29906542056074764</v>
      </c>
      <c r="N2" s="102" t="e">
        <f>'1,6 CN'!$AK$2</f>
        <v>#DIV/0!</v>
      </c>
      <c r="O2" s="159">
        <f>'1,6 CN'!$AN$2</f>
        <v>0.24749163879598662</v>
      </c>
      <c r="P2" s="1" t="s">
        <v>174</v>
      </c>
      <c r="Q2" s="1" t="e" cm="1">
        <f t="array" ref="Q2">IF(O2&gt;33%, SI,NO)</f>
        <v>#NAME?</v>
      </c>
    </row>
    <row r="3" spans="1:17" ht="27" x14ac:dyDescent="0.15">
      <c r="A3" s="2" t="s">
        <v>199</v>
      </c>
      <c r="B3" s="77" t="s">
        <v>88</v>
      </c>
      <c r="C3" s="159">
        <f>'1,6 CN'!D3</f>
        <v>0.23934426229508196</v>
      </c>
      <c r="D3" s="159">
        <f>'1,6 CN'!G3</f>
        <v>0.15955056179775282</v>
      </c>
      <c r="E3" s="102">
        <f>'1,6 CN'!J3</f>
        <v>0.15249266862170088</v>
      </c>
      <c r="F3" s="102">
        <f>'1,6 CN'!M3</f>
        <v>0.22757475083056478</v>
      </c>
      <c r="G3" s="102">
        <f>'1,6 CN'!P3</f>
        <v>0.22440087145969498</v>
      </c>
      <c r="H3" s="102">
        <f>'1,6 CN'!S3</f>
        <v>0.23123732251521298</v>
      </c>
      <c r="I3" s="102">
        <f>'1,6 CN'!V3</f>
        <v>0.19747899159663865</v>
      </c>
      <c r="J3" s="102">
        <f>'1,6 CN'!Y3</f>
        <v>0.16417910447761194</v>
      </c>
      <c r="K3" s="102">
        <f>'1,6 CN'!AB3</f>
        <v>0.22494887525562371</v>
      </c>
      <c r="L3" s="102">
        <f>'1,6 CN'!AE3</f>
        <v>0.22491349480968859</v>
      </c>
      <c r="M3" s="102">
        <f>'1,6 CN'!AH3</f>
        <v>0.28997289972899731</v>
      </c>
      <c r="N3" s="102" t="e">
        <f>'1,6 CN'!AK3</f>
        <v>#DIV/0!</v>
      </c>
      <c r="O3" s="159">
        <f>'1,6 CN'!AN3</f>
        <v>0.20716320716320716</v>
      </c>
      <c r="P3" s="1" t="s">
        <v>175</v>
      </c>
      <c r="Q3" s="1"/>
    </row>
    <row r="4" spans="1:17" ht="27" x14ac:dyDescent="0.15">
      <c r="A4" s="2" t="s">
        <v>199</v>
      </c>
      <c r="B4" s="77" t="s">
        <v>89</v>
      </c>
      <c r="C4" s="159" t="str">
        <f>'1,6 CN'!D4</f>
        <v/>
      </c>
      <c r="D4" s="159" t="str">
        <f>'1,6 CN'!G4</f>
        <v/>
      </c>
      <c r="E4" s="102" t="str">
        <f>'1,6 CN'!J4</f>
        <v/>
      </c>
      <c r="F4" s="102" t="str">
        <f>'1,6 CN'!M4</f>
        <v/>
      </c>
      <c r="G4" s="102" t="e">
        <f>'1,6 CN'!P4</f>
        <v>#DIV/0!</v>
      </c>
      <c r="H4" s="102" t="e">
        <f>'1,6 CN'!S4</f>
        <v>#DIV/0!</v>
      </c>
      <c r="I4" s="102" t="e">
        <f>'1,6 CN'!V4</f>
        <v>#DIV/0!</v>
      </c>
      <c r="J4" s="102" t="e">
        <f>'1,6 CN'!Y4</f>
        <v>#DIV/0!</v>
      </c>
      <c r="K4" s="102" t="e">
        <f>'1,6 CN'!AB4</f>
        <v>#DIV/0!</v>
      </c>
      <c r="L4" s="102" t="e">
        <f>'1,6 CN'!AE4</f>
        <v>#DIV/0!</v>
      </c>
      <c r="M4" s="102" t="e">
        <f>'1,6 CN'!AH4</f>
        <v>#DIV/0!</v>
      </c>
      <c r="N4" s="102" t="e">
        <f>'1,6 CN'!AK4</f>
        <v>#DIV/0!</v>
      </c>
      <c r="O4" s="159" t="str">
        <f>'1,6 CN'!AN4</f>
        <v/>
      </c>
      <c r="P4" s="1"/>
      <c r="Q4" s="1"/>
    </row>
    <row r="5" spans="1:17" ht="27" x14ac:dyDescent="0.15">
      <c r="A5" s="2" t="s">
        <v>199</v>
      </c>
      <c r="B5" s="77" t="s">
        <v>90</v>
      </c>
      <c r="C5" s="159" t="str">
        <f>'1,6 CN'!D5</f>
        <v/>
      </c>
      <c r="D5" s="159" t="str">
        <f>'1,6 CN'!G5</f>
        <v/>
      </c>
      <c r="E5" s="102" t="str">
        <f>'1,6 CN'!J5</f>
        <v/>
      </c>
      <c r="F5" s="102" t="str">
        <f>'1,6 CN'!M5</f>
        <v/>
      </c>
      <c r="G5" s="102" t="e">
        <f>'1,6 CN'!P5</f>
        <v>#DIV/0!</v>
      </c>
      <c r="H5" s="102" t="e">
        <f>'1,6 CN'!S5</f>
        <v>#DIV/0!</v>
      </c>
      <c r="I5" s="102" t="e">
        <f>'1,6 CN'!V5</f>
        <v>#DIV/0!</v>
      </c>
      <c r="J5" s="102" t="e">
        <f>'1,6 CN'!Y5</f>
        <v>#DIV/0!</v>
      </c>
      <c r="K5" s="102" t="e">
        <f>'1,6 CN'!AB5</f>
        <v>#DIV/0!</v>
      </c>
      <c r="L5" s="102" t="e">
        <f>'1,6 CN'!AE5</f>
        <v>#DIV/0!</v>
      </c>
      <c r="M5" s="102" t="e">
        <f>'1,6 CN'!AH5</f>
        <v>#DIV/0!</v>
      </c>
      <c r="N5" s="102" t="e">
        <f>'1,6 CN'!AK5</f>
        <v>#DIV/0!</v>
      </c>
      <c r="O5" s="159" t="str">
        <f>'1,6 CN'!AN5</f>
        <v/>
      </c>
      <c r="P5" s="1"/>
      <c r="Q5" s="1"/>
    </row>
    <row r="6" spans="1:17" ht="27" x14ac:dyDescent="0.15">
      <c r="A6" s="2" t="s">
        <v>199</v>
      </c>
      <c r="B6" s="77" t="s">
        <v>91</v>
      </c>
      <c r="C6" s="159" t="str">
        <f>'1,6 CN'!D6</f>
        <v/>
      </c>
      <c r="D6" s="159" t="str">
        <f>'1,6 CN'!G6</f>
        <v/>
      </c>
      <c r="E6" s="102" t="str">
        <f>'1,6 CN'!J6</f>
        <v/>
      </c>
      <c r="F6" s="102" t="str">
        <f>'1,6 CN'!M6</f>
        <v/>
      </c>
      <c r="G6" s="102" t="e">
        <f>'1,6 CN'!P6</f>
        <v>#DIV/0!</v>
      </c>
      <c r="H6" s="102" t="e">
        <f>'1,6 CN'!S6</f>
        <v>#DIV/0!</v>
      </c>
      <c r="I6" s="102" t="e">
        <f>'1,6 CN'!V6</f>
        <v>#DIV/0!</v>
      </c>
      <c r="J6" s="102" t="e">
        <f>'1,6 CN'!Y6</f>
        <v>#DIV/0!</v>
      </c>
      <c r="K6" s="102" t="e">
        <f>'1,6 CN'!AB6</f>
        <v>#DIV/0!</v>
      </c>
      <c r="L6" s="102" t="e">
        <f>'1,6 CN'!AE6</f>
        <v>#DIV/0!</v>
      </c>
      <c r="M6" s="102" t="e">
        <f>'1,6 CN'!AH6</f>
        <v>#DIV/0!</v>
      </c>
      <c r="N6" s="102" t="e">
        <f>'1,6 CN'!AK6</f>
        <v>#DIV/0!</v>
      </c>
      <c r="O6" s="159" t="str">
        <f>'1,6 CN'!AN6</f>
        <v/>
      </c>
      <c r="P6" s="1"/>
      <c r="Q6" s="1"/>
    </row>
    <row r="7" spans="1:17" ht="27" x14ac:dyDescent="0.15">
      <c r="A7" s="2" t="s">
        <v>199</v>
      </c>
      <c r="B7" s="77" t="s">
        <v>92</v>
      </c>
      <c r="C7" s="159">
        <f>'1,6 CN'!D7</f>
        <v>0.42857142857142855</v>
      </c>
      <c r="D7" s="159">
        <f>'1,6 CN'!G7</f>
        <v>0.55555555555555558</v>
      </c>
      <c r="E7" s="102">
        <f>'1,6 CN'!J7</f>
        <v>0.5</v>
      </c>
      <c r="F7" s="102">
        <f>'1,6 CN'!M7</f>
        <v>0.6029411764705882</v>
      </c>
      <c r="G7" s="102">
        <f>'1,6 CN'!P7</f>
        <v>0.30769230769230771</v>
      </c>
      <c r="H7" s="102" t="e">
        <f>'1,6 CN'!S7</f>
        <v>#DIV/0!</v>
      </c>
      <c r="I7" s="102">
        <f>'1,6 CN'!V7</f>
        <v>0.1111111111111111</v>
      </c>
      <c r="J7" s="102">
        <f>'1,6 CN'!Y7</f>
        <v>0</v>
      </c>
      <c r="K7" s="102">
        <f>'1,6 CN'!AB7</f>
        <v>0</v>
      </c>
      <c r="L7" s="102">
        <f>'1,6 CN'!AE7</f>
        <v>0</v>
      </c>
      <c r="M7" s="102">
        <f>'1,6 CN'!AH7</f>
        <v>0.5</v>
      </c>
      <c r="N7" s="102" t="e">
        <f>'1,6 CN'!AK7</f>
        <v>#DIV/0!</v>
      </c>
      <c r="O7" s="159">
        <f>'1,6 CN'!AN7</f>
        <v>0.49137931034482757</v>
      </c>
      <c r="P7" s="1"/>
      <c r="Q7" s="1"/>
    </row>
    <row r="8" spans="1:17" ht="27" x14ac:dyDescent="0.15">
      <c r="A8" s="2" t="s">
        <v>199</v>
      </c>
      <c r="B8" s="77" t="s">
        <v>93</v>
      </c>
      <c r="C8" s="159">
        <f>'1,6 CN'!D8</f>
        <v>0.10784313725490197</v>
      </c>
      <c r="D8" s="159">
        <f>'1,6 CN'!G8</f>
        <v>0.10843373493975904</v>
      </c>
      <c r="E8" s="102">
        <f>'1,6 CN'!J8</f>
        <v>0.11282051282051282</v>
      </c>
      <c r="F8" s="102">
        <f>'1,6 CN'!M8</f>
        <v>0.20093457943925233</v>
      </c>
      <c r="G8" s="102">
        <f>'1,6 CN'!P8</f>
        <v>0.17351598173515981</v>
      </c>
      <c r="H8" s="102" t="e">
        <f>'1,6 CN'!S8</f>
        <v>#DIV/0!</v>
      </c>
      <c r="I8" s="102" t="e">
        <f>'1,6 CN'!V8</f>
        <v>#DIV/0!</v>
      </c>
      <c r="J8" s="102" t="e">
        <f>'1,6 CN'!Y8</f>
        <v>#DIV/0!</v>
      </c>
      <c r="K8" s="102">
        <f>'1,6 CN'!AB8</f>
        <v>0</v>
      </c>
      <c r="L8" s="102">
        <f>'1,6 CN'!AE8</f>
        <v>0</v>
      </c>
      <c r="M8" s="102">
        <f>'1,6 CN'!AH8</f>
        <v>0</v>
      </c>
      <c r="N8" s="102" t="e">
        <f>'1,6 CN'!AK8</f>
        <v>#DIV/0!</v>
      </c>
      <c r="O8" s="159">
        <f>'1,6 CN'!AN8</f>
        <v>0.14328657314629259</v>
      </c>
      <c r="P8" s="1" t="s">
        <v>172</v>
      </c>
      <c r="Q8" s="1"/>
    </row>
    <row r="9" spans="1:17" ht="27" x14ac:dyDescent="0.15">
      <c r="A9" s="2" t="s">
        <v>199</v>
      </c>
      <c r="B9" s="77" t="s">
        <v>94</v>
      </c>
      <c r="C9" s="159">
        <f>'1,6 CN'!D9</f>
        <v>0.16470588235294117</v>
      </c>
      <c r="D9" s="159">
        <f>'1,6 CN'!G9</f>
        <v>0.11494252873563218</v>
      </c>
      <c r="E9" s="102">
        <f>'1,6 CN'!J9</f>
        <v>0.15</v>
      </c>
      <c r="F9" s="102">
        <f>'1,6 CN'!M9</f>
        <v>0.14285714285714285</v>
      </c>
      <c r="G9" s="102">
        <f>'1,6 CN'!P9</f>
        <v>0.17567567567567569</v>
      </c>
      <c r="H9" s="102">
        <f>'1,6 CN'!S9</f>
        <v>0.25423728813559321</v>
      </c>
      <c r="I9" s="102">
        <f>'1,6 CN'!V9</f>
        <v>0.22222222222222221</v>
      </c>
      <c r="J9" s="102">
        <f>'1,6 CN'!Y9</f>
        <v>0.22641509433962265</v>
      </c>
      <c r="K9" s="102">
        <f>'1,6 CN'!AB9</f>
        <v>0.22222222222222221</v>
      </c>
      <c r="L9" s="102">
        <f>'1,6 CN'!AE9</f>
        <v>0.30909090909090908</v>
      </c>
      <c r="M9" s="102">
        <f>'1,6 CN'!AH9</f>
        <v>0.1728395061728395</v>
      </c>
      <c r="N9" s="102" t="e">
        <f>'1,6 CN'!AK9</f>
        <v>#DIV/0!</v>
      </c>
      <c r="O9" s="159">
        <f>'1,6 CN'!AN9</f>
        <v>0.14888337468982629</v>
      </c>
      <c r="P9" s="1" t="s">
        <v>173</v>
      </c>
      <c r="Q9" s="1"/>
    </row>
    <row r="10" spans="1:17" ht="27" x14ac:dyDescent="0.15">
      <c r="A10" s="2" t="s">
        <v>199</v>
      </c>
      <c r="B10" s="77" t="s">
        <v>95</v>
      </c>
      <c r="C10" s="159" t="str">
        <f>'1,6 CN'!D10</f>
        <v/>
      </c>
      <c r="D10" s="159" t="str">
        <f>'1,6 CN'!G10</f>
        <v/>
      </c>
      <c r="E10" s="102" t="str">
        <f>'1,6 CN'!J10</f>
        <v/>
      </c>
      <c r="F10" s="102" t="str">
        <f>'1,6 CN'!M10</f>
        <v/>
      </c>
      <c r="G10" s="102" t="e">
        <f>'1,6 CN'!P10</f>
        <v>#DIV/0!</v>
      </c>
      <c r="H10" s="102" t="e">
        <f>'1,6 CN'!S10</f>
        <v>#DIV/0!</v>
      </c>
      <c r="I10" s="102" t="e">
        <f>'1,6 CN'!V10</f>
        <v>#DIV/0!</v>
      </c>
      <c r="J10" s="102" t="e">
        <f>'1,6 CN'!Y10</f>
        <v>#DIV/0!</v>
      </c>
      <c r="K10" s="102" t="e">
        <f>'1,6 CN'!AB10</f>
        <v>#DIV/0!</v>
      </c>
      <c r="L10" s="102" t="e">
        <f>'1,6 CN'!AE10</f>
        <v>#DIV/0!</v>
      </c>
      <c r="M10" s="102" t="e">
        <f>'1,6 CN'!AH10</f>
        <v>#DIV/0!</v>
      </c>
      <c r="N10" s="102" t="e">
        <f>'1,6 CN'!AK10</f>
        <v>#DIV/0!</v>
      </c>
      <c r="O10" s="159" t="str">
        <f>'1,6 CN'!AN10</f>
        <v/>
      </c>
      <c r="P10" s="1"/>
      <c r="Q10" s="1"/>
    </row>
    <row r="11" spans="1:17" ht="27" x14ac:dyDescent="0.15">
      <c r="A11" s="2" t="s">
        <v>199</v>
      </c>
      <c r="B11" s="77" t="s">
        <v>96</v>
      </c>
      <c r="C11" s="159" t="str">
        <f>'1,6 CN'!D11</f>
        <v/>
      </c>
      <c r="D11" s="159" t="str">
        <f>'1,6 CN'!G11</f>
        <v/>
      </c>
      <c r="E11" s="102" t="str">
        <f>'1,6 CN'!J11</f>
        <v/>
      </c>
      <c r="F11" s="102" t="str">
        <f>'1,6 CN'!M11</f>
        <v/>
      </c>
      <c r="G11" s="102" t="e">
        <f>'1,6 CN'!P11</f>
        <v>#DIV/0!</v>
      </c>
      <c r="H11" s="102" t="e">
        <f>'1,6 CN'!S11</f>
        <v>#DIV/0!</v>
      </c>
      <c r="I11" s="102" t="e">
        <f>'1,6 CN'!V11</f>
        <v>#DIV/0!</v>
      </c>
      <c r="J11" s="102" t="e">
        <f>'1,6 CN'!Y11</f>
        <v>#DIV/0!</v>
      </c>
      <c r="K11" s="102" t="e">
        <f>'1,6 CN'!AB11</f>
        <v>#DIV/0!</v>
      </c>
      <c r="L11" s="102" t="e">
        <f>'1,6 CN'!AE11</f>
        <v>#DIV/0!</v>
      </c>
      <c r="M11" s="102" t="e">
        <f>'1,6 CN'!AH11</f>
        <v>#DIV/0!</v>
      </c>
      <c r="N11" s="102" t="e">
        <f>'1,6 CN'!AK11</f>
        <v>#DIV/0!</v>
      </c>
      <c r="O11" s="159" t="str">
        <f>'1,6 CN'!AN11</f>
        <v/>
      </c>
      <c r="P11" s="1"/>
      <c r="Q11" s="1"/>
    </row>
    <row r="12" spans="1:17" ht="27" x14ac:dyDescent="0.15">
      <c r="A12" s="2" t="s">
        <v>199</v>
      </c>
      <c r="B12" s="77" t="s">
        <v>97</v>
      </c>
      <c r="C12" s="159">
        <f>'1,6 CN'!D12</f>
        <v>0.375</v>
      </c>
      <c r="D12" s="159" t="str">
        <f>'1,6 CN'!G12</f>
        <v/>
      </c>
      <c r="E12" s="102">
        <f>'1,6 CN'!J12</f>
        <v>0.5</v>
      </c>
      <c r="F12" s="102">
        <f>'1,6 CN'!M12</f>
        <v>0.6</v>
      </c>
      <c r="G12" s="102">
        <f>'1,6 CN'!P12</f>
        <v>0.60869565217391308</v>
      </c>
      <c r="H12" s="102">
        <f>'1,6 CN'!S12</f>
        <v>0.29411764705882354</v>
      </c>
      <c r="I12" s="102">
        <f>'1,6 CN'!V12</f>
        <v>0.2608695652173913</v>
      </c>
      <c r="J12" s="102">
        <f>'1,6 CN'!Y12</f>
        <v>0.21428571428571427</v>
      </c>
      <c r="K12" s="102">
        <f>'1,6 CN'!AB12</f>
        <v>0.08</v>
      </c>
      <c r="L12" s="102">
        <f>'1,6 CN'!AE12</f>
        <v>6.8181818181818177E-2</v>
      </c>
      <c r="M12" s="102">
        <f>'1,6 CN'!AH12</f>
        <v>0.20408163265306123</v>
      </c>
      <c r="N12" s="102" t="e">
        <f>'1,6 CN'!AK12</f>
        <v>#DIV/0!</v>
      </c>
      <c r="O12" s="159">
        <f>'1,6 CN'!AN12</f>
        <v>0.54782608695652169</v>
      </c>
      <c r="P12" s="1" t="s">
        <v>175</v>
      </c>
      <c r="Q12" s="1"/>
    </row>
    <row r="13" spans="1:17" ht="27" x14ac:dyDescent="0.15">
      <c r="A13" s="2" t="s">
        <v>199</v>
      </c>
      <c r="B13" s="77" t="s">
        <v>98</v>
      </c>
      <c r="C13" s="159" t="str">
        <f>'1,6 CN'!D13</f>
        <v/>
      </c>
      <c r="D13" s="159" t="str">
        <f>'1,6 CN'!G13</f>
        <v/>
      </c>
      <c r="E13" s="102" t="str">
        <f>'1,6 CN'!J13</f>
        <v/>
      </c>
      <c r="F13" s="102" t="str">
        <f>'1,6 CN'!M13</f>
        <v/>
      </c>
      <c r="G13" s="102" t="e">
        <f>'1,6 CN'!P13</f>
        <v>#DIV/0!</v>
      </c>
      <c r="H13" s="102" t="e">
        <f>'1,6 CN'!S13</f>
        <v>#DIV/0!</v>
      </c>
      <c r="I13" s="102" t="e">
        <f>'1,6 CN'!V13</f>
        <v>#DIV/0!</v>
      </c>
      <c r="J13" s="102" t="e">
        <f>'1,6 CN'!Y13</f>
        <v>#DIV/0!</v>
      </c>
      <c r="K13" s="102" t="e">
        <f>'1,6 CN'!AB13</f>
        <v>#DIV/0!</v>
      </c>
      <c r="L13" s="102" t="e">
        <f>'1,6 CN'!AE13</f>
        <v>#DIV/0!</v>
      </c>
      <c r="M13" s="102" t="e">
        <f>'1,6 CN'!AH13</f>
        <v>#DIV/0!</v>
      </c>
      <c r="N13" s="102" t="e">
        <f>'1,6 CN'!AK13</f>
        <v>#DIV/0!</v>
      </c>
      <c r="O13" s="159" t="str">
        <f>'1,6 CN'!AN13</f>
        <v/>
      </c>
      <c r="P13" s="1"/>
      <c r="Q13" s="1"/>
    </row>
    <row r="14" spans="1:17" ht="27" x14ac:dyDescent="0.15">
      <c r="A14" s="2" t="s">
        <v>199</v>
      </c>
      <c r="B14" s="77" t="s">
        <v>99</v>
      </c>
      <c r="C14" s="159" t="str">
        <f>'1,6 CN'!D14</f>
        <v/>
      </c>
      <c r="D14" s="159" t="str">
        <f>'1,6 CN'!G14</f>
        <v/>
      </c>
      <c r="E14" s="102" t="str">
        <f>'1,6 CN'!J14</f>
        <v/>
      </c>
      <c r="F14" s="102" t="str">
        <f>'1,6 CN'!M14</f>
        <v/>
      </c>
      <c r="G14" s="102" t="e">
        <f>'1,6 CN'!P14</f>
        <v>#DIV/0!</v>
      </c>
      <c r="H14" s="102" t="e">
        <f>'1,6 CN'!S14</f>
        <v>#DIV/0!</v>
      </c>
      <c r="I14" s="102" t="e">
        <f>'1,6 CN'!V14</f>
        <v>#DIV/0!</v>
      </c>
      <c r="J14" s="102" t="e">
        <f>'1,6 CN'!Y14</f>
        <v>#DIV/0!</v>
      </c>
      <c r="K14" s="102" t="e">
        <f>'1,6 CN'!AB14</f>
        <v>#DIV/0!</v>
      </c>
      <c r="L14" s="102" t="e">
        <f>'1,6 CN'!AE14</f>
        <v>#DIV/0!</v>
      </c>
      <c r="M14" s="102" t="e">
        <f>'1,6 CN'!AH14</f>
        <v>#DIV/0!</v>
      </c>
      <c r="N14" s="102" t="e">
        <f>'1,6 CN'!AK14</f>
        <v>#DIV/0!</v>
      </c>
      <c r="O14" s="159" t="str">
        <f>'1,6 CN'!AN14</f>
        <v/>
      </c>
      <c r="P14" s="1"/>
      <c r="Q14" s="1"/>
    </row>
    <row r="15" spans="1:17" ht="27" x14ac:dyDescent="0.15">
      <c r="A15" s="2" t="s">
        <v>199</v>
      </c>
      <c r="B15" s="78" t="s">
        <v>100</v>
      </c>
      <c r="C15" s="159" t="str">
        <f>'1,6 CN'!D15</f>
        <v/>
      </c>
      <c r="D15" s="159" t="str">
        <f>'1,6 CN'!G15</f>
        <v/>
      </c>
      <c r="E15" s="102" t="str">
        <f>'1,6 CN'!J15</f>
        <v/>
      </c>
      <c r="F15" s="102" t="str">
        <f>'1,6 CN'!M15</f>
        <v/>
      </c>
      <c r="G15" s="102" t="e">
        <f>'1,6 CN'!P15</f>
        <v>#DIV/0!</v>
      </c>
      <c r="H15" s="102" t="e">
        <f>'1,6 CN'!S15</f>
        <v>#DIV/0!</v>
      </c>
      <c r="I15" s="102" t="e">
        <f>'1,6 CN'!V15</f>
        <v>#DIV/0!</v>
      </c>
      <c r="J15" s="102" t="e">
        <f>'1,6 CN'!Y15</f>
        <v>#DIV/0!</v>
      </c>
      <c r="K15" s="102" t="e">
        <f>'1,6 CN'!AB15</f>
        <v>#DIV/0!</v>
      </c>
      <c r="L15" s="102" t="e">
        <f>'1,6 CN'!AE15</f>
        <v>#DIV/0!</v>
      </c>
      <c r="M15" s="102" t="e">
        <f>'1,6 CN'!AH15</f>
        <v>#DIV/0!</v>
      </c>
      <c r="N15" s="102" t="e">
        <f>'1,6 CN'!AK15</f>
        <v>#DIV/0!</v>
      </c>
      <c r="O15" s="159" t="str">
        <f>'1,6 CN'!AN15</f>
        <v/>
      </c>
      <c r="P15" s="1"/>
      <c r="Q15" s="1"/>
    </row>
    <row r="16" spans="1:17" ht="27" x14ac:dyDescent="0.15">
      <c r="A16" s="2" t="s">
        <v>199</v>
      </c>
      <c r="B16" s="77" t="s">
        <v>101</v>
      </c>
      <c r="C16" s="159" t="str">
        <f>'1,6 CN'!D16</f>
        <v/>
      </c>
      <c r="D16" s="159" t="str">
        <f>'1,6 CN'!G16</f>
        <v/>
      </c>
      <c r="E16" s="102" t="str">
        <f>'1,6 CN'!J16</f>
        <v/>
      </c>
      <c r="F16" s="102" t="str">
        <f>'1,6 CN'!M16</f>
        <v/>
      </c>
      <c r="G16" s="102" t="e">
        <f>'1,6 CN'!P16</f>
        <v>#DIV/0!</v>
      </c>
      <c r="H16" s="102" t="e">
        <f>'1,6 CN'!S16</f>
        <v>#DIV/0!</v>
      </c>
      <c r="I16" s="102" t="e">
        <f>'1,6 CN'!V16</f>
        <v>#DIV/0!</v>
      </c>
      <c r="J16" s="102" t="e">
        <f>'1,6 CN'!Y16</f>
        <v>#DIV/0!</v>
      </c>
      <c r="K16" s="102" t="e">
        <f>'1,6 CN'!AB16</f>
        <v>#DIV/0!</v>
      </c>
      <c r="L16" s="102" t="e">
        <f>'1,6 CN'!AE16</f>
        <v>#DIV/0!</v>
      </c>
      <c r="M16" s="102" t="e">
        <f>'1,6 CN'!AH16</f>
        <v>#DIV/0!</v>
      </c>
      <c r="N16" s="102" t="e">
        <f>'1,6 CN'!AK16</f>
        <v>#DIV/0!</v>
      </c>
      <c r="O16" s="159" t="str">
        <f>'1,6 CN'!AN16</f>
        <v/>
      </c>
      <c r="P16" s="1"/>
      <c r="Q16" s="1"/>
    </row>
    <row r="17" spans="1:17" ht="27" x14ac:dyDescent="0.15">
      <c r="A17" s="2" t="s">
        <v>199</v>
      </c>
      <c r="B17" s="77" t="s">
        <v>102</v>
      </c>
      <c r="C17" s="159">
        <f>'1,6 CN'!D17</f>
        <v>0.42857142857142855</v>
      </c>
      <c r="D17" s="159" t="str">
        <f>'1,6 CN'!G17</f>
        <v/>
      </c>
      <c r="E17" s="102">
        <f>'1,6 CN'!J17</f>
        <v>0</v>
      </c>
      <c r="F17" s="102">
        <f>'1,6 CN'!M17</f>
        <v>0</v>
      </c>
      <c r="G17" s="102" t="e">
        <f>'1,6 CN'!P17</f>
        <v>#DIV/0!</v>
      </c>
      <c r="H17" s="102" t="e">
        <f>'1,6 CN'!S17</f>
        <v>#DIV/0!</v>
      </c>
      <c r="I17" s="102" t="e">
        <f>'1,6 CN'!V17</f>
        <v>#DIV/0!</v>
      </c>
      <c r="J17" s="102" t="e">
        <f>'1,6 CN'!Y17</f>
        <v>#DIV/0!</v>
      </c>
      <c r="K17" s="102">
        <f>'1,6 CN'!AB17</f>
        <v>0</v>
      </c>
      <c r="L17" s="102">
        <f>'1,6 CN'!AE17</f>
        <v>5.8823529411764705E-2</v>
      </c>
      <c r="M17" s="102">
        <f>'1,6 CN'!AH17</f>
        <v>0</v>
      </c>
      <c r="N17" s="102" t="e">
        <f>'1,6 CN'!AK17</f>
        <v>#DIV/0!</v>
      </c>
      <c r="O17" s="159">
        <f>'1,6 CN'!AN17</f>
        <v>7.3170731707317069E-2</v>
      </c>
      <c r="P17" s="1"/>
      <c r="Q17" s="1"/>
    </row>
    <row r="18" spans="1:17" ht="27" x14ac:dyDescent="0.15">
      <c r="A18" s="2" t="s">
        <v>199</v>
      </c>
      <c r="B18" s="77" t="s">
        <v>103</v>
      </c>
      <c r="C18" s="159" t="str">
        <f>'1,6 CN'!D18</f>
        <v/>
      </c>
      <c r="D18" s="159" t="str">
        <f>'1,6 CN'!G18</f>
        <v/>
      </c>
      <c r="E18" s="102" t="str">
        <f>'1,6 CN'!J18</f>
        <v/>
      </c>
      <c r="F18" s="102" t="str">
        <f>'1,6 CN'!M18</f>
        <v/>
      </c>
      <c r="G18" s="102" t="e">
        <f>'1,6 CN'!P18</f>
        <v>#DIV/0!</v>
      </c>
      <c r="H18" s="102" t="e">
        <f>'1,6 CN'!S18</f>
        <v>#DIV/0!</v>
      </c>
      <c r="I18" s="102" t="e">
        <f>'1,6 CN'!V18</f>
        <v>#DIV/0!</v>
      </c>
      <c r="J18" s="102" t="e">
        <f>'1,6 CN'!Y18</f>
        <v>#DIV/0!</v>
      </c>
      <c r="K18" s="102" t="e">
        <f>'1,6 CN'!AB18</f>
        <v>#DIV/0!</v>
      </c>
      <c r="L18" s="102" t="e">
        <f>'1,6 CN'!AE18</f>
        <v>#DIV/0!</v>
      </c>
      <c r="M18" s="102" t="e">
        <f>'1,6 CN'!AH18</f>
        <v>#DIV/0!</v>
      </c>
      <c r="N18" s="102" t="e">
        <f>'1,6 CN'!AK18</f>
        <v>#DIV/0!</v>
      </c>
      <c r="O18" s="159" t="str">
        <f>'1,6 CN'!AN18</f>
        <v/>
      </c>
      <c r="P18" s="1"/>
      <c r="Q18" s="1"/>
    </row>
    <row r="19" spans="1:17" ht="27" x14ac:dyDescent="0.15">
      <c r="A19" s="2" t="s">
        <v>199</v>
      </c>
      <c r="B19" s="77" t="s">
        <v>104</v>
      </c>
      <c r="C19" s="159" t="str">
        <f>'1,6 CN'!D19</f>
        <v/>
      </c>
      <c r="D19" s="159" t="str">
        <f>'1,6 CN'!G19</f>
        <v/>
      </c>
      <c r="E19" s="102" t="str">
        <f>'1,6 CN'!J19</f>
        <v/>
      </c>
      <c r="F19" s="102" t="str">
        <f>'1,6 CN'!M19</f>
        <v/>
      </c>
      <c r="G19" s="102" t="e">
        <f>'1,6 CN'!P19</f>
        <v>#DIV/0!</v>
      </c>
      <c r="H19" s="102" t="e">
        <f>'1,6 CN'!S19</f>
        <v>#DIV/0!</v>
      </c>
      <c r="I19" s="102" t="e">
        <f>'1,6 CN'!V19</f>
        <v>#DIV/0!</v>
      </c>
      <c r="J19" s="102" t="e">
        <f>'1,6 CN'!Y19</f>
        <v>#DIV/0!</v>
      </c>
      <c r="K19" s="102" t="e">
        <f>'1,6 CN'!AB19</f>
        <v>#DIV/0!</v>
      </c>
      <c r="L19" s="102" t="e">
        <f>'1,6 CN'!AE19</f>
        <v>#DIV/0!</v>
      </c>
      <c r="M19" s="102" t="e">
        <f>'1,6 CN'!AH19</f>
        <v>#DIV/0!</v>
      </c>
      <c r="N19" s="102" t="e">
        <f>'1,6 CN'!AK19</f>
        <v>#DIV/0!</v>
      </c>
      <c r="O19" s="159" t="str">
        <f>'1,6 CN'!AN19</f>
        <v/>
      </c>
      <c r="P19" s="1"/>
      <c r="Q19" s="1"/>
    </row>
    <row r="20" spans="1:17" ht="27" x14ac:dyDescent="0.15">
      <c r="A20" s="2" t="s">
        <v>199</v>
      </c>
      <c r="B20" s="77" t="s">
        <v>105</v>
      </c>
      <c r="C20" s="159" t="str">
        <f>'1,6 CN'!D20</f>
        <v/>
      </c>
      <c r="D20" s="159" t="str">
        <f>'1,6 CN'!G20</f>
        <v/>
      </c>
      <c r="E20" s="102" t="str">
        <f>'1,6 CN'!J20</f>
        <v/>
      </c>
      <c r="F20" s="102" t="str">
        <f>'1,6 CN'!M20</f>
        <v/>
      </c>
      <c r="G20" s="102" t="e">
        <f>'1,6 CN'!P20</f>
        <v>#DIV/0!</v>
      </c>
      <c r="H20" s="102" t="e">
        <f>'1,6 CN'!S20</f>
        <v>#DIV/0!</v>
      </c>
      <c r="I20" s="102" t="e">
        <f>'1,6 CN'!V20</f>
        <v>#DIV/0!</v>
      </c>
      <c r="J20" s="102" t="e">
        <f>'1,6 CN'!Y20</f>
        <v>#DIV/0!</v>
      </c>
      <c r="K20" s="102" t="e">
        <f>'1,6 CN'!AB20</f>
        <v>#DIV/0!</v>
      </c>
      <c r="L20" s="102" t="e">
        <f>'1,6 CN'!AE20</f>
        <v>#DIV/0!</v>
      </c>
      <c r="M20" s="102" t="e">
        <f>'1,6 CN'!AH20</f>
        <v>#DIV/0!</v>
      </c>
      <c r="N20" s="102" t="e">
        <f>'1,6 CN'!AK20</f>
        <v>#DIV/0!</v>
      </c>
      <c r="O20" s="159" t="str">
        <f>'1,6 CN'!AN20</f>
        <v/>
      </c>
      <c r="P20" s="1"/>
      <c r="Q20" s="1"/>
    </row>
    <row r="21" spans="1:17" ht="27" x14ac:dyDescent="0.2">
      <c r="A21" s="2" t="s">
        <v>199</v>
      </c>
      <c r="B21" s="79" t="s">
        <v>106</v>
      </c>
      <c r="C21" s="159" t="str">
        <f>'1,6 CN'!D21</f>
        <v/>
      </c>
      <c r="D21" s="159" t="str">
        <f>'1,6 CN'!G21</f>
        <v/>
      </c>
      <c r="E21" s="102" t="str">
        <f>'1,6 CN'!J21</f>
        <v/>
      </c>
      <c r="F21" s="102" t="str">
        <f>'1,6 CN'!M21</f>
        <v/>
      </c>
      <c r="G21" s="102" t="e">
        <f>'1,6 CN'!P21</f>
        <v>#DIV/0!</v>
      </c>
      <c r="H21" s="102" t="e">
        <f>'1,6 CN'!S21</f>
        <v>#DIV/0!</v>
      </c>
      <c r="I21" s="102" t="e">
        <f>'1,6 CN'!V21</f>
        <v>#DIV/0!</v>
      </c>
      <c r="J21" s="102" t="e">
        <f>'1,6 CN'!Y21</f>
        <v>#DIV/0!</v>
      </c>
      <c r="K21" s="102" t="e">
        <f>'1,6 CN'!AB21</f>
        <v>#DIV/0!</v>
      </c>
      <c r="L21" s="102" t="e">
        <f>'1,6 CN'!AE21</f>
        <v>#DIV/0!</v>
      </c>
      <c r="M21" s="102" t="e">
        <f>'1,6 CN'!AH21</f>
        <v>#DIV/0!</v>
      </c>
      <c r="N21" s="102" t="e">
        <f>'1,6 CN'!AK21</f>
        <v>#DIV/0!</v>
      </c>
      <c r="O21" s="159" t="str">
        <f>'1,6 CN'!AN21</f>
        <v/>
      </c>
      <c r="P21" s="1"/>
      <c r="Q21" s="1"/>
    </row>
    <row r="22" spans="1:17" ht="27" x14ac:dyDescent="0.15">
      <c r="A22" s="2" t="s">
        <v>199</v>
      </c>
      <c r="B22" s="77" t="s">
        <v>107</v>
      </c>
      <c r="C22" s="159">
        <f>'1,6 CN'!D22</f>
        <v>0.30645161290322581</v>
      </c>
      <c r="D22" s="159">
        <f>'1,6 CN'!G22</f>
        <v>0.61111111111111116</v>
      </c>
      <c r="E22" s="102">
        <f>'1,6 CN'!J22</f>
        <v>0.3867924528301887</v>
      </c>
      <c r="F22" s="102">
        <f>'1,6 CN'!M22</f>
        <v>0.45689655172413796</v>
      </c>
      <c r="G22" s="102">
        <f>'1,6 CN'!P22</f>
        <v>0.30927835051546393</v>
      </c>
      <c r="H22" s="102">
        <f>'1,6 CN'!S22</f>
        <v>0.3935483870967742</v>
      </c>
      <c r="I22" s="102">
        <f>'1,6 CN'!V22</f>
        <v>0.30630630630630629</v>
      </c>
      <c r="J22" s="102">
        <f>'1,6 CN'!Y22</f>
        <v>0.28358208955223879</v>
      </c>
      <c r="K22" s="102">
        <f>'1,6 CN'!AB22</f>
        <v>0.41666666666666669</v>
      </c>
      <c r="L22" s="102">
        <f>'1,6 CN'!AE22</f>
        <v>0.33333333333333331</v>
      </c>
      <c r="M22" s="102">
        <f>'1,6 CN'!AH22</f>
        <v>0.32558139534883723</v>
      </c>
      <c r="N22" s="102" t="e">
        <f>'1,6 CN'!AK22</f>
        <v>#DIV/0!</v>
      </c>
      <c r="O22" s="159">
        <f>'1,6 CN'!AN22</f>
        <v>0.42038216560509556</v>
      </c>
      <c r="P22" s="1" t="s">
        <v>176</v>
      </c>
      <c r="Q22" s="1"/>
    </row>
    <row r="23" spans="1:17" ht="27" x14ac:dyDescent="0.15">
      <c r="A23" s="2" t="s">
        <v>199</v>
      </c>
      <c r="B23" s="77" t="s">
        <v>108</v>
      </c>
      <c r="C23" s="159" t="str">
        <f>'1,6 CN'!D23</f>
        <v/>
      </c>
      <c r="D23" s="159" t="str">
        <f>'1,6 CN'!G23</f>
        <v/>
      </c>
      <c r="E23" s="102" t="str">
        <f>'1,6 CN'!J23</f>
        <v/>
      </c>
      <c r="F23" s="102" t="str">
        <f>'1,6 CN'!M23</f>
        <v/>
      </c>
      <c r="G23" s="102" t="e">
        <f>'1,6 CN'!P23</f>
        <v>#DIV/0!</v>
      </c>
      <c r="H23" s="102" t="e">
        <f>'1,6 CN'!S23</f>
        <v>#DIV/0!</v>
      </c>
      <c r="I23" s="102" t="e">
        <f>'1,6 CN'!V23</f>
        <v>#DIV/0!</v>
      </c>
      <c r="J23" s="102" t="e">
        <f>'1,6 CN'!Y23</f>
        <v>#DIV/0!</v>
      </c>
      <c r="K23" s="102" t="e">
        <f>'1,6 CN'!AB23</f>
        <v>#DIV/0!</v>
      </c>
      <c r="L23" s="102" t="e">
        <f>'1,6 CN'!AE23</f>
        <v>#DIV/0!</v>
      </c>
      <c r="M23" s="102" t="e">
        <f>'1,6 CN'!AH23</f>
        <v>#DIV/0!</v>
      </c>
      <c r="N23" s="102" t="e">
        <f>'1,6 CN'!AK23</f>
        <v>#DIV/0!</v>
      </c>
      <c r="O23" s="159" t="str">
        <f>'1,6 CN'!AN23</f>
        <v/>
      </c>
      <c r="P23" s="1"/>
      <c r="Q23" s="1"/>
    </row>
    <row r="24" spans="1:17" ht="27" x14ac:dyDescent="0.15">
      <c r="A24" s="2" t="s">
        <v>199</v>
      </c>
      <c r="B24" s="77" t="s">
        <v>109</v>
      </c>
      <c r="C24" s="159">
        <f>'1,6 CN'!D24</f>
        <v>0.30833333333333335</v>
      </c>
      <c r="D24" s="159">
        <f>'1,6 CN'!G24</f>
        <v>0.2857142857142857</v>
      </c>
      <c r="E24" s="102">
        <f>'1,6 CN'!J24</f>
        <v>0.26543209876543211</v>
      </c>
      <c r="F24" s="102">
        <f>'1,6 CN'!M24</f>
        <v>0.22695035460992907</v>
      </c>
      <c r="G24" s="102">
        <f>'1,6 CN'!P24</f>
        <v>0.23287671232876711</v>
      </c>
      <c r="H24" s="102">
        <f>'1,6 CN'!S24</f>
        <v>0.23684210526315788</v>
      </c>
      <c r="I24" s="102">
        <f>'1,6 CN'!V24</f>
        <v>0.19402985074626866</v>
      </c>
      <c r="J24" s="102">
        <f>'1,6 CN'!Y24</f>
        <v>0.35294117647058826</v>
      </c>
      <c r="K24" s="102">
        <f>'1,6 CN'!AB24</f>
        <v>0.23129251700680273</v>
      </c>
      <c r="L24" s="102">
        <f>'1,6 CN'!AE24</f>
        <v>0.20895522388059701</v>
      </c>
      <c r="M24" s="102">
        <f>'1,6 CN'!AH24</f>
        <v>0.17692307692307693</v>
      </c>
      <c r="N24" s="102" t="e">
        <f>'1,6 CN'!AK24</f>
        <v>#DIV/0!</v>
      </c>
      <c r="O24" s="159">
        <f>'1,6 CN'!AN24</f>
        <v>0.26162790697674421</v>
      </c>
      <c r="P24" s="1" t="s">
        <v>173</v>
      </c>
      <c r="Q24" s="1"/>
    </row>
    <row r="25" spans="1:17" ht="27" x14ac:dyDescent="0.15">
      <c r="A25" s="2" t="s">
        <v>199</v>
      </c>
      <c r="B25" s="77" t="s">
        <v>110</v>
      </c>
      <c r="C25" s="159" t="str">
        <f>'1,6 CN'!D25</f>
        <v/>
      </c>
      <c r="D25" s="159" t="str">
        <f>'1,6 CN'!G25</f>
        <v/>
      </c>
      <c r="E25" s="102" t="str">
        <f>'1,6 CN'!J25</f>
        <v/>
      </c>
      <c r="F25" s="102" t="str">
        <f>'1,6 CN'!M25</f>
        <v/>
      </c>
      <c r="G25" s="102" t="e">
        <f>'1,6 CN'!P25</f>
        <v>#DIV/0!</v>
      </c>
      <c r="H25" s="102" t="e">
        <f>'1,6 CN'!S25</f>
        <v>#DIV/0!</v>
      </c>
      <c r="I25" s="102" t="e">
        <f>'1,6 CN'!V25</f>
        <v>#DIV/0!</v>
      </c>
      <c r="J25" s="102" t="e">
        <f>'1,6 CN'!Y25</f>
        <v>#DIV/0!</v>
      </c>
      <c r="K25" s="102" t="e">
        <f>'1,6 CN'!AB25</f>
        <v>#DIV/0!</v>
      </c>
      <c r="L25" s="102" t="e">
        <f>'1,6 CN'!AE25</f>
        <v>#DIV/0!</v>
      </c>
      <c r="M25" s="102" t="e">
        <f>'1,6 CN'!AH25</f>
        <v>#DIV/0!</v>
      </c>
      <c r="N25" s="102" t="e">
        <f>'1,6 CN'!AK25</f>
        <v>#DIV/0!</v>
      </c>
      <c r="O25" s="159" t="str">
        <f>'1,6 CN'!AN25</f>
        <v/>
      </c>
      <c r="P25" s="1"/>
      <c r="Q25" s="1"/>
    </row>
    <row r="26" spans="1:17" ht="27" x14ac:dyDescent="0.15">
      <c r="A26" s="2" t="s">
        <v>199</v>
      </c>
      <c r="B26" s="77" t="s">
        <v>111</v>
      </c>
      <c r="C26" s="159" t="str">
        <f>'1,6 CN'!D26</f>
        <v/>
      </c>
      <c r="D26" s="159" t="str">
        <f>'1,6 CN'!G26</f>
        <v/>
      </c>
      <c r="E26" s="102" t="str">
        <f>'1,6 CN'!J26</f>
        <v/>
      </c>
      <c r="F26" s="102" t="str">
        <f>'1,6 CN'!M26</f>
        <v/>
      </c>
      <c r="G26" s="102" t="e">
        <f>'1,6 CN'!P26</f>
        <v>#DIV/0!</v>
      </c>
      <c r="H26" s="102" t="e">
        <f>'1,6 CN'!S26</f>
        <v>#DIV/0!</v>
      </c>
      <c r="I26" s="102" t="e">
        <f>'1,6 CN'!V26</f>
        <v>#DIV/0!</v>
      </c>
      <c r="J26" s="102" t="e">
        <f>'1,6 CN'!Y26</f>
        <v>#DIV/0!</v>
      </c>
      <c r="K26" s="102" t="e">
        <f>'1,6 CN'!AB26</f>
        <v>#DIV/0!</v>
      </c>
      <c r="L26" s="102" t="e">
        <f>'1,6 CN'!AE26</f>
        <v>#DIV/0!</v>
      </c>
      <c r="M26" s="102" t="e">
        <f>'1,6 CN'!AH26</f>
        <v>#DIV/0!</v>
      </c>
      <c r="N26" s="102" t="e">
        <f>'1,6 CN'!AK26</f>
        <v>#DIV/0!</v>
      </c>
      <c r="O26" s="159" t="str">
        <f>'1,6 CN'!AN26</f>
        <v/>
      </c>
      <c r="P26" s="1"/>
      <c r="Q26" s="1"/>
    </row>
    <row r="27" spans="1:17" ht="27" x14ac:dyDescent="0.2">
      <c r="A27" s="2" t="s">
        <v>199</v>
      </c>
      <c r="B27" s="79" t="s">
        <v>112</v>
      </c>
      <c r="C27" s="159" t="str">
        <f>'1,6 CN'!D27</f>
        <v/>
      </c>
      <c r="D27" s="159" t="str">
        <f>'1,6 CN'!G27</f>
        <v/>
      </c>
      <c r="E27" s="102" t="str">
        <f>'1,6 CN'!J27</f>
        <v/>
      </c>
      <c r="F27" s="102" t="str">
        <f>'1,6 CN'!M27</f>
        <v/>
      </c>
      <c r="G27" s="102" t="e">
        <f>'1,6 CN'!P27</f>
        <v>#DIV/0!</v>
      </c>
      <c r="H27" s="102" t="e">
        <f>'1,6 CN'!S27</f>
        <v>#DIV/0!</v>
      </c>
      <c r="I27" s="102" t="e">
        <f>'1,6 CN'!V27</f>
        <v>#DIV/0!</v>
      </c>
      <c r="J27" s="102" t="e">
        <f>'1,6 CN'!Y27</f>
        <v>#DIV/0!</v>
      </c>
      <c r="K27" s="102" t="e">
        <f>'1,6 CN'!AB27</f>
        <v>#DIV/0!</v>
      </c>
      <c r="L27" s="102" t="e">
        <f>'1,6 CN'!AE27</f>
        <v>#DIV/0!</v>
      </c>
      <c r="M27" s="102" t="e">
        <f>'1,6 CN'!AH27</f>
        <v>#DIV/0!</v>
      </c>
      <c r="N27" s="102" t="e">
        <f>'1,6 CN'!AK27</f>
        <v>#DIV/0!</v>
      </c>
      <c r="O27" s="159" t="str">
        <f>'1,6 CN'!AN27</f>
        <v/>
      </c>
      <c r="P27" s="1"/>
      <c r="Q27" s="1"/>
    </row>
    <row r="28" spans="1:17" ht="27" x14ac:dyDescent="0.15">
      <c r="A28" s="2" t="s">
        <v>199</v>
      </c>
      <c r="B28" s="77" t="s">
        <v>113</v>
      </c>
      <c r="C28" s="159">
        <f>'1,6 CN'!D28</f>
        <v>0.18095238095238095</v>
      </c>
      <c r="D28" s="159">
        <f>'1,6 CN'!G28</f>
        <v>0.2878787878787879</v>
      </c>
      <c r="E28" s="102">
        <f>'1,6 CN'!J28</f>
        <v>0.28225806451612906</v>
      </c>
      <c r="F28" s="102">
        <f>'1,6 CN'!M28</f>
        <v>0.21359223300970873</v>
      </c>
      <c r="G28" s="102">
        <f>'1,6 CN'!P28</f>
        <v>0.21296296296296297</v>
      </c>
      <c r="H28" s="102">
        <f>'1,6 CN'!S28</f>
        <v>0.15929203539823009</v>
      </c>
      <c r="I28" s="102">
        <f>'1,6 CN'!V28</f>
        <v>0.19696969696969696</v>
      </c>
      <c r="J28" s="102">
        <f>'1,6 CN'!Y28</f>
        <v>0.15625</v>
      </c>
      <c r="K28" s="102">
        <f>'1,6 CN'!AB28</f>
        <v>0.16806722689075632</v>
      </c>
      <c r="L28" s="102">
        <f>'1,6 CN'!AE28</f>
        <v>0.19469026548672566</v>
      </c>
      <c r="M28" s="102">
        <f>'1,6 CN'!AH28</f>
        <v>0.20430107526881722</v>
      </c>
      <c r="N28" s="102" t="e">
        <f>'1,6 CN'!AK28</f>
        <v>#DIV/0!</v>
      </c>
      <c r="O28" s="159">
        <f>'1,6 CN'!AN28</f>
        <v>0.233201581027668</v>
      </c>
      <c r="P28" s="1" t="s">
        <v>174</v>
      </c>
      <c r="Q28" s="1"/>
    </row>
    <row r="29" spans="1:17" ht="27" x14ac:dyDescent="0.15">
      <c r="A29" s="2" t="s">
        <v>199</v>
      </c>
      <c r="B29" s="77" t="s">
        <v>114</v>
      </c>
      <c r="C29" s="159">
        <f>'1,6 CN'!D29</f>
        <v>0.25769230769230766</v>
      </c>
      <c r="D29" s="159">
        <f>'1,6 CN'!G29</f>
        <v>0.16842105263157894</v>
      </c>
      <c r="E29" s="102">
        <f>'1,6 CN'!J29</f>
        <v>0.27586206896551724</v>
      </c>
      <c r="F29" s="102">
        <f>'1,6 CN'!M29</f>
        <v>0.21848739495798319</v>
      </c>
      <c r="G29" s="102">
        <f>'1,6 CN'!P29</f>
        <v>0.45583038869257952</v>
      </c>
      <c r="H29" s="102">
        <f>'1,6 CN'!S29</f>
        <v>0.29714285714285715</v>
      </c>
      <c r="I29" s="102">
        <f>'1,6 CN'!V29</f>
        <v>0.27078384798099764</v>
      </c>
      <c r="J29" s="102">
        <f>'1,6 CN'!Y29</f>
        <v>0.23759791122715404</v>
      </c>
      <c r="K29" s="102">
        <f>'1,6 CN'!AB29</f>
        <v>0.27309236947791166</v>
      </c>
      <c r="L29" s="102">
        <f>'1,6 CN'!AE29</f>
        <v>0.21243523316062177</v>
      </c>
      <c r="M29" s="102">
        <f>'1,6 CN'!AH29</f>
        <v>0.23230088495575221</v>
      </c>
      <c r="N29" s="102" t="e">
        <f>'1,6 CN'!AK29</f>
        <v>#DIV/0!</v>
      </c>
      <c r="O29" s="159">
        <f>'1,6 CN'!AN29</f>
        <v>0.28673835125448027</v>
      </c>
      <c r="P29" s="1" t="s">
        <v>174</v>
      </c>
      <c r="Q29" s="1"/>
    </row>
    <row r="30" spans="1:17" ht="27" x14ac:dyDescent="0.15">
      <c r="A30" s="2" t="s">
        <v>199</v>
      </c>
      <c r="B30" s="77" t="s">
        <v>115</v>
      </c>
      <c r="C30" s="159" t="str">
        <f>'1,6 CN'!D30</f>
        <v/>
      </c>
      <c r="D30" s="159" t="str">
        <f>'1,6 CN'!G30</f>
        <v/>
      </c>
      <c r="E30" s="102" t="str">
        <f>'1,6 CN'!J30</f>
        <v/>
      </c>
      <c r="F30" s="102" t="str">
        <f>'1,6 CN'!M30</f>
        <v/>
      </c>
      <c r="G30" s="102" t="e">
        <f>'1,6 CN'!P30</f>
        <v>#DIV/0!</v>
      </c>
      <c r="H30" s="102" t="e">
        <f>'1,6 CN'!S30</f>
        <v>#DIV/0!</v>
      </c>
      <c r="I30" s="102" t="e">
        <f>'1,6 CN'!V30</f>
        <v>#DIV/0!</v>
      </c>
      <c r="J30" s="102" t="e">
        <f>'1,6 CN'!Y30</f>
        <v>#DIV/0!</v>
      </c>
      <c r="K30" s="102" t="e">
        <f>'1,6 CN'!AB30</f>
        <v>#DIV/0!</v>
      </c>
      <c r="L30" s="102" t="e">
        <f>'1,6 CN'!AE30</f>
        <v>#DIV/0!</v>
      </c>
      <c r="M30" s="102" t="e">
        <f>'1,6 CN'!AH30</f>
        <v>#DIV/0!</v>
      </c>
      <c r="N30" s="102" t="e">
        <f>'1,6 CN'!AK30</f>
        <v>#DIV/0!</v>
      </c>
      <c r="O30" s="159" t="str">
        <f>'1,6 CN'!AN30</f>
        <v/>
      </c>
      <c r="P30" s="1"/>
      <c r="Q30" s="1"/>
    </row>
    <row r="31" spans="1:17" ht="27" x14ac:dyDescent="0.15">
      <c r="A31" s="2" t="s">
        <v>199</v>
      </c>
      <c r="B31" s="77" t="s">
        <v>116</v>
      </c>
      <c r="C31" s="159">
        <f>'1,6 CN'!D31</f>
        <v>0</v>
      </c>
      <c r="D31" s="159">
        <f>'1,6 CN'!G31</f>
        <v>5.235602094240838E-3</v>
      </c>
      <c r="E31" s="102">
        <f>'1,6 CN'!J31</f>
        <v>3.8194444444444448E-2</v>
      </c>
      <c r="F31" s="102">
        <f>'1,6 CN'!M31</f>
        <v>1.8867924528301886E-2</v>
      </c>
      <c r="G31" s="102">
        <f>'1,6 CN'!P31</f>
        <v>2.9629629629629631E-2</v>
      </c>
      <c r="H31" s="102">
        <f>'1,6 CN'!S31</f>
        <v>8.2644628099173556E-3</v>
      </c>
      <c r="I31" s="102">
        <f>'1,6 CN'!V31</f>
        <v>7.2992700729927005E-3</v>
      </c>
      <c r="J31" s="102">
        <f>'1,6 CN'!Y31</f>
        <v>1.8382352941176471E-2</v>
      </c>
      <c r="K31" s="102">
        <f>'1,6 CN'!AB31</f>
        <v>8.368200836820083E-3</v>
      </c>
      <c r="L31" s="102">
        <f>'1,6 CN'!AE31</f>
        <v>1.6025641025641024E-2</v>
      </c>
      <c r="M31" s="102">
        <f>'1,6 CN'!AH31</f>
        <v>2.2140221402214021E-2</v>
      </c>
      <c r="N31" s="102" t="e">
        <f>'1,6 CN'!AK31</f>
        <v>#DIV/0!</v>
      </c>
      <c r="O31" s="159">
        <f>'1,6 CN'!AN31</f>
        <v>1.8786127167630059E-2</v>
      </c>
      <c r="P31" s="1" t="s">
        <v>172</v>
      </c>
      <c r="Q31" s="1"/>
    </row>
    <row r="32" spans="1:17" ht="27" x14ac:dyDescent="0.15">
      <c r="A32" s="2" t="s">
        <v>199</v>
      </c>
      <c r="B32" s="77" t="s">
        <v>117</v>
      </c>
      <c r="C32" s="159">
        <f>'1,6 CN'!D32</f>
        <v>1.7482517482517484E-2</v>
      </c>
      <c r="D32" s="159">
        <f>'1,6 CN'!G32</f>
        <v>2.0408163265306121E-2</v>
      </c>
      <c r="E32" s="102">
        <f>'1,6 CN'!J32</f>
        <v>3.5916824196597356E-2</v>
      </c>
      <c r="F32" s="102">
        <f>'1,6 CN'!M32</f>
        <v>2.9644268774703556E-2</v>
      </c>
      <c r="G32" s="102">
        <f>'1,6 CN'!P32</f>
        <v>4.2553191489361701E-2</v>
      </c>
      <c r="H32" s="102">
        <f>'1,6 CN'!S32</f>
        <v>2.2792022792022793E-2</v>
      </c>
      <c r="I32" s="102">
        <f>'1,6 CN'!V32</f>
        <v>2.6966292134831461E-2</v>
      </c>
      <c r="J32" s="102">
        <f>'1,6 CN'!Y32</f>
        <v>2.8169014084507043E-2</v>
      </c>
      <c r="K32" s="102">
        <f>'1,6 CN'!AB32</f>
        <v>1.8421052631578946E-2</v>
      </c>
      <c r="L32" s="102">
        <f>'1,6 CN'!AE32</f>
        <v>9.1954022988505746E-3</v>
      </c>
      <c r="M32" s="102">
        <f>'1,6 CN'!AH32</f>
        <v>1.0582010582010581E-2</v>
      </c>
      <c r="N32" s="102" t="e">
        <f>'1,6 CN'!AK32</f>
        <v>#DIV/0!</v>
      </c>
      <c r="O32" s="159">
        <f>'1,6 CN'!AN32</f>
        <v>3.1167459059693609E-2</v>
      </c>
      <c r="P32" s="1" t="s">
        <v>172</v>
      </c>
      <c r="Q32" s="1"/>
    </row>
    <row r="33" spans="1:17" ht="27" x14ac:dyDescent="0.15">
      <c r="A33" s="2" t="s">
        <v>199</v>
      </c>
      <c r="B33" s="80" t="s">
        <v>118</v>
      </c>
      <c r="C33" s="159">
        <f>'1,6 CN'!D33</f>
        <v>0.25362318840579712</v>
      </c>
      <c r="D33" s="159">
        <f>'1,6 CN'!G33</f>
        <v>0.2</v>
      </c>
      <c r="E33" s="102">
        <f>'1,6 CN'!J33</f>
        <v>0.26050420168067229</v>
      </c>
      <c r="F33" s="102">
        <f>'1,6 CN'!M33</f>
        <v>0.28502415458937197</v>
      </c>
      <c r="G33" s="102">
        <f>'1,6 CN'!P33</f>
        <v>0.1864406779661017</v>
      </c>
      <c r="H33" s="102">
        <f>'1,6 CN'!S33</f>
        <v>0.30935251798561153</v>
      </c>
      <c r="I33" s="102">
        <f>'1,6 CN'!V33</f>
        <v>0.18796992481203006</v>
      </c>
      <c r="J33" s="102">
        <f>'1,6 CN'!Y33</f>
        <v>0.32539682539682541</v>
      </c>
      <c r="K33" s="102">
        <f>'1,6 CN'!AB33</f>
        <v>0.21848739495798319</v>
      </c>
      <c r="L33" s="102">
        <f>'1,6 CN'!AE33</f>
        <v>0.25903614457831325</v>
      </c>
      <c r="M33" s="102">
        <f>'1,6 CN'!AH33</f>
        <v>0.26050420168067229</v>
      </c>
      <c r="N33" s="102" t="e">
        <f>'1,6 CN'!AK33</f>
        <v>#DIV/0!</v>
      </c>
      <c r="O33" s="159">
        <f>'1,6 CN'!AN33</f>
        <v>0.24297752808988765</v>
      </c>
      <c r="P33" s="1" t="s">
        <v>175</v>
      </c>
      <c r="Q33" s="1"/>
    </row>
    <row r="34" spans="1:17" ht="14.45" customHeight="1" x14ac:dyDescent="0.15">
      <c r="A34" s="2" t="s">
        <v>199</v>
      </c>
      <c r="B34" s="77" t="s">
        <v>119</v>
      </c>
      <c r="C34" s="159">
        <f>'1,6 CN'!D34</f>
        <v>0.47796610169491527</v>
      </c>
      <c r="D34" s="159">
        <f>'1,6 CN'!G34</f>
        <v>0.32188841201716739</v>
      </c>
      <c r="E34" s="102">
        <f>'1,6 CN'!J34</f>
        <v>0.43391521197007482</v>
      </c>
      <c r="F34" s="102">
        <f>'1,6 CN'!M34</f>
        <v>0.35582822085889571</v>
      </c>
      <c r="G34" s="102">
        <f>'1,6 CN'!P34</f>
        <v>0.29260450160771706</v>
      </c>
      <c r="H34" s="102">
        <f>'1,6 CN'!S34</f>
        <v>0.31343283582089554</v>
      </c>
      <c r="I34" s="102">
        <f>'1,6 CN'!V34</f>
        <v>0.4265927977839335</v>
      </c>
      <c r="J34" s="102">
        <f>'1,6 CN'!Y34</f>
        <v>0.38461538461538464</v>
      </c>
      <c r="K34" s="102">
        <f>'1,6 CN'!AB34</f>
        <v>0.37142857142857144</v>
      </c>
      <c r="L34" s="102">
        <f>'1,6 CN'!AE34</f>
        <v>0.43829787234042555</v>
      </c>
      <c r="M34" s="102">
        <f>'1,6 CN'!AH34</f>
        <v>0.42181818181818181</v>
      </c>
      <c r="N34" s="102" t="e">
        <f>'1,6 CN'!AK34</f>
        <v>#DIV/0!</v>
      </c>
      <c r="O34" s="159">
        <f>'1,6 CN'!AN34</f>
        <v>0.38122605363984674</v>
      </c>
      <c r="P34" s="1" t="s">
        <v>176</v>
      </c>
      <c r="Q34" s="1"/>
    </row>
    <row r="35" spans="1:17" ht="27" x14ac:dyDescent="0.15">
      <c r="A35" s="2" t="s">
        <v>199</v>
      </c>
      <c r="B35" s="81" t="s">
        <v>120</v>
      </c>
      <c r="C35" s="159" t="str">
        <f>'1,6 CN'!D35</f>
        <v/>
      </c>
      <c r="D35" s="159">
        <f>'1,6 CN'!G35</f>
        <v>0.2</v>
      </c>
      <c r="E35" s="102">
        <f>'1,6 CN'!J35</f>
        <v>0.23333333333333334</v>
      </c>
      <c r="F35" s="102">
        <f>'1,6 CN'!M35</f>
        <v>0.36363636363636365</v>
      </c>
      <c r="G35" s="102">
        <f>'1,6 CN'!P35</f>
        <v>0.27777777777777779</v>
      </c>
      <c r="H35" s="102">
        <f>'1,6 CN'!S35</f>
        <v>0.14285714285714285</v>
      </c>
      <c r="I35" s="102">
        <f>'1,6 CN'!V35</f>
        <v>0.33333333333333331</v>
      </c>
      <c r="J35" s="102">
        <f>'1,6 CN'!Y35</f>
        <v>0.5714285714285714</v>
      </c>
      <c r="K35" s="102">
        <f>'1,6 CN'!AB35</f>
        <v>0.33333333333333331</v>
      </c>
      <c r="L35" s="102">
        <f>'1,6 CN'!AE35</f>
        <v>0.36363636363636365</v>
      </c>
      <c r="M35" s="102">
        <f>'1,6 CN'!AH35</f>
        <v>0.23529411764705882</v>
      </c>
      <c r="N35" s="102" t="e">
        <f>'1,6 CN'!AK35</f>
        <v>#DIV/0!</v>
      </c>
      <c r="O35" s="159">
        <f>'1,6 CN'!AN35</f>
        <v>0.26666666666666666</v>
      </c>
      <c r="P35" s="1" t="s">
        <v>176</v>
      </c>
      <c r="Q35" s="1"/>
    </row>
    <row r="36" spans="1:17" ht="27" x14ac:dyDescent="0.15">
      <c r="A36" s="2" t="s">
        <v>199</v>
      </c>
      <c r="B36" s="82" t="s">
        <v>121</v>
      </c>
      <c r="C36" s="159" t="str">
        <f>'1,6 CN'!D36</f>
        <v/>
      </c>
      <c r="D36" s="159" t="str">
        <f>'1,6 CN'!G36</f>
        <v/>
      </c>
      <c r="E36" s="102" t="str">
        <f>'1,6 CN'!J36</f>
        <v/>
      </c>
      <c r="F36" s="102" t="str">
        <f>'1,6 CN'!M36</f>
        <v/>
      </c>
      <c r="G36" s="102" t="e">
        <f>'1,6 CN'!P36</f>
        <v>#DIV/0!</v>
      </c>
      <c r="H36" s="102" t="e">
        <f>'1,6 CN'!S36</f>
        <v>#DIV/0!</v>
      </c>
      <c r="I36" s="102" t="e">
        <f>'1,6 CN'!V36</f>
        <v>#DIV/0!</v>
      </c>
      <c r="J36" s="102" t="e">
        <f>'1,6 CN'!Y36</f>
        <v>#DIV/0!</v>
      </c>
      <c r="K36" s="102" t="e">
        <f>'1,6 CN'!AB36</f>
        <v>#DIV/0!</v>
      </c>
      <c r="L36" s="102" t="e">
        <f>'1,6 CN'!AE36</f>
        <v>#DIV/0!</v>
      </c>
      <c r="M36" s="102" t="e">
        <f>'1,6 CN'!AH36</f>
        <v>#DIV/0!</v>
      </c>
      <c r="N36" s="102" t="e">
        <f>'1,6 CN'!AK36</f>
        <v>#DIV/0!</v>
      </c>
      <c r="O36" s="159" t="str">
        <f>'1,6 CN'!AN36</f>
        <v/>
      </c>
      <c r="P36" s="1"/>
      <c r="Q36" s="1"/>
    </row>
    <row r="37" spans="1:17" ht="27" x14ac:dyDescent="0.15">
      <c r="A37" s="2" t="s">
        <v>199</v>
      </c>
      <c r="B37" s="77" t="s">
        <v>122</v>
      </c>
      <c r="C37" s="159" t="str">
        <f>'1,6 CN'!D37</f>
        <v/>
      </c>
      <c r="D37" s="159" t="str">
        <f>'1,6 CN'!G37</f>
        <v/>
      </c>
      <c r="E37" s="102" t="str">
        <f>'1,6 CN'!J37</f>
        <v/>
      </c>
      <c r="F37" s="102" t="str">
        <f>'1,6 CN'!M37</f>
        <v/>
      </c>
      <c r="G37" s="102" t="e">
        <f>'1,6 CN'!P37</f>
        <v>#DIV/0!</v>
      </c>
      <c r="H37" s="102" t="e">
        <f>'1,6 CN'!S37</f>
        <v>#DIV/0!</v>
      </c>
      <c r="I37" s="102" t="e">
        <f>'1,6 CN'!V37</f>
        <v>#DIV/0!</v>
      </c>
      <c r="J37" s="102" t="e">
        <f>'1,6 CN'!Y37</f>
        <v>#DIV/0!</v>
      </c>
      <c r="K37" s="102" t="e">
        <f>'1,6 CN'!AB37</f>
        <v>#DIV/0!</v>
      </c>
      <c r="L37" s="102" t="e">
        <f>'1,6 CN'!AE37</f>
        <v>#DIV/0!</v>
      </c>
      <c r="M37" s="102" t="e">
        <f>'1,6 CN'!AH37</f>
        <v>#DIV/0!</v>
      </c>
      <c r="N37" s="102" t="e">
        <f>'1,6 CN'!AK37</f>
        <v>#DIV/0!</v>
      </c>
      <c r="O37" s="159" t="str">
        <f>'1,6 CN'!AN37</f>
        <v/>
      </c>
      <c r="P37" s="1"/>
      <c r="Q37" s="1"/>
    </row>
    <row r="38" spans="1:17" ht="27" x14ac:dyDescent="0.15">
      <c r="A38" s="2" t="s">
        <v>199</v>
      </c>
      <c r="B38" s="77" t="s">
        <v>123</v>
      </c>
      <c r="C38" s="159" t="str">
        <f>'1,6 CN'!D38</f>
        <v/>
      </c>
      <c r="D38" s="159" t="str">
        <f>'1,6 CN'!G38</f>
        <v/>
      </c>
      <c r="E38" s="102" t="str">
        <f>'1,6 CN'!J38</f>
        <v/>
      </c>
      <c r="F38" s="102" t="str">
        <f>'1,6 CN'!M38</f>
        <v/>
      </c>
      <c r="G38" s="102" t="e">
        <f>'1,6 CN'!P38</f>
        <v>#DIV/0!</v>
      </c>
      <c r="H38" s="102" t="e">
        <f>'1,6 CN'!S38</f>
        <v>#DIV/0!</v>
      </c>
      <c r="I38" s="102" t="e">
        <f>'1,6 CN'!V38</f>
        <v>#DIV/0!</v>
      </c>
      <c r="J38" s="102" t="e">
        <f>'1,6 CN'!Y38</f>
        <v>#DIV/0!</v>
      </c>
      <c r="K38" s="102" t="e">
        <f>'1,6 CN'!AB38</f>
        <v>#DIV/0!</v>
      </c>
      <c r="L38" s="102" t="e">
        <f>'1,6 CN'!AE38</f>
        <v>#DIV/0!</v>
      </c>
      <c r="M38" s="102" t="e">
        <f>'1,6 CN'!AH38</f>
        <v>#DIV/0!</v>
      </c>
      <c r="N38" s="102" t="e">
        <f>'1,6 CN'!AK38</f>
        <v>#DIV/0!</v>
      </c>
      <c r="O38" s="159" t="str">
        <f>'1,6 CN'!AN38</f>
        <v/>
      </c>
      <c r="P38" s="1"/>
      <c r="Q38" s="1"/>
    </row>
    <row r="39" spans="1:17" ht="27" x14ac:dyDescent="0.15">
      <c r="A39" s="2" t="s">
        <v>199</v>
      </c>
      <c r="B39" s="77" t="s">
        <v>124</v>
      </c>
      <c r="C39" s="159">
        <f>'1,6 CN'!D39</f>
        <v>0.35714285714285715</v>
      </c>
      <c r="D39" s="159">
        <f>'1,6 CN'!G39</f>
        <v>0.41176470588235292</v>
      </c>
      <c r="E39" s="102">
        <f>'1,6 CN'!J39</f>
        <v>0.15909090909090909</v>
      </c>
      <c r="F39" s="102">
        <f>'1,6 CN'!M39</f>
        <v>0.40625</v>
      </c>
      <c r="G39" s="102">
        <f>'1,6 CN'!P39</f>
        <v>0.25641025641025639</v>
      </c>
      <c r="H39" s="102">
        <f>'1,6 CN'!S39</f>
        <v>0.05</v>
      </c>
      <c r="I39" s="102">
        <f>'1,6 CN'!V39</f>
        <v>0.30303030303030304</v>
      </c>
      <c r="J39" s="102">
        <f>'1,6 CN'!Y39</f>
        <v>0.4264705882352941</v>
      </c>
      <c r="K39" s="102">
        <f>'1,6 CN'!AB39</f>
        <v>0.11290322580645161</v>
      </c>
      <c r="L39" s="102">
        <f>'1,6 CN'!AE39</f>
        <v>0.34375</v>
      </c>
      <c r="M39" s="102">
        <f>'1,6 CN'!AH39</f>
        <v>0.16216216216216217</v>
      </c>
      <c r="N39" s="102" t="e">
        <f>'1,6 CN'!AK39</f>
        <v>#DIV/0!</v>
      </c>
      <c r="O39" s="159">
        <f>'1,6 CN'!AN39</f>
        <v>0.29375000000000001</v>
      </c>
      <c r="P39" s="1" t="s">
        <v>176</v>
      </c>
      <c r="Q39" s="1"/>
    </row>
    <row r="40" spans="1:17" ht="27" x14ac:dyDescent="0.15">
      <c r="A40" s="2" t="s">
        <v>199</v>
      </c>
      <c r="B40" s="77" t="s">
        <v>125</v>
      </c>
      <c r="C40" s="159" t="str">
        <f>'1,6 CN'!D40</f>
        <v/>
      </c>
      <c r="D40" s="159" t="str">
        <f>'1,6 CN'!G40</f>
        <v/>
      </c>
      <c r="E40" s="102" t="str">
        <f>'1,6 CN'!J40</f>
        <v/>
      </c>
      <c r="F40" s="102" t="str">
        <f>'1,6 CN'!M40</f>
        <v/>
      </c>
      <c r="G40" s="102" t="e">
        <f>'1,6 CN'!P40</f>
        <v>#DIV/0!</v>
      </c>
      <c r="H40" s="102" t="e">
        <f>'1,6 CN'!S40</f>
        <v>#DIV/0!</v>
      </c>
      <c r="I40" s="102" t="e">
        <f>'1,6 CN'!V40</f>
        <v>#DIV/0!</v>
      </c>
      <c r="J40" s="102" t="e">
        <f>'1,6 CN'!Y40</f>
        <v>#DIV/0!</v>
      </c>
      <c r="K40" s="102" t="e">
        <f>'1,6 CN'!AB40</f>
        <v>#DIV/0!</v>
      </c>
      <c r="L40" s="102" t="e">
        <f>'1,6 CN'!AE40</f>
        <v>#DIV/0!</v>
      </c>
      <c r="M40" s="102" t="e">
        <f>'1,6 CN'!AH40</f>
        <v>#DIV/0!</v>
      </c>
      <c r="N40" s="102" t="e">
        <f>'1,6 CN'!AK40</f>
        <v>#DIV/0!</v>
      </c>
      <c r="O40" s="159" t="str">
        <f>'1,6 CN'!AN40</f>
        <v/>
      </c>
      <c r="P40" s="1"/>
      <c r="Q40" s="1"/>
    </row>
    <row r="41" spans="1:17" ht="27" x14ac:dyDescent="0.15">
      <c r="A41" s="2" t="s">
        <v>199</v>
      </c>
      <c r="B41" s="77" t="s">
        <v>126</v>
      </c>
      <c r="C41" s="159" t="str">
        <f>'1,6 CN'!D41</f>
        <v/>
      </c>
      <c r="D41" s="159" t="str">
        <f>'1,6 CN'!G41</f>
        <v/>
      </c>
      <c r="E41" s="102" t="str">
        <f>'1,6 CN'!J41</f>
        <v/>
      </c>
      <c r="F41" s="102" t="str">
        <f>'1,6 CN'!M41</f>
        <v/>
      </c>
      <c r="G41" s="102" t="e">
        <f>'1,6 CN'!P41</f>
        <v>#DIV/0!</v>
      </c>
      <c r="H41" s="102" t="e">
        <f>'1,6 CN'!S41</f>
        <v>#DIV/0!</v>
      </c>
      <c r="I41" s="102" t="e">
        <f>'1,6 CN'!V41</f>
        <v>#DIV/0!</v>
      </c>
      <c r="J41" s="102" t="e">
        <f>'1,6 CN'!Y41</f>
        <v>#DIV/0!</v>
      </c>
      <c r="K41" s="102" t="e">
        <f>'1,6 CN'!AB41</f>
        <v>#DIV/0!</v>
      </c>
      <c r="L41" s="102" t="e">
        <f>'1,6 CN'!AE41</f>
        <v>#DIV/0!</v>
      </c>
      <c r="M41" s="102" t="e">
        <f>'1,6 CN'!AH41</f>
        <v>#DIV/0!</v>
      </c>
      <c r="N41" s="102" t="e">
        <f>'1,6 CN'!AK41</f>
        <v>#DIV/0!</v>
      </c>
      <c r="O41" s="159" t="str">
        <f>'1,6 CN'!AN41</f>
        <v/>
      </c>
      <c r="P41" s="1"/>
      <c r="Q41" s="1"/>
    </row>
    <row r="42" spans="1:17" ht="27" x14ac:dyDescent="0.15">
      <c r="A42" s="2" t="s">
        <v>199</v>
      </c>
      <c r="B42" s="77" t="s">
        <v>127</v>
      </c>
      <c r="C42" s="159" t="str">
        <f>'1,6 CN'!D42</f>
        <v/>
      </c>
      <c r="D42" s="159" t="str">
        <f>'1,6 CN'!G42</f>
        <v/>
      </c>
      <c r="E42" s="102" t="str">
        <f>'1,6 CN'!J42</f>
        <v/>
      </c>
      <c r="F42" s="102" t="str">
        <f>'1,6 CN'!M42</f>
        <v/>
      </c>
      <c r="G42" s="102" t="e">
        <f>'1,6 CN'!P42</f>
        <v>#DIV/0!</v>
      </c>
      <c r="H42" s="102" t="e">
        <f>'1,6 CN'!S42</f>
        <v>#DIV/0!</v>
      </c>
      <c r="I42" s="102" t="e">
        <f>'1,6 CN'!V42</f>
        <v>#DIV/0!</v>
      </c>
      <c r="J42" s="102" t="e">
        <f>'1,6 CN'!Y42</f>
        <v>#DIV/0!</v>
      </c>
      <c r="K42" s="102" t="e">
        <f>'1,6 CN'!AB42</f>
        <v>#DIV/0!</v>
      </c>
      <c r="L42" s="102" t="e">
        <f>'1,6 CN'!AE42</f>
        <v>#DIV/0!</v>
      </c>
      <c r="M42" s="102" t="e">
        <f>'1,6 CN'!AH42</f>
        <v>#DIV/0!</v>
      </c>
      <c r="N42" s="102" t="e">
        <f>'1,6 CN'!AK42</f>
        <v>#DIV/0!</v>
      </c>
      <c r="O42" s="159" t="str">
        <f>'1,6 CN'!AN42</f>
        <v/>
      </c>
      <c r="P42" s="1"/>
      <c r="Q42" s="1"/>
    </row>
    <row r="43" spans="1:17" ht="27" x14ac:dyDescent="0.15">
      <c r="A43" s="2" t="s">
        <v>199</v>
      </c>
      <c r="B43" s="77" t="s">
        <v>128</v>
      </c>
      <c r="C43" s="159" t="str">
        <f>'1,6 CN'!D43</f>
        <v/>
      </c>
      <c r="D43" s="159" t="str">
        <f>'1,6 CN'!G43</f>
        <v/>
      </c>
      <c r="E43" s="102" t="str">
        <f>'1,6 CN'!J43</f>
        <v/>
      </c>
      <c r="F43" s="102" t="str">
        <f>'1,6 CN'!M43</f>
        <v/>
      </c>
      <c r="G43" s="102" t="e">
        <f>'1,6 CN'!P43</f>
        <v>#DIV/0!</v>
      </c>
      <c r="H43" s="102" t="e">
        <f>'1,6 CN'!S43</f>
        <v>#DIV/0!</v>
      </c>
      <c r="I43" s="102" t="e">
        <f>'1,6 CN'!V43</f>
        <v>#DIV/0!</v>
      </c>
      <c r="J43" s="102" t="e">
        <f>'1,6 CN'!Y43</f>
        <v>#DIV/0!</v>
      </c>
      <c r="K43" s="102" t="e">
        <f>'1,6 CN'!AB43</f>
        <v>#DIV/0!</v>
      </c>
      <c r="L43" s="102" t="e">
        <f>'1,6 CN'!AE43</f>
        <v>#DIV/0!</v>
      </c>
      <c r="M43" s="102" t="e">
        <f>'1,6 CN'!AH43</f>
        <v>#DIV/0!</v>
      </c>
      <c r="N43" s="102" t="e">
        <f>'1,6 CN'!AK43</f>
        <v>#DIV/0!</v>
      </c>
      <c r="O43" s="159" t="str">
        <f>'1,6 CN'!AN43</f>
        <v/>
      </c>
      <c r="P43" s="1"/>
      <c r="Q43" s="1"/>
    </row>
    <row r="44" spans="1:17" ht="27" x14ac:dyDescent="0.15">
      <c r="A44" s="2" t="s">
        <v>199</v>
      </c>
      <c r="B44" s="76" t="s">
        <v>129</v>
      </c>
      <c r="C44" s="159">
        <f>'1,6 CN'!D44</f>
        <v>0.73469387755102045</v>
      </c>
      <c r="D44" s="159">
        <f>'1,6 CN'!G44</f>
        <v>0.59722222222222221</v>
      </c>
      <c r="E44" s="102">
        <f>'1,6 CN'!J44</f>
        <v>0.810126582278481</v>
      </c>
      <c r="F44" s="102">
        <f>'1,6 CN'!M44</f>
        <v>0.65217391304347827</v>
      </c>
      <c r="G44" s="102">
        <f>'1,6 CN'!P44</f>
        <v>0.90909090909090906</v>
      </c>
      <c r="H44" s="102">
        <f>'1,6 CN'!S44</f>
        <v>0.84615384615384615</v>
      </c>
      <c r="I44" s="102">
        <f>'1,6 CN'!V44</f>
        <v>0.64634146341463417</v>
      </c>
      <c r="J44" s="102">
        <f>'1,6 CN'!Y44</f>
        <v>0.5</v>
      </c>
      <c r="K44" s="102">
        <f>'1,6 CN'!AB44</f>
        <v>0.52991452991452992</v>
      </c>
      <c r="L44" s="102">
        <f>'1,6 CN'!AE44</f>
        <v>0.76388888888888884</v>
      </c>
      <c r="M44" s="102">
        <f>'1,6 CN'!AH44</f>
        <v>0.64912280701754388</v>
      </c>
      <c r="N44" s="102" t="e">
        <f>'1,6 CN'!AK44</f>
        <v>#DIV/0!</v>
      </c>
      <c r="O44" s="159">
        <f>'1,6 CN'!AN44</f>
        <v>0.73451327433628322</v>
      </c>
      <c r="P44" s="1" t="s">
        <v>177</v>
      </c>
      <c r="Q44" s="1"/>
    </row>
    <row r="45" spans="1:17" ht="27" x14ac:dyDescent="0.15">
      <c r="A45" s="2" t="s">
        <v>199</v>
      </c>
      <c r="B45" s="82" t="s">
        <v>130</v>
      </c>
      <c r="C45" s="159">
        <f>'1,6 CN'!D45</f>
        <v>0.38053097345132741</v>
      </c>
      <c r="D45" s="159">
        <f>'1,6 CN'!G45</f>
        <v>0.31889763779527558</v>
      </c>
      <c r="E45" s="102">
        <f>'1,6 CN'!J45</f>
        <v>0.33241379310344826</v>
      </c>
      <c r="F45" s="102">
        <f>'1,6 CN'!M45</f>
        <v>0.33072100313479624</v>
      </c>
      <c r="G45" s="102">
        <f>'1,6 CN'!P45</f>
        <v>0.29635258358662614</v>
      </c>
      <c r="H45" s="102">
        <f>'1,6 CN'!S45</f>
        <v>0.30389221556886226</v>
      </c>
      <c r="I45" s="102">
        <f>'1,6 CN'!V45</f>
        <v>0.26025236593059936</v>
      </c>
      <c r="J45" s="102">
        <f>'1,6 CN'!Y45</f>
        <v>0.28818897637795277</v>
      </c>
      <c r="K45" s="102">
        <f>'1,6 CN'!AB45</f>
        <v>0.30221518987341772</v>
      </c>
      <c r="L45" s="102">
        <f>'1,6 CN'!AE45</f>
        <v>0.33124018838304553</v>
      </c>
      <c r="M45" s="102">
        <f>'1,6 CN'!AH45</f>
        <v>0.32628398791540786</v>
      </c>
      <c r="N45" s="102" t="e">
        <f>'1,6 CN'!AK45</f>
        <v>#DIV/0!</v>
      </c>
      <c r="O45" s="159">
        <f>'1,6 CN'!AN45</f>
        <v>0.33270969753663859</v>
      </c>
      <c r="P45" s="1" t="s">
        <v>175</v>
      </c>
      <c r="Q45" s="1"/>
    </row>
    <row r="46" spans="1:17" ht="27" x14ac:dyDescent="0.15">
      <c r="A46" s="2" t="s">
        <v>199</v>
      </c>
      <c r="B46" s="82" t="s">
        <v>131</v>
      </c>
      <c r="C46" s="159" t="str">
        <f>'1,6 CN'!D46</f>
        <v/>
      </c>
      <c r="D46" s="159" t="str">
        <f>'1,6 CN'!G46</f>
        <v/>
      </c>
      <c r="E46" s="102" t="str">
        <f>'1,6 CN'!J46</f>
        <v/>
      </c>
      <c r="F46" s="102" t="str">
        <f>'1,6 CN'!M46</f>
        <v/>
      </c>
      <c r="G46" s="102" t="e">
        <f>'1,6 CN'!P46</f>
        <v>#DIV/0!</v>
      </c>
      <c r="H46" s="102" t="e">
        <f>'1,6 CN'!S46</f>
        <v>#DIV/0!</v>
      </c>
      <c r="I46" s="102" t="e">
        <f>'1,6 CN'!V46</f>
        <v>#DIV/0!</v>
      </c>
      <c r="J46" s="102" t="e">
        <f>'1,6 CN'!Y46</f>
        <v>#DIV/0!</v>
      </c>
      <c r="K46" s="102" t="e">
        <f>'1,6 CN'!AB46</f>
        <v>#DIV/0!</v>
      </c>
      <c r="L46" s="102" t="e">
        <f>'1,6 CN'!AE46</f>
        <v>#DIV/0!</v>
      </c>
      <c r="M46" s="102" t="e">
        <f>'1,6 CN'!AH46</f>
        <v>#DIV/0!</v>
      </c>
      <c r="N46" s="102" t="e">
        <f>'1,6 CN'!AK46</f>
        <v>#DIV/0!</v>
      </c>
      <c r="O46" s="159" t="str">
        <f>'1,6 CN'!AN46</f>
        <v/>
      </c>
      <c r="P46" s="1"/>
      <c r="Q46" s="1"/>
    </row>
    <row r="47" spans="1:17" ht="27" x14ac:dyDescent="0.2">
      <c r="A47" s="2" t="s">
        <v>199</v>
      </c>
      <c r="B47" s="79" t="s">
        <v>132</v>
      </c>
      <c r="C47" s="159" t="str">
        <f>'1,6 CN'!D47</f>
        <v/>
      </c>
      <c r="D47" s="159" t="str">
        <f>'1,6 CN'!G47</f>
        <v/>
      </c>
      <c r="E47" s="102" t="str">
        <f>'1,6 CN'!J47</f>
        <v/>
      </c>
      <c r="F47" s="102" t="str">
        <f>'1,6 CN'!M47</f>
        <v/>
      </c>
      <c r="G47" s="102" t="e">
        <f>'1,6 CN'!P47</f>
        <v>#DIV/0!</v>
      </c>
      <c r="H47" s="102" t="e">
        <f>'1,6 CN'!S47</f>
        <v>#DIV/0!</v>
      </c>
      <c r="I47" s="102" t="e">
        <f>'1,6 CN'!V47</f>
        <v>#DIV/0!</v>
      </c>
      <c r="J47" s="102" t="e">
        <f>'1,6 CN'!Y47</f>
        <v>#DIV/0!</v>
      </c>
      <c r="K47" s="102" t="e">
        <f>'1,6 CN'!AB47</f>
        <v>#DIV/0!</v>
      </c>
      <c r="L47" s="102" t="e">
        <f>'1,6 CN'!AE47</f>
        <v>#DIV/0!</v>
      </c>
      <c r="M47" s="102" t="e">
        <f>'1,6 CN'!AH47</f>
        <v>#DIV/0!</v>
      </c>
      <c r="N47" s="102" t="e">
        <f>'1,6 CN'!AK47</f>
        <v>#DIV/0!</v>
      </c>
      <c r="O47" s="159" t="str">
        <f>'1,6 CN'!AN47</f>
        <v/>
      </c>
      <c r="P47" s="1"/>
      <c r="Q47" s="1"/>
    </row>
    <row r="48" spans="1:17" ht="27" x14ac:dyDescent="0.15">
      <c r="A48" s="2" t="s">
        <v>199</v>
      </c>
      <c r="B48" s="77" t="s">
        <v>133</v>
      </c>
      <c r="C48" s="159">
        <f>'1,6 CN'!D48</f>
        <v>0.50806451612903225</v>
      </c>
      <c r="D48" s="159">
        <f>'1,6 CN'!G48</f>
        <v>0.51577287066246058</v>
      </c>
      <c r="E48" s="102">
        <f>'1,6 CN'!J48</f>
        <v>0.43724696356275305</v>
      </c>
      <c r="F48" s="102">
        <f>'1,6 CN'!M48</f>
        <v>0.36255572065378899</v>
      </c>
      <c r="G48" s="102">
        <f>'1,6 CN'!P48</f>
        <v>0.29776674937965258</v>
      </c>
      <c r="H48" s="102">
        <f>'1,6 CN'!S48</f>
        <v>0.51584507042253525</v>
      </c>
      <c r="I48" s="102">
        <f>'1,6 CN'!V48</f>
        <v>0.5668449197860963</v>
      </c>
      <c r="J48" s="102">
        <f>'1,6 CN'!Y48</f>
        <v>0.52542372881355937</v>
      </c>
      <c r="K48" s="102">
        <f>'1,6 CN'!AB48</f>
        <v>0.4955357142857143</v>
      </c>
      <c r="L48" s="102">
        <f>'1,6 CN'!AE48</f>
        <v>0.5401069518716578</v>
      </c>
      <c r="M48" s="102">
        <f>'1,6 CN'!AH48</f>
        <v>0.58200290275761979</v>
      </c>
      <c r="N48" s="102" t="e">
        <f>'1,6 CN'!AK48</f>
        <v>#DIV/0!</v>
      </c>
      <c r="O48" s="159">
        <f>'1,6 CN'!AN48</f>
        <v>0.43599374021909232</v>
      </c>
      <c r="P48" s="1" t="s">
        <v>176</v>
      </c>
      <c r="Q48" s="1"/>
    </row>
    <row r="49" spans="1:17" ht="27" x14ac:dyDescent="0.15">
      <c r="A49" s="2" t="s">
        <v>199</v>
      </c>
      <c r="B49" s="77" t="s">
        <v>134</v>
      </c>
      <c r="C49" s="159">
        <f>'1,6 CN'!D49</f>
        <v>0.48863636363636365</v>
      </c>
      <c r="D49" s="159">
        <f>'1,6 CN'!G49</f>
        <v>0.3359375</v>
      </c>
      <c r="E49" s="102">
        <f>'1,6 CN'!J49</f>
        <v>0.34883720930232559</v>
      </c>
      <c r="F49" s="102">
        <f>'1,6 CN'!M49</f>
        <v>0.40140845070422537</v>
      </c>
      <c r="G49" s="102">
        <f>'1,6 CN'!P49</f>
        <v>0.42741935483870969</v>
      </c>
      <c r="H49" s="102">
        <f>'1,6 CN'!S49</f>
        <v>0.34399999999999997</v>
      </c>
      <c r="I49" s="102">
        <f>'1,6 CN'!V49</f>
        <v>0.40909090909090912</v>
      </c>
      <c r="J49" s="102">
        <f>'1,6 CN'!Y49</f>
        <v>0.51818181818181819</v>
      </c>
      <c r="K49" s="102">
        <f>'1,6 CN'!AB49</f>
        <v>0.51181102362204722</v>
      </c>
      <c r="L49" s="102">
        <f>'1,6 CN'!AE49</f>
        <v>0.4375</v>
      </c>
      <c r="M49" s="102">
        <f>'1,6 CN'!AH49</f>
        <v>0.375</v>
      </c>
      <c r="N49" s="102" t="e">
        <f>'1,6 CN'!AK49</f>
        <v>#DIV/0!</v>
      </c>
      <c r="O49" s="159">
        <f>'1,6 CN'!AN49</f>
        <v>0.39143730886850153</v>
      </c>
      <c r="P49" s="1" t="s">
        <v>176</v>
      </c>
      <c r="Q49" s="1"/>
    </row>
    <row r="50" spans="1:17" ht="27" x14ac:dyDescent="0.15">
      <c r="A50" s="2" t="s">
        <v>199</v>
      </c>
      <c r="B50" s="77" t="s">
        <v>135</v>
      </c>
      <c r="C50" s="159">
        <f>'1,6 CN'!D50</f>
        <v>0.21818181818181817</v>
      </c>
      <c r="D50" s="159">
        <f>'1,6 CN'!G50</f>
        <v>0.19083969465648856</v>
      </c>
      <c r="E50" s="102">
        <f>'1,6 CN'!J50</f>
        <v>0.22792022792022792</v>
      </c>
      <c r="F50" s="102">
        <f>'1,6 CN'!M50</f>
        <v>0.1826625386996904</v>
      </c>
      <c r="G50" s="102">
        <f>'1,6 CN'!P50</f>
        <v>0.17985611510791366</v>
      </c>
      <c r="H50" s="102">
        <f>'1,6 CN'!S50</f>
        <v>0.25541125541125542</v>
      </c>
      <c r="I50" s="102">
        <f>'1,6 CN'!V50</f>
        <v>0.24373576309794989</v>
      </c>
      <c r="J50" s="102">
        <f>'1,6 CN'!Y50</f>
        <v>0.3363148479427549</v>
      </c>
      <c r="K50" s="102">
        <f>'1,6 CN'!AB50</f>
        <v>0.22933333333333333</v>
      </c>
      <c r="L50" s="102">
        <f>'1,6 CN'!AE50</f>
        <v>0.23135755258126195</v>
      </c>
      <c r="M50" s="102">
        <f>'1,6 CN'!AH50</f>
        <v>0.21654501216545013</v>
      </c>
      <c r="N50" s="102" t="e">
        <f>'1,6 CN'!AK50</f>
        <v>#DIV/0!</v>
      </c>
      <c r="O50" s="159">
        <f>'1,6 CN'!AN50</f>
        <v>0.20112100230794594</v>
      </c>
      <c r="P50" s="1" t="s">
        <v>175</v>
      </c>
      <c r="Q50" s="1"/>
    </row>
    <row r="51" spans="1:17" ht="27" x14ac:dyDescent="0.15">
      <c r="A51" s="2" t="s">
        <v>199</v>
      </c>
      <c r="B51" s="77" t="s">
        <v>136</v>
      </c>
      <c r="C51" s="159">
        <f>'1,6 CN'!D51</f>
        <v>0.22868217054263565</v>
      </c>
      <c r="D51" s="159">
        <f>'1,6 CN'!G51</f>
        <v>0.18831168831168832</v>
      </c>
      <c r="E51" s="102">
        <f>'1,6 CN'!J51</f>
        <v>0.13970588235294118</v>
      </c>
      <c r="F51" s="102">
        <f>'1,6 CN'!M51</f>
        <v>8.4337349397590355E-2</v>
      </c>
      <c r="G51" s="102">
        <f>'1,6 CN'!P51</f>
        <v>0.11604095563139932</v>
      </c>
      <c r="H51" s="102">
        <f>'1,6 CN'!S51</f>
        <v>0.16595744680851063</v>
      </c>
      <c r="I51" s="102">
        <f>'1,6 CN'!V51</f>
        <v>0.15918367346938775</v>
      </c>
      <c r="J51" s="102">
        <f>'1,6 CN'!Y51</f>
        <v>0.17117117117117117</v>
      </c>
      <c r="K51" s="102">
        <f>'1,6 CN'!AB51</f>
        <v>0.13131313131313133</v>
      </c>
      <c r="L51" s="102">
        <f>'1,6 CN'!AE51</f>
        <v>0.12203389830508475</v>
      </c>
      <c r="M51" s="102">
        <f>'1,6 CN'!AH51</f>
        <v>8.8888888888888892E-2</v>
      </c>
      <c r="N51" s="102" t="e">
        <f>'1,6 CN'!AK51</f>
        <v>#DIV/0!</v>
      </c>
      <c r="O51" s="159">
        <f>'1,6 CN'!AN51</f>
        <v>0.14362108479755539</v>
      </c>
      <c r="P51" s="1" t="s">
        <v>175</v>
      </c>
      <c r="Q51" s="1"/>
    </row>
    <row r="52" spans="1:17" ht="27" x14ac:dyDescent="0.15">
      <c r="A52" s="2" t="s">
        <v>199</v>
      </c>
      <c r="B52" s="77" t="s">
        <v>137</v>
      </c>
      <c r="C52" s="159" t="str">
        <f>'1,6 CN'!D52</f>
        <v/>
      </c>
      <c r="D52" s="159">
        <f>'1,6 CN'!G52</f>
        <v>0</v>
      </c>
      <c r="E52" s="102">
        <f>'1,6 CN'!J52</f>
        <v>0</v>
      </c>
      <c r="F52" s="102">
        <f>'1,6 CN'!M52</f>
        <v>0</v>
      </c>
      <c r="G52" s="102">
        <f>'1,6 CN'!P52</f>
        <v>0</v>
      </c>
      <c r="H52" s="102">
        <f>'1,6 CN'!S52</f>
        <v>0</v>
      </c>
      <c r="I52" s="102">
        <f>'1,6 CN'!V52</f>
        <v>0</v>
      </c>
      <c r="J52" s="102">
        <f>'1,6 CN'!Y52</f>
        <v>0</v>
      </c>
      <c r="K52" s="102">
        <f>'1,6 CN'!AB52</f>
        <v>0</v>
      </c>
      <c r="L52" s="102">
        <f>'1,6 CN'!AE52</f>
        <v>0</v>
      </c>
      <c r="M52" s="102">
        <f>'1,6 CN'!AH52</f>
        <v>0</v>
      </c>
      <c r="N52" s="102" t="e">
        <f>'1,6 CN'!AK52</f>
        <v>#DIV/0!</v>
      </c>
      <c r="O52" s="159">
        <f>'1,6 CN'!AN52</f>
        <v>0</v>
      </c>
      <c r="P52" s="1" t="s">
        <v>174</v>
      </c>
      <c r="Q52" s="1"/>
    </row>
    <row r="53" spans="1:17" ht="27" x14ac:dyDescent="0.15">
      <c r="A53" s="2" t="s">
        <v>199</v>
      </c>
      <c r="B53" s="77" t="s">
        <v>138</v>
      </c>
      <c r="C53" s="159" t="str">
        <f>'1,6 CN'!D53</f>
        <v/>
      </c>
      <c r="D53" s="159" t="str">
        <f>'1,6 CN'!G53</f>
        <v/>
      </c>
      <c r="E53" s="102" t="str">
        <f>'1,6 CN'!J53</f>
        <v/>
      </c>
      <c r="F53" s="102" t="str">
        <f>'1,6 CN'!M53</f>
        <v/>
      </c>
      <c r="G53" s="102" t="e">
        <f>'1,6 CN'!P53</f>
        <v>#DIV/0!</v>
      </c>
      <c r="H53" s="102" t="e">
        <f>'1,6 CN'!S53</f>
        <v>#DIV/0!</v>
      </c>
      <c r="I53" s="102" t="e">
        <f>'1,6 CN'!V53</f>
        <v>#DIV/0!</v>
      </c>
      <c r="J53" s="102" t="e">
        <f>'1,6 CN'!Y53</f>
        <v>#DIV/0!</v>
      </c>
      <c r="K53" s="102" t="e">
        <f>'1,6 CN'!AB53</f>
        <v>#DIV/0!</v>
      </c>
      <c r="L53" s="102" t="e">
        <f>'1,6 CN'!AE53</f>
        <v>#DIV/0!</v>
      </c>
      <c r="M53" s="102" t="e">
        <f>'1,6 CN'!AH53</f>
        <v>#DIV/0!</v>
      </c>
      <c r="N53" s="102" t="e">
        <f>'1,6 CN'!AK53</f>
        <v>#DIV/0!</v>
      </c>
      <c r="O53" s="159" t="str">
        <f>'1,6 CN'!AN53</f>
        <v/>
      </c>
      <c r="P53" s="1"/>
      <c r="Q53" s="1"/>
    </row>
    <row r="54" spans="1:17" ht="27" x14ac:dyDescent="0.15">
      <c r="A54" s="2" t="s">
        <v>199</v>
      </c>
      <c r="B54" s="77" t="s">
        <v>139</v>
      </c>
      <c r="C54" s="159" t="str">
        <f>'1,6 CN'!D54</f>
        <v/>
      </c>
      <c r="D54" s="159" t="str">
        <f>'1,6 CN'!G54</f>
        <v/>
      </c>
      <c r="E54" s="102" t="str">
        <f>'1,6 CN'!J54</f>
        <v/>
      </c>
      <c r="F54" s="102" t="str">
        <f>'1,6 CN'!M54</f>
        <v/>
      </c>
      <c r="G54" s="102" t="e">
        <f>'1,6 CN'!P54</f>
        <v>#DIV/0!</v>
      </c>
      <c r="H54" s="102" t="e">
        <f>'1,6 CN'!S54</f>
        <v>#DIV/0!</v>
      </c>
      <c r="I54" s="102" t="e">
        <f>'1,6 CN'!V54</f>
        <v>#DIV/0!</v>
      </c>
      <c r="J54" s="102" t="e">
        <f>'1,6 CN'!Y54</f>
        <v>#DIV/0!</v>
      </c>
      <c r="K54" s="102" t="e">
        <f>'1,6 CN'!AB54</f>
        <v>#DIV/0!</v>
      </c>
      <c r="L54" s="102" t="e">
        <f>'1,6 CN'!AE54</f>
        <v>#DIV/0!</v>
      </c>
      <c r="M54" s="102" t="e">
        <f>'1,6 CN'!AH54</f>
        <v>#DIV/0!</v>
      </c>
      <c r="N54" s="102" t="e">
        <f>'1,6 CN'!AK54</f>
        <v>#DIV/0!</v>
      </c>
      <c r="O54" s="159" t="str">
        <f>'1,6 CN'!AN54</f>
        <v/>
      </c>
      <c r="P54" s="1"/>
      <c r="Q54" s="1"/>
    </row>
    <row r="55" spans="1:17" ht="27" x14ac:dyDescent="0.15">
      <c r="A55" s="2" t="s">
        <v>199</v>
      </c>
      <c r="B55" s="76" t="s">
        <v>140</v>
      </c>
      <c r="C55" s="159" t="str">
        <f>'1,6 CN'!D55</f>
        <v/>
      </c>
      <c r="D55" s="159" t="str">
        <f>'1,6 CN'!G55</f>
        <v/>
      </c>
      <c r="E55" s="102" t="str">
        <f>'1,6 CN'!J55</f>
        <v/>
      </c>
      <c r="F55" s="102" t="str">
        <f>'1,6 CN'!M55</f>
        <v/>
      </c>
      <c r="G55" s="102" t="e">
        <f>'1,6 CN'!P55</f>
        <v>#DIV/0!</v>
      </c>
      <c r="H55" s="102" t="e">
        <f>'1,6 CN'!S55</f>
        <v>#DIV/0!</v>
      </c>
      <c r="I55" s="102" t="e">
        <f>'1,6 CN'!V55</f>
        <v>#DIV/0!</v>
      </c>
      <c r="J55" s="102" t="e">
        <f>'1,6 CN'!Y55</f>
        <v>#DIV/0!</v>
      </c>
      <c r="K55" s="102" t="e">
        <f>'1,6 CN'!AB55</f>
        <v>#DIV/0!</v>
      </c>
      <c r="L55" s="102" t="e">
        <f>'1,6 CN'!AE55</f>
        <v>#DIV/0!</v>
      </c>
      <c r="M55" s="102" t="e">
        <f>'1,6 CN'!AH55</f>
        <v>#DIV/0!</v>
      </c>
      <c r="N55" s="102" t="e">
        <f>'1,6 CN'!AK55</f>
        <v>#DIV/0!</v>
      </c>
      <c r="O55" s="159" t="str">
        <f>'1,6 CN'!AN55</f>
        <v/>
      </c>
      <c r="P55" s="1"/>
      <c r="Q55" s="1"/>
    </row>
    <row r="56" spans="1:17" ht="27" x14ac:dyDescent="0.15">
      <c r="A56" s="2" t="s">
        <v>199</v>
      </c>
      <c r="B56" s="78" t="s">
        <v>141</v>
      </c>
      <c r="C56" s="159" t="str">
        <f>'1,6 CN'!D56</f>
        <v/>
      </c>
      <c r="D56" s="159" t="str">
        <f>'1,6 CN'!G56</f>
        <v/>
      </c>
      <c r="E56" s="102" t="str">
        <f>'1,6 CN'!J56</f>
        <v/>
      </c>
      <c r="F56" s="102" t="str">
        <f>'1,6 CN'!M56</f>
        <v/>
      </c>
      <c r="G56" s="102" t="e">
        <f>'1,6 CN'!P56</f>
        <v>#DIV/0!</v>
      </c>
      <c r="H56" s="102" t="e">
        <f>'1,6 CN'!S56</f>
        <v>#DIV/0!</v>
      </c>
      <c r="I56" s="102" t="e">
        <f>'1,6 CN'!V56</f>
        <v>#DIV/0!</v>
      </c>
      <c r="J56" s="102" t="e">
        <f>'1,6 CN'!Y56</f>
        <v>#DIV/0!</v>
      </c>
      <c r="K56" s="102" t="e">
        <f>'1,6 CN'!AB56</f>
        <v>#DIV/0!</v>
      </c>
      <c r="L56" s="102" t="e">
        <f>'1,6 CN'!AE56</f>
        <v>#DIV/0!</v>
      </c>
      <c r="M56" s="102" t="e">
        <f>'1,6 CN'!AH56</f>
        <v>#DIV/0!</v>
      </c>
      <c r="N56" s="102" t="e">
        <f>'1,6 CN'!AK56</f>
        <v>#DIV/0!</v>
      </c>
      <c r="O56" s="159" t="str">
        <f>'1,6 CN'!AN56</f>
        <v/>
      </c>
      <c r="P56" s="1"/>
      <c r="Q56" s="1"/>
    </row>
    <row r="57" spans="1:17" ht="27" x14ac:dyDescent="0.25">
      <c r="A57" s="2" t="s">
        <v>199</v>
      </c>
      <c r="B57" s="2" t="s">
        <v>200</v>
      </c>
      <c r="C57" s="159">
        <f>'1,6 CN'!D57</f>
        <v>0.29514747859181734</v>
      </c>
      <c r="D57" s="159">
        <f>'1,6 CN'!G57</f>
        <v>0.26693041656969979</v>
      </c>
      <c r="E57" s="102">
        <f>'1,6 CN'!J57</f>
        <v>0.26155172413793104</v>
      </c>
      <c r="F57" s="102">
        <f>'1,6 CN'!M57</f>
        <v>0.23384094754653131</v>
      </c>
      <c r="G57" s="102">
        <f>'1,6 CN'!P57</f>
        <v>0.23278949462793475</v>
      </c>
      <c r="H57" s="102">
        <f>'1,6 CN'!S57</f>
        <v>0.27183406113537117</v>
      </c>
      <c r="I57" s="102">
        <f>'1,6 CN'!V57</f>
        <v>0.26771653543307089</v>
      </c>
      <c r="J57" s="102">
        <f>'1,6 CN'!Y57</f>
        <v>0.27366043933483886</v>
      </c>
      <c r="K57" s="102">
        <f>'1,6 CN'!AB57</f>
        <v>0.26501988695834205</v>
      </c>
      <c r="L57" s="102">
        <f>'1,6 CN'!AE57</f>
        <v>0.26958002270147557</v>
      </c>
      <c r="M57" s="102">
        <f>'1,6 CN'!AH57</f>
        <v>0.27679867302508809</v>
      </c>
      <c r="N57" s="102" t="e">
        <f>'1,6 CN'!AK57</f>
        <v>#DIV/0!</v>
      </c>
      <c r="O57" s="159">
        <f>'1,6 CN'!AN57</f>
        <v>0.25741783323189288</v>
      </c>
      <c r="P57" s="1"/>
      <c r="Q57" s="1"/>
    </row>
    <row r="58" spans="1:17" ht="27" x14ac:dyDescent="0.25">
      <c r="A58" s="2" t="s">
        <v>35</v>
      </c>
      <c r="B58" s="17" t="s">
        <v>169</v>
      </c>
      <c r="C58" s="109" t="s">
        <v>187</v>
      </c>
      <c r="D58" s="149" t="s">
        <v>188</v>
      </c>
      <c r="E58" s="1" t="s">
        <v>189</v>
      </c>
      <c r="F58" s="5" t="s">
        <v>190</v>
      </c>
      <c r="G58" s="1" t="s">
        <v>191</v>
      </c>
      <c r="H58" s="5" t="s">
        <v>192</v>
      </c>
      <c r="I58" s="1" t="s">
        <v>193</v>
      </c>
      <c r="J58" s="5" t="s">
        <v>194</v>
      </c>
      <c r="K58" s="1" t="s">
        <v>195</v>
      </c>
      <c r="L58" s="5" t="s">
        <v>196</v>
      </c>
      <c r="M58" s="1" t="s">
        <v>197</v>
      </c>
      <c r="N58" s="5" t="s">
        <v>198</v>
      </c>
      <c r="O58" s="109" t="s">
        <v>4</v>
      </c>
      <c r="P58" s="1"/>
      <c r="Q58" s="1"/>
    </row>
    <row r="59" spans="1:17" x14ac:dyDescent="0.15">
      <c r="A59" s="2" t="s">
        <v>201</v>
      </c>
      <c r="B59" s="76" t="s">
        <v>87</v>
      </c>
      <c r="C59" s="159">
        <f>'1,7 ALTAS'!$D2</f>
        <v>0.14285714285714285</v>
      </c>
      <c r="D59" s="159">
        <f>'1,7 ALTAS'!G2</f>
        <v>0.14925373134328357</v>
      </c>
      <c r="E59" s="102">
        <f>'1,7 ALTAS'!J2</f>
        <v>0.11891891891891893</v>
      </c>
      <c r="F59" s="102">
        <f>'1,7 ALTAS'!M2</f>
        <v>0.11695906432748537</v>
      </c>
      <c r="G59" s="102">
        <f>'1,7 ALTAS'!P2</f>
        <v>0.17785234899328858</v>
      </c>
      <c r="H59" s="102">
        <f>'1,7 ALTAS'!S2</f>
        <v>0.56375838926174493</v>
      </c>
      <c r="I59" s="102">
        <f>'1,7 ALTAS'!V2</f>
        <v>0.22459893048128343</v>
      </c>
      <c r="J59" s="102">
        <f>'1,7 ALTAS'!Y2</f>
        <v>0.10179640718562874</v>
      </c>
      <c r="K59" s="102">
        <f>'1,7 ALTAS'!AB2</f>
        <v>0.21782178217821782</v>
      </c>
      <c r="L59" s="102">
        <f>'1,7 ALTAS'!AE2</f>
        <v>0.16346153846153846</v>
      </c>
      <c r="M59" s="102">
        <f>'1,7 ALTAS'!AH2</f>
        <v>0.14485981308411214</v>
      </c>
      <c r="N59" s="102" t="e">
        <f>'1,7 ALTAS'!AK2</f>
        <v>#DIV/0!</v>
      </c>
      <c r="O59" s="159">
        <f>'1,7 ALTAS'!AN2</f>
        <v>0.17761557177615572</v>
      </c>
      <c r="P59" s="1"/>
      <c r="Q59" s="1"/>
    </row>
    <row r="60" spans="1:17" x14ac:dyDescent="0.15">
      <c r="A60" s="2" t="s">
        <v>201</v>
      </c>
      <c r="B60" s="77" t="s">
        <v>88</v>
      </c>
      <c r="C60" s="159">
        <f>'1,7 ALTAS'!$D3</f>
        <v>7.0491803278688522E-2</v>
      </c>
      <c r="D60" s="159">
        <f>'1,7 ALTAS'!G3</f>
        <v>7.1910112359550568E-2</v>
      </c>
      <c r="E60" s="102">
        <f>'1,7 ALTAS'!J3</f>
        <v>4.9853372434017593E-2</v>
      </c>
      <c r="F60" s="102">
        <f>'1,7 ALTAS'!M3</f>
        <v>9.634551495016612E-2</v>
      </c>
      <c r="G60" s="102">
        <f>'1,7 ALTAS'!P3</f>
        <v>0.45969498910675383</v>
      </c>
      <c r="H60" s="102">
        <f>'1,7 ALTAS'!S3</f>
        <v>0.58417849898580121</v>
      </c>
      <c r="I60" s="102">
        <f>'1,7 ALTAS'!V3</f>
        <v>0.25350140056022408</v>
      </c>
      <c r="J60" s="102">
        <f>'1,7 ALTAS'!Y3</f>
        <v>0.40298507462686567</v>
      </c>
      <c r="K60" s="102">
        <f>'1,7 ALTAS'!AB3</f>
        <v>0.42331288343558282</v>
      </c>
      <c r="L60" s="102">
        <f>'1,7 ALTAS'!AE3</f>
        <v>0.35813148788927335</v>
      </c>
      <c r="M60" s="102">
        <f>'1,7 ALTAS'!AH3</f>
        <v>0.41463414634146339</v>
      </c>
      <c r="N60" s="102" t="e">
        <f>'1,7 ALTAS'!AK3</f>
        <v>#DIV/0!</v>
      </c>
      <c r="O60" s="159">
        <f>'1,7 ALTAS'!AN3</f>
        <v>0.22</v>
      </c>
      <c r="P60" s="1"/>
      <c r="Q60" s="1"/>
    </row>
    <row r="61" spans="1:17" x14ac:dyDescent="0.15">
      <c r="A61" s="2" t="s">
        <v>201</v>
      </c>
      <c r="B61" s="77" t="s">
        <v>89</v>
      </c>
      <c r="C61" s="159" t="str">
        <f>'1,7 ALTAS'!$D4</f>
        <v/>
      </c>
      <c r="D61" s="159" t="str">
        <f>'1,7 ALTAS'!G4</f>
        <v/>
      </c>
      <c r="E61" s="102" t="str">
        <f>'1,7 ALTAS'!J4</f>
        <v/>
      </c>
      <c r="F61" s="102" t="e">
        <f>'1,7 ALTAS'!M4</f>
        <v>#DIV/0!</v>
      </c>
      <c r="G61" s="102" t="e">
        <f>'1,7 ALTAS'!P4</f>
        <v>#DIV/0!</v>
      </c>
      <c r="H61" s="102" t="e">
        <f>'1,7 ALTAS'!S4</f>
        <v>#DIV/0!</v>
      </c>
      <c r="I61" s="102" t="e">
        <f>'1,7 ALTAS'!V4</f>
        <v>#DIV/0!</v>
      </c>
      <c r="J61" s="102" t="e">
        <f>'1,7 ALTAS'!Y4</f>
        <v>#DIV/0!</v>
      </c>
      <c r="K61" s="102" t="e">
        <f>'1,7 ALTAS'!AB4</f>
        <v>#DIV/0!</v>
      </c>
      <c r="L61" s="102" t="e">
        <f>'1,7 ALTAS'!AE4</f>
        <v>#DIV/0!</v>
      </c>
      <c r="M61" s="102" t="e">
        <f>'1,7 ALTAS'!AH4</f>
        <v>#DIV/0!</v>
      </c>
      <c r="N61" s="102" t="e">
        <f>'1,7 ALTAS'!AK4</f>
        <v>#DIV/0!</v>
      </c>
      <c r="O61" s="159" t="str">
        <f>'1,7 ALTAS'!AN4</f>
        <v/>
      </c>
      <c r="P61" s="1"/>
      <c r="Q61" s="1"/>
    </row>
    <row r="62" spans="1:17" x14ac:dyDescent="0.15">
      <c r="A62" s="2" t="s">
        <v>201</v>
      </c>
      <c r="B62" s="77" t="s">
        <v>90</v>
      </c>
      <c r="C62" s="159" t="str">
        <f>'1,7 ALTAS'!$D5</f>
        <v/>
      </c>
      <c r="D62" s="159" t="str">
        <f>'1,7 ALTAS'!G5</f>
        <v/>
      </c>
      <c r="E62" s="102" t="str">
        <f>'1,7 ALTAS'!J5</f>
        <v/>
      </c>
      <c r="F62" s="102" t="e">
        <f>'1,7 ALTAS'!M5</f>
        <v>#DIV/0!</v>
      </c>
      <c r="G62" s="102" t="e">
        <f>'1,7 ALTAS'!P5</f>
        <v>#DIV/0!</v>
      </c>
      <c r="H62" s="102" t="e">
        <f>'1,7 ALTAS'!S5</f>
        <v>#DIV/0!</v>
      </c>
      <c r="I62" s="102" t="e">
        <f>'1,7 ALTAS'!V5</f>
        <v>#DIV/0!</v>
      </c>
      <c r="J62" s="102" t="e">
        <f>'1,7 ALTAS'!Y5</f>
        <v>#DIV/0!</v>
      </c>
      <c r="K62" s="102" t="e">
        <f>'1,7 ALTAS'!AB5</f>
        <v>#DIV/0!</v>
      </c>
      <c r="L62" s="102" t="e">
        <f>'1,7 ALTAS'!AE5</f>
        <v>#DIV/0!</v>
      </c>
      <c r="M62" s="102" t="e">
        <f>'1,7 ALTAS'!AH5</f>
        <v>#DIV/0!</v>
      </c>
      <c r="N62" s="102" t="e">
        <f>'1,7 ALTAS'!AK5</f>
        <v>#DIV/0!</v>
      </c>
      <c r="O62" s="159" t="str">
        <f>'1,7 ALTAS'!AN5</f>
        <v/>
      </c>
      <c r="P62" s="1"/>
      <c r="Q62" s="1"/>
    </row>
    <row r="63" spans="1:17" x14ac:dyDescent="0.15">
      <c r="A63" s="2" t="s">
        <v>201</v>
      </c>
      <c r="B63" s="77" t="s">
        <v>91</v>
      </c>
      <c r="C63" s="159" t="str">
        <f>'1,7 ALTAS'!$D6</f>
        <v/>
      </c>
      <c r="D63" s="159" t="str">
        <f>'1,7 ALTAS'!G6</f>
        <v/>
      </c>
      <c r="E63" s="102" t="str">
        <f>'1,7 ALTAS'!J6</f>
        <v/>
      </c>
      <c r="F63" s="102" t="e">
        <f>'1,7 ALTAS'!M6</f>
        <v>#DIV/0!</v>
      </c>
      <c r="G63" s="102" t="e">
        <f>'1,7 ALTAS'!P6</f>
        <v>#DIV/0!</v>
      </c>
      <c r="H63" s="102" t="e">
        <f>'1,7 ALTAS'!S6</f>
        <v>#DIV/0!</v>
      </c>
      <c r="I63" s="102" t="e">
        <f>'1,7 ALTAS'!V6</f>
        <v>#DIV/0!</v>
      </c>
      <c r="J63" s="102" t="e">
        <f>'1,7 ALTAS'!Y6</f>
        <v>#DIV/0!</v>
      </c>
      <c r="K63" s="102" t="e">
        <f>'1,7 ALTAS'!AB6</f>
        <v>#DIV/0!</v>
      </c>
      <c r="L63" s="102" t="e">
        <f>'1,7 ALTAS'!AE6</f>
        <v>#DIV/0!</v>
      </c>
      <c r="M63" s="102" t="e">
        <f>'1,7 ALTAS'!AH6</f>
        <v>#DIV/0!</v>
      </c>
      <c r="N63" s="102" t="e">
        <f>'1,7 ALTAS'!AK6</f>
        <v>#DIV/0!</v>
      </c>
      <c r="O63" s="159" t="str">
        <f>'1,7 ALTAS'!AN6</f>
        <v/>
      </c>
      <c r="P63" s="1"/>
      <c r="Q63" s="1"/>
    </row>
    <row r="64" spans="1:17" x14ac:dyDescent="0.15">
      <c r="A64" s="2" t="s">
        <v>201</v>
      </c>
      <c r="B64" s="77" t="s">
        <v>92</v>
      </c>
      <c r="C64" s="159">
        <f>'1,7 ALTAS'!$D7</f>
        <v>0</v>
      </c>
      <c r="D64" s="159">
        <f>'1,7 ALTAS'!G7</f>
        <v>0</v>
      </c>
      <c r="E64" s="102">
        <f>'1,7 ALTAS'!J7</f>
        <v>0</v>
      </c>
      <c r="F64" s="102">
        <f>'1,7 ALTAS'!M7</f>
        <v>0.16176470588235295</v>
      </c>
      <c r="G64" s="102">
        <f>'1,7 ALTAS'!P7</f>
        <v>0.28205128205128205</v>
      </c>
      <c r="H64" s="102" t="e">
        <f>'1,7 ALTAS'!S7</f>
        <v>#DIV/0!</v>
      </c>
      <c r="I64" s="102">
        <f>'1,7 ALTAS'!V7</f>
        <v>0</v>
      </c>
      <c r="J64" s="102">
        <f>'1,7 ALTAS'!Y7</f>
        <v>3.7037037037037035E-2</v>
      </c>
      <c r="K64" s="102">
        <f>'1,7 ALTAS'!AB7</f>
        <v>6.6666666666666666E-2</v>
      </c>
      <c r="L64" s="102">
        <f>'1,7 ALTAS'!AE7</f>
        <v>0</v>
      </c>
      <c r="M64" s="102">
        <f>'1,7 ALTAS'!AH7</f>
        <v>0</v>
      </c>
      <c r="N64" s="102" t="e">
        <f>'1,7 ALTAS'!AK7</f>
        <v>#DIV/0!</v>
      </c>
      <c r="O64" s="159">
        <f>'1,7 ALTAS'!AN7</f>
        <v>0.11637931034482758</v>
      </c>
      <c r="P64" s="1"/>
      <c r="Q64" s="1"/>
    </row>
    <row r="65" spans="1:17" x14ac:dyDescent="0.15">
      <c r="A65" s="2" t="s">
        <v>201</v>
      </c>
      <c r="B65" s="77" t="s">
        <v>93</v>
      </c>
      <c r="C65" s="159">
        <f>'1,7 ALTAS'!$D8</f>
        <v>4.9019607843137254E-2</v>
      </c>
      <c r="D65" s="159">
        <f>'1,7 ALTAS'!G8</f>
        <v>6.6265060240963861E-2</v>
      </c>
      <c r="E65" s="102">
        <f>'1,7 ALTAS'!J8</f>
        <v>5.128205128205128E-2</v>
      </c>
      <c r="F65" s="102">
        <f>'1,7 ALTAS'!M8</f>
        <v>5.6074766355140186E-2</v>
      </c>
      <c r="G65" s="102">
        <f>'1,7 ALTAS'!P8</f>
        <v>4.1095890410958902E-2</v>
      </c>
      <c r="H65" s="102" t="e">
        <f>'1,7 ALTAS'!S8</f>
        <v>#DIV/0!</v>
      </c>
      <c r="I65" s="102" t="e">
        <f>'1,7 ALTAS'!V8</f>
        <v>#DIV/0!</v>
      </c>
      <c r="J65" s="102" t="e">
        <f>'1,7 ALTAS'!Y8</f>
        <v>#DIV/0!</v>
      </c>
      <c r="K65" s="102">
        <f>'1,7 ALTAS'!AB8</f>
        <v>3.3333333333333333E-2</v>
      </c>
      <c r="L65" s="102">
        <f>'1,7 ALTAS'!AE8</f>
        <v>7.3170731707317069E-2</v>
      </c>
      <c r="M65" s="102">
        <f>'1,7 ALTAS'!AH8</f>
        <v>0</v>
      </c>
      <c r="N65" s="102" t="e">
        <f>'1,7 ALTAS'!AK8</f>
        <v>#DIV/0!</v>
      </c>
      <c r="O65" s="159">
        <f>'1,7 ALTAS'!AN8</f>
        <v>5.8116232464929862E-2</v>
      </c>
      <c r="P65" s="1"/>
      <c r="Q65" s="1"/>
    </row>
    <row r="66" spans="1:17" x14ac:dyDescent="0.15">
      <c r="A66" s="2" t="s">
        <v>201</v>
      </c>
      <c r="B66" s="77" t="s">
        <v>94</v>
      </c>
      <c r="C66" s="159">
        <f>'1,7 ALTAS'!$D9</f>
        <v>5.8823529411764705E-2</v>
      </c>
      <c r="D66" s="159">
        <f>'1,7 ALTAS'!G9</f>
        <v>3.4482758620689655E-2</v>
      </c>
      <c r="E66" s="102">
        <f>'1,7 ALTAS'!J9</f>
        <v>1.2500000000000001E-2</v>
      </c>
      <c r="F66" s="102">
        <f>'1,7 ALTAS'!M9</f>
        <v>3.896103896103896E-2</v>
      </c>
      <c r="G66" s="102">
        <f>'1,7 ALTAS'!P9</f>
        <v>0.20270270270270271</v>
      </c>
      <c r="H66" s="102">
        <f>'1,7 ALTAS'!S9</f>
        <v>0.3728813559322034</v>
      </c>
      <c r="I66" s="102">
        <f>'1,7 ALTAS'!V9</f>
        <v>0.16666666666666666</v>
      </c>
      <c r="J66" s="102">
        <f>'1,7 ALTAS'!Y9</f>
        <v>0.11320754716981132</v>
      </c>
      <c r="K66" s="102">
        <f>'1,7 ALTAS'!AB9</f>
        <v>8.8888888888888892E-2</v>
      </c>
      <c r="L66" s="102">
        <f>'1,7 ALTAS'!AE9</f>
        <v>0.2</v>
      </c>
      <c r="M66" s="102">
        <f>'1,7 ALTAS'!AH9</f>
        <v>0.13580246913580246</v>
      </c>
      <c r="N66" s="102" t="e">
        <f>'1,7 ALTAS'!AK9</f>
        <v>#DIV/0!</v>
      </c>
      <c r="O66" s="159">
        <f>'1,7 ALTAS'!AN9</f>
        <v>0.10606060606060606</v>
      </c>
      <c r="P66" s="1"/>
      <c r="Q66" s="1"/>
    </row>
    <row r="67" spans="1:17" x14ac:dyDescent="0.15">
      <c r="A67" s="2" t="s">
        <v>201</v>
      </c>
      <c r="B67" s="77" t="s">
        <v>95</v>
      </c>
      <c r="C67" s="159" t="str">
        <f>'1,7 ALTAS'!$D10</f>
        <v/>
      </c>
      <c r="D67" s="159" t="str">
        <f>'1,7 ALTAS'!G10</f>
        <v/>
      </c>
      <c r="E67" s="102" t="str">
        <f>'1,7 ALTAS'!J10</f>
        <v/>
      </c>
      <c r="F67" s="102" t="e">
        <f>'1,7 ALTAS'!M10</f>
        <v>#DIV/0!</v>
      </c>
      <c r="G67" s="102" t="e">
        <f>'1,7 ALTAS'!P10</f>
        <v>#DIV/0!</v>
      </c>
      <c r="H67" s="102" t="e">
        <f>'1,7 ALTAS'!S10</f>
        <v>#DIV/0!</v>
      </c>
      <c r="I67" s="102" t="e">
        <f>'1,7 ALTAS'!V10</f>
        <v>#DIV/0!</v>
      </c>
      <c r="J67" s="102" t="e">
        <f>'1,7 ALTAS'!Y10</f>
        <v>#DIV/0!</v>
      </c>
      <c r="K67" s="102" t="e">
        <f>'1,7 ALTAS'!AB10</f>
        <v>#DIV/0!</v>
      </c>
      <c r="L67" s="102" t="e">
        <f>'1,7 ALTAS'!AE10</f>
        <v>#DIV/0!</v>
      </c>
      <c r="M67" s="102" t="e">
        <f>'1,7 ALTAS'!AH10</f>
        <v>#DIV/0!</v>
      </c>
      <c r="N67" s="102" t="e">
        <f>'1,7 ALTAS'!AK10</f>
        <v>#DIV/0!</v>
      </c>
      <c r="O67" s="159" t="str">
        <f>'1,7 ALTAS'!AN10</f>
        <v/>
      </c>
      <c r="P67" s="1"/>
      <c r="Q67" s="1"/>
    </row>
    <row r="68" spans="1:17" x14ac:dyDescent="0.15">
      <c r="A68" s="2" t="s">
        <v>201</v>
      </c>
      <c r="B68" s="77" t="s">
        <v>96</v>
      </c>
      <c r="C68" s="159" t="str">
        <f>'1,7 ALTAS'!$D11</f>
        <v/>
      </c>
      <c r="D68" s="159" t="str">
        <f>'1,7 ALTAS'!G11</f>
        <v/>
      </c>
      <c r="E68" s="102" t="str">
        <f>'1,7 ALTAS'!J11</f>
        <v/>
      </c>
      <c r="F68" s="102" t="e">
        <f>'1,7 ALTAS'!M11</f>
        <v>#DIV/0!</v>
      </c>
      <c r="G68" s="102" t="e">
        <f>'1,7 ALTAS'!P11</f>
        <v>#DIV/0!</v>
      </c>
      <c r="H68" s="102" t="e">
        <f>'1,7 ALTAS'!S11</f>
        <v>#DIV/0!</v>
      </c>
      <c r="I68" s="102" t="e">
        <f>'1,7 ALTAS'!V11</f>
        <v>#DIV/0!</v>
      </c>
      <c r="J68" s="102" t="e">
        <f>'1,7 ALTAS'!Y11</f>
        <v>#DIV/0!</v>
      </c>
      <c r="K68" s="102" t="e">
        <f>'1,7 ALTAS'!AB11</f>
        <v>#DIV/0!</v>
      </c>
      <c r="L68" s="102" t="e">
        <f>'1,7 ALTAS'!AE11</f>
        <v>#DIV/0!</v>
      </c>
      <c r="M68" s="102" t="e">
        <f>'1,7 ALTAS'!AH11</f>
        <v>#DIV/0!</v>
      </c>
      <c r="N68" s="102" t="e">
        <f>'1,7 ALTAS'!AK11</f>
        <v>#DIV/0!</v>
      </c>
      <c r="O68" s="159" t="str">
        <f>'1,7 ALTAS'!AN11</f>
        <v/>
      </c>
      <c r="P68" s="1"/>
      <c r="Q68" s="1"/>
    </row>
    <row r="69" spans="1:17" x14ac:dyDescent="0.15">
      <c r="A69" s="2" t="s">
        <v>201</v>
      </c>
      <c r="B69" s="77" t="s">
        <v>97</v>
      </c>
      <c r="C69" s="159">
        <f>'1,7 ALTAS'!$D12</f>
        <v>0</v>
      </c>
      <c r="D69" s="159" t="str">
        <f>'1,7 ALTAS'!G12</f>
        <v/>
      </c>
      <c r="E69" s="102">
        <f>'1,7 ALTAS'!J12</f>
        <v>6.8181818181818177E-2</v>
      </c>
      <c r="F69" s="102">
        <f>'1,7 ALTAS'!M12</f>
        <v>0.1</v>
      </c>
      <c r="G69" s="102">
        <f>'1,7 ALTAS'!P12</f>
        <v>4.3478260869565216E-2</v>
      </c>
      <c r="H69" s="102">
        <f>'1,7 ALTAS'!S12</f>
        <v>0</v>
      </c>
      <c r="I69" s="102">
        <f>'1,7 ALTAS'!V12</f>
        <v>1.826086956521739</v>
      </c>
      <c r="J69" s="102">
        <f>'1,7 ALTAS'!Y12</f>
        <v>0.35714285714285715</v>
      </c>
      <c r="K69" s="102">
        <f>'1,7 ALTAS'!AB12</f>
        <v>0.2</v>
      </c>
      <c r="L69" s="102">
        <f>'1,7 ALTAS'!AE12</f>
        <v>0.18181818181818182</v>
      </c>
      <c r="M69" s="102">
        <f>'1,7 ALTAS'!AH12</f>
        <v>0.55102040816326525</v>
      </c>
      <c r="N69" s="102" t="e">
        <f>'1,7 ALTAS'!AK12</f>
        <v>#DIV/0!</v>
      </c>
      <c r="O69" s="159">
        <f>'1,7 ALTAS'!AN12</f>
        <v>6.0606060606060608E-2</v>
      </c>
      <c r="P69" s="1"/>
      <c r="Q69" s="1"/>
    </row>
    <row r="70" spans="1:17" x14ac:dyDescent="0.15">
      <c r="A70" s="2" t="s">
        <v>201</v>
      </c>
      <c r="B70" s="77" t="s">
        <v>98</v>
      </c>
      <c r="C70" s="159" t="str">
        <f>'1,7 ALTAS'!$D13</f>
        <v/>
      </c>
      <c r="D70" s="159" t="str">
        <f>'1,7 ALTAS'!G13</f>
        <v/>
      </c>
      <c r="E70" s="102" t="str">
        <f>'1,7 ALTAS'!J13</f>
        <v/>
      </c>
      <c r="F70" s="102" t="e">
        <f>'1,7 ALTAS'!M13</f>
        <v>#DIV/0!</v>
      </c>
      <c r="G70" s="102" t="e">
        <f>'1,7 ALTAS'!P13</f>
        <v>#DIV/0!</v>
      </c>
      <c r="H70" s="102" t="e">
        <f>'1,7 ALTAS'!S13</f>
        <v>#DIV/0!</v>
      </c>
      <c r="I70" s="102" t="e">
        <f>'1,7 ALTAS'!V13</f>
        <v>#DIV/0!</v>
      </c>
      <c r="J70" s="102" t="e">
        <f>'1,7 ALTAS'!Y13</f>
        <v>#DIV/0!</v>
      </c>
      <c r="K70" s="102" t="e">
        <f>'1,7 ALTAS'!AB13</f>
        <v>#DIV/0!</v>
      </c>
      <c r="L70" s="102" t="e">
        <f>'1,7 ALTAS'!AE13</f>
        <v>#DIV/0!</v>
      </c>
      <c r="M70" s="102" t="e">
        <f>'1,7 ALTAS'!AH13</f>
        <v>#DIV/0!</v>
      </c>
      <c r="N70" s="102" t="e">
        <f>'1,7 ALTAS'!AK13</f>
        <v>#DIV/0!</v>
      </c>
      <c r="O70" s="159" t="str">
        <f>'1,7 ALTAS'!AN13</f>
        <v/>
      </c>
      <c r="P70" s="1"/>
      <c r="Q70" s="1"/>
    </row>
    <row r="71" spans="1:17" x14ac:dyDescent="0.15">
      <c r="A71" s="2" t="s">
        <v>201</v>
      </c>
      <c r="B71" s="77" t="s">
        <v>99</v>
      </c>
      <c r="C71" s="159" t="str">
        <f>'1,7 ALTAS'!$D14</f>
        <v/>
      </c>
      <c r="D71" s="159" t="str">
        <f>'1,7 ALTAS'!G14</f>
        <v/>
      </c>
      <c r="E71" s="102" t="str">
        <f>'1,7 ALTAS'!J14</f>
        <v/>
      </c>
      <c r="F71" s="102" t="e">
        <f>'1,7 ALTAS'!M14</f>
        <v>#DIV/0!</v>
      </c>
      <c r="G71" s="102" t="e">
        <f>'1,7 ALTAS'!P14</f>
        <v>#DIV/0!</v>
      </c>
      <c r="H71" s="102" t="e">
        <f>'1,7 ALTAS'!S14</f>
        <v>#DIV/0!</v>
      </c>
      <c r="I71" s="102" t="e">
        <f>'1,7 ALTAS'!V14</f>
        <v>#DIV/0!</v>
      </c>
      <c r="J71" s="102" t="e">
        <f>'1,7 ALTAS'!Y14</f>
        <v>#DIV/0!</v>
      </c>
      <c r="K71" s="102" t="e">
        <f>'1,7 ALTAS'!AB14</f>
        <v>#DIV/0!</v>
      </c>
      <c r="L71" s="102" t="e">
        <f>'1,7 ALTAS'!AE14</f>
        <v>#DIV/0!</v>
      </c>
      <c r="M71" s="102" t="e">
        <f>'1,7 ALTAS'!AH14</f>
        <v>#DIV/0!</v>
      </c>
      <c r="N71" s="102" t="e">
        <f>'1,7 ALTAS'!AK14</f>
        <v>#DIV/0!</v>
      </c>
      <c r="O71" s="159" t="str">
        <f>'1,7 ALTAS'!AN14</f>
        <v/>
      </c>
      <c r="P71" s="1"/>
      <c r="Q71" s="1"/>
    </row>
    <row r="72" spans="1:17" x14ac:dyDescent="0.15">
      <c r="A72" s="2" t="s">
        <v>201</v>
      </c>
      <c r="B72" s="78" t="s">
        <v>100</v>
      </c>
      <c r="C72" s="159" t="str">
        <f>'1,7 ALTAS'!$D15</f>
        <v/>
      </c>
      <c r="D72" s="159" t="str">
        <f>'1,7 ALTAS'!G15</f>
        <v/>
      </c>
      <c r="E72" s="102" t="str">
        <f>'1,7 ALTAS'!J15</f>
        <v/>
      </c>
      <c r="F72" s="102" t="e">
        <f>'1,7 ALTAS'!M15</f>
        <v>#DIV/0!</v>
      </c>
      <c r="G72" s="102" t="e">
        <f>'1,7 ALTAS'!P15</f>
        <v>#DIV/0!</v>
      </c>
      <c r="H72" s="102" t="e">
        <f>'1,7 ALTAS'!S15</f>
        <v>#DIV/0!</v>
      </c>
      <c r="I72" s="102" t="e">
        <f>'1,7 ALTAS'!V15</f>
        <v>#DIV/0!</v>
      </c>
      <c r="J72" s="102" t="e">
        <f>'1,7 ALTAS'!Y15</f>
        <v>#DIV/0!</v>
      </c>
      <c r="K72" s="102" t="e">
        <f>'1,7 ALTAS'!AB15</f>
        <v>#DIV/0!</v>
      </c>
      <c r="L72" s="102" t="e">
        <f>'1,7 ALTAS'!AE15</f>
        <v>#DIV/0!</v>
      </c>
      <c r="M72" s="102" t="e">
        <f>'1,7 ALTAS'!AH15</f>
        <v>#DIV/0!</v>
      </c>
      <c r="N72" s="102" t="e">
        <f>'1,7 ALTAS'!AK15</f>
        <v>#DIV/0!</v>
      </c>
      <c r="O72" s="159" t="str">
        <f>'1,7 ALTAS'!AN15</f>
        <v/>
      </c>
      <c r="P72" s="1"/>
      <c r="Q72" s="1"/>
    </row>
    <row r="73" spans="1:17" x14ac:dyDescent="0.15">
      <c r="A73" s="2" t="s">
        <v>201</v>
      </c>
      <c r="B73" s="77" t="s">
        <v>101</v>
      </c>
      <c r="C73" s="159" t="str">
        <f>'1,7 ALTAS'!$D16</f>
        <v/>
      </c>
      <c r="D73" s="159" t="str">
        <f>'1,7 ALTAS'!G16</f>
        <v/>
      </c>
      <c r="E73" s="102" t="str">
        <f>'1,7 ALTAS'!J16</f>
        <v/>
      </c>
      <c r="F73" s="102" t="e">
        <f>'1,7 ALTAS'!M16</f>
        <v>#DIV/0!</v>
      </c>
      <c r="G73" s="102" t="e">
        <f>'1,7 ALTAS'!P16</f>
        <v>#DIV/0!</v>
      </c>
      <c r="H73" s="102" t="e">
        <f>'1,7 ALTAS'!S16</f>
        <v>#DIV/0!</v>
      </c>
      <c r="I73" s="102" t="e">
        <f>'1,7 ALTAS'!V16</f>
        <v>#DIV/0!</v>
      </c>
      <c r="J73" s="102" t="e">
        <f>'1,7 ALTAS'!Y16</f>
        <v>#DIV/0!</v>
      </c>
      <c r="K73" s="102" t="e">
        <f>'1,7 ALTAS'!AB16</f>
        <v>#DIV/0!</v>
      </c>
      <c r="L73" s="102" t="e">
        <f>'1,7 ALTAS'!AE16</f>
        <v>#DIV/0!</v>
      </c>
      <c r="M73" s="102" t="e">
        <f>'1,7 ALTAS'!AH16</f>
        <v>#DIV/0!</v>
      </c>
      <c r="N73" s="102" t="e">
        <f>'1,7 ALTAS'!AK16</f>
        <v>#DIV/0!</v>
      </c>
      <c r="O73" s="159" t="str">
        <f>'1,7 ALTAS'!AN16</f>
        <v/>
      </c>
      <c r="P73" s="1"/>
      <c r="Q73" s="1"/>
    </row>
    <row r="74" spans="1:17" x14ac:dyDescent="0.15">
      <c r="A74" s="2" t="s">
        <v>201</v>
      </c>
      <c r="B74" s="77" t="s">
        <v>102</v>
      </c>
      <c r="C74" s="159">
        <f>'1,7 ALTAS'!$D17</f>
        <v>0</v>
      </c>
      <c r="D74" s="159" t="str">
        <f>'1,7 ALTAS'!G17</f>
        <v/>
      </c>
      <c r="E74" s="102">
        <f>'1,7 ALTAS'!J17</f>
        <v>0.92307692307692313</v>
      </c>
      <c r="F74" s="102">
        <f>'1,7 ALTAS'!M17</f>
        <v>4.7619047619047616E-2</v>
      </c>
      <c r="G74" s="102" t="e">
        <f>'1,7 ALTAS'!P17</f>
        <v>#DIV/0!</v>
      </c>
      <c r="H74" s="102" t="e">
        <f>'1,7 ALTAS'!S17</f>
        <v>#DIV/0!</v>
      </c>
      <c r="I74" s="102" t="e">
        <f>'1,7 ALTAS'!V17</f>
        <v>#DIV/0!</v>
      </c>
      <c r="J74" s="102" t="e">
        <f>'1,7 ALTAS'!Y17</f>
        <v>#DIV/0!</v>
      </c>
      <c r="K74" s="102">
        <f>'1,7 ALTAS'!AB17</f>
        <v>0.2857142857142857</v>
      </c>
      <c r="L74" s="102">
        <f>'1,7 ALTAS'!AE17</f>
        <v>5.8823529411764705E-2</v>
      </c>
      <c r="M74" s="102">
        <f>'1,7 ALTAS'!AH17</f>
        <v>1.7857142857142856E-2</v>
      </c>
      <c r="N74" s="102" t="e">
        <f>'1,7 ALTAS'!AK17</f>
        <v>#DIV/0!</v>
      </c>
      <c r="O74" s="159">
        <f>'1,7 ALTAS'!AN17</f>
        <v>0.31707317073170732</v>
      </c>
      <c r="P74" s="1"/>
      <c r="Q74" s="1"/>
    </row>
    <row r="75" spans="1:17" x14ac:dyDescent="0.15">
      <c r="A75" s="2" t="s">
        <v>201</v>
      </c>
      <c r="B75" s="77" t="s">
        <v>103</v>
      </c>
      <c r="C75" s="159" t="str">
        <f>'1,7 ALTAS'!$D18</f>
        <v/>
      </c>
      <c r="D75" s="159" t="str">
        <f>'1,7 ALTAS'!G18</f>
        <v/>
      </c>
      <c r="E75" s="102" t="str">
        <f>'1,7 ALTAS'!J18</f>
        <v/>
      </c>
      <c r="F75" s="102" t="e">
        <f>'1,7 ALTAS'!M18</f>
        <v>#DIV/0!</v>
      </c>
      <c r="G75" s="102" t="e">
        <f>'1,7 ALTAS'!P18</f>
        <v>#DIV/0!</v>
      </c>
      <c r="H75" s="102" t="e">
        <f>'1,7 ALTAS'!S18</f>
        <v>#DIV/0!</v>
      </c>
      <c r="I75" s="102" t="e">
        <f>'1,7 ALTAS'!V18</f>
        <v>#DIV/0!</v>
      </c>
      <c r="J75" s="102" t="e">
        <f>'1,7 ALTAS'!Y18</f>
        <v>#DIV/0!</v>
      </c>
      <c r="K75" s="102" t="e">
        <f>'1,7 ALTAS'!AB18</f>
        <v>#DIV/0!</v>
      </c>
      <c r="L75" s="102" t="e">
        <f>'1,7 ALTAS'!AE18</f>
        <v>#DIV/0!</v>
      </c>
      <c r="M75" s="102" t="e">
        <f>'1,7 ALTAS'!AH18</f>
        <v>#DIV/0!</v>
      </c>
      <c r="N75" s="102" t="e">
        <f>'1,7 ALTAS'!AK18</f>
        <v>#DIV/0!</v>
      </c>
      <c r="O75" s="159" t="str">
        <f>'1,7 ALTAS'!AN18</f>
        <v/>
      </c>
      <c r="P75" s="1"/>
      <c r="Q75" s="1"/>
    </row>
    <row r="76" spans="1:17" x14ac:dyDescent="0.15">
      <c r="A76" s="2" t="s">
        <v>201</v>
      </c>
      <c r="B76" s="77" t="s">
        <v>104</v>
      </c>
      <c r="C76" s="159" t="str">
        <f>'1,7 ALTAS'!$D19</f>
        <v/>
      </c>
      <c r="D76" s="159" t="str">
        <f>'1,7 ALTAS'!G19</f>
        <v/>
      </c>
      <c r="E76" s="102" t="str">
        <f>'1,7 ALTAS'!J19</f>
        <v/>
      </c>
      <c r="F76" s="102" t="e">
        <f>'1,7 ALTAS'!M19</f>
        <v>#DIV/0!</v>
      </c>
      <c r="G76" s="102" t="e">
        <f>'1,7 ALTAS'!P19</f>
        <v>#DIV/0!</v>
      </c>
      <c r="H76" s="102" t="e">
        <f>'1,7 ALTAS'!S19</f>
        <v>#DIV/0!</v>
      </c>
      <c r="I76" s="102" t="e">
        <f>'1,7 ALTAS'!V19</f>
        <v>#DIV/0!</v>
      </c>
      <c r="J76" s="102" t="e">
        <f>'1,7 ALTAS'!Y19</f>
        <v>#DIV/0!</v>
      </c>
      <c r="K76" s="102" t="e">
        <f>'1,7 ALTAS'!AB19</f>
        <v>#DIV/0!</v>
      </c>
      <c r="L76" s="102" t="e">
        <f>'1,7 ALTAS'!AE19</f>
        <v>#DIV/0!</v>
      </c>
      <c r="M76" s="102" t="e">
        <f>'1,7 ALTAS'!AH19</f>
        <v>#DIV/0!</v>
      </c>
      <c r="N76" s="102" t="e">
        <f>'1,7 ALTAS'!AK19</f>
        <v>#DIV/0!</v>
      </c>
      <c r="O76" s="159" t="str">
        <f>'1,7 ALTAS'!AN19</f>
        <v/>
      </c>
      <c r="P76" s="1"/>
      <c r="Q76" s="1"/>
    </row>
    <row r="77" spans="1:17" x14ac:dyDescent="0.15">
      <c r="A77" s="2" t="s">
        <v>201</v>
      </c>
      <c r="B77" s="77" t="s">
        <v>105</v>
      </c>
      <c r="C77" s="159" t="str">
        <f>'1,7 ALTAS'!$D20</f>
        <v/>
      </c>
      <c r="D77" s="159" t="str">
        <f>'1,7 ALTAS'!G20</f>
        <v/>
      </c>
      <c r="E77" s="102" t="str">
        <f>'1,7 ALTAS'!J20</f>
        <v/>
      </c>
      <c r="F77" s="102" t="e">
        <f>'1,7 ALTAS'!M20</f>
        <v>#DIV/0!</v>
      </c>
      <c r="G77" s="102" t="e">
        <f>'1,7 ALTAS'!P20</f>
        <v>#DIV/0!</v>
      </c>
      <c r="H77" s="102" t="e">
        <f>'1,7 ALTAS'!S20</f>
        <v>#DIV/0!</v>
      </c>
      <c r="I77" s="102" t="e">
        <f>'1,7 ALTAS'!V20</f>
        <v>#DIV/0!</v>
      </c>
      <c r="J77" s="102" t="e">
        <f>'1,7 ALTAS'!Y20</f>
        <v>#DIV/0!</v>
      </c>
      <c r="K77" s="102" t="e">
        <f>'1,7 ALTAS'!AB20</f>
        <v>#DIV/0!</v>
      </c>
      <c r="L77" s="102" t="e">
        <f>'1,7 ALTAS'!AE20</f>
        <v>#DIV/0!</v>
      </c>
      <c r="M77" s="102" t="e">
        <f>'1,7 ALTAS'!AH20</f>
        <v>#DIV/0!</v>
      </c>
      <c r="N77" s="102" t="e">
        <f>'1,7 ALTAS'!AK20</f>
        <v>#DIV/0!</v>
      </c>
      <c r="O77" s="159" t="str">
        <f>'1,7 ALTAS'!AN20</f>
        <v/>
      </c>
      <c r="P77" s="1"/>
      <c r="Q77" s="1"/>
    </row>
    <row r="78" spans="1:17" x14ac:dyDescent="0.2">
      <c r="A78" s="2" t="s">
        <v>201</v>
      </c>
      <c r="B78" s="79" t="s">
        <v>106</v>
      </c>
      <c r="C78" s="159" t="str">
        <f>'1,7 ALTAS'!$D21</f>
        <v/>
      </c>
      <c r="D78" s="159" t="str">
        <f>'1,7 ALTAS'!G21</f>
        <v/>
      </c>
      <c r="E78" s="102" t="str">
        <f>'1,7 ALTAS'!J21</f>
        <v/>
      </c>
      <c r="F78" s="102" t="e">
        <f>'1,7 ALTAS'!M21</f>
        <v>#DIV/0!</v>
      </c>
      <c r="G78" s="102" t="e">
        <f>'1,7 ALTAS'!P21</f>
        <v>#DIV/0!</v>
      </c>
      <c r="H78" s="102" t="e">
        <f>'1,7 ALTAS'!S21</f>
        <v>#DIV/0!</v>
      </c>
      <c r="I78" s="102" t="e">
        <f>'1,7 ALTAS'!V21</f>
        <v>#DIV/0!</v>
      </c>
      <c r="J78" s="102" t="e">
        <f>'1,7 ALTAS'!Y21</f>
        <v>#DIV/0!</v>
      </c>
      <c r="K78" s="102" t="e">
        <f>'1,7 ALTAS'!AB21</f>
        <v>#DIV/0!</v>
      </c>
      <c r="L78" s="102" t="e">
        <f>'1,7 ALTAS'!AE21</f>
        <v>#DIV/0!</v>
      </c>
      <c r="M78" s="102" t="e">
        <f>'1,7 ALTAS'!AH21</f>
        <v>#DIV/0!</v>
      </c>
      <c r="N78" s="102" t="e">
        <f>'1,7 ALTAS'!AK21</f>
        <v>#DIV/0!</v>
      </c>
      <c r="O78" s="159" t="str">
        <f>'1,7 ALTAS'!AN21</f>
        <v/>
      </c>
      <c r="P78" s="1"/>
      <c r="Q78" s="1"/>
    </row>
    <row r="79" spans="1:17" x14ac:dyDescent="0.15">
      <c r="A79" s="2" t="s">
        <v>201</v>
      </c>
      <c r="B79" s="77" t="s">
        <v>107</v>
      </c>
      <c r="C79" s="159">
        <f>'1,7 ALTAS'!$D22</f>
        <v>0.11290322580645161</v>
      </c>
      <c r="D79" s="159">
        <f>'1,7 ALTAS'!G22</f>
        <v>0.28888888888888886</v>
      </c>
      <c r="E79" s="102">
        <f>'1,7 ALTAS'!J22</f>
        <v>0.24528301886792453</v>
      </c>
      <c r="F79" s="102">
        <f>'1,7 ALTAS'!M22</f>
        <v>0.31896551724137934</v>
      </c>
      <c r="G79" s="102">
        <f>'1,7 ALTAS'!P22</f>
        <v>0.19587628865979381</v>
      </c>
      <c r="H79" s="102">
        <f>'1,7 ALTAS'!S22</f>
        <v>0</v>
      </c>
      <c r="I79" s="102">
        <f>'1,7 ALTAS'!V22</f>
        <v>0.13513513513513514</v>
      </c>
      <c r="J79" s="102">
        <f>'1,7 ALTAS'!Y22</f>
        <v>4.4776119402985072E-2</v>
      </c>
      <c r="K79" s="102">
        <f>'1,7 ALTAS'!AB22</f>
        <v>2.0833333333333332E-2</v>
      </c>
      <c r="L79" s="102">
        <f>'1,7 ALTAS'!AE22</f>
        <v>0.15686274509803921</v>
      </c>
      <c r="M79" s="102">
        <f>'1,7 ALTAS'!AH22</f>
        <v>0.20930232558139536</v>
      </c>
      <c r="N79" s="102" t="e">
        <f>'1,7 ALTAS'!AK22</f>
        <v>#DIV/0!</v>
      </c>
      <c r="O79" s="159">
        <f>'1,7 ALTAS'!AN22</f>
        <v>0.18370607028753994</v>
      </c>
      <c r="P79" s="1"/>
      <c r="Q79" s="1"/>
    </row>
    <row r="80" spans="1:17" x14ac:dyDescent="0.15">
      <c r="A80" s="2" t="s">
        <v>201</v>
      </c>
      <c r="B80" s="77" t="s">
        <v>108</v>
      </c>
      <c r="C80" s="159" t="str">
        <f>'1,7 ALTAS'!$D23</f>
        <v/>
      </c>
      <c r="D80" s="159" t="str">
        <f>'1,7 ALTAS'!G23</f>
        <v/>
      </c>
      <c r="E80" s="102" t="str">
        <f>'1,7 ALTAS'!J23</f>
        <v/>
      </c>
      <c r="F80" s="102" t="e">
        <f>'1,7 ALTAS'!M23</f>
        <v>#DIV/0!</v>
      </c>
      <c r="G80" s="102" t="e">
        <f>'1,7 ALTAS'!P23</f>
        <v>#DIV/0!</v>
      </c>
      <c r="H80" s="102" t="e">
        <f>'1,7 ALTAS'!S23</f>
        <v>#DIV/0!</v>
      </c>
      <c r="I80" s="102" t="e">
        <f>'1,7 ALTAS'!V23</f>
        <v>#DIV/0!</v>
      </c>
      <c r="J80" s="102" t="e">
        <f>'1,7 ALTAS'!Y23</f>
        <v>#DIV/0!</v>
      </c>
      <c r="K80" s="102" t="e">
        <f>'1,7 ALTAS'!AB23</f>
        <v>#DIV/0!</v>
      </c>
      <c r="L80" s="102" t="e">
        <f>'1,7 ALTAS'!AE23</f>
        <v>#DIV/0!</v>
      </c>
      <c r="M80" s="102" t="e">
        <f>'1,7 ALTAS'!AH23</f>
        <v>#DIV/0!</v>
      </c>
      <c r="N80" s="102" t="e">
        <f>'1,7 ALTAS'!AK23</f>
        <v>#DIV/0!</v>
      </c>
      <c r="O80" s="159" t="str">
        <f>'1,7 ALTAS'!AN23</f>
        <v/>
      </c>
      <c r="P80" s="1"/>
      <c r="Q80" s="1"/>
    </row>
    <row r="81" spans="1:17" x14ac:dyDescent="0.15">
      <c r="A81" s="2" t="s">
        <v>201</v>
      </c>
      <c r="B81" s="77" t="s">
        <v>109</v>
      </c>
      <c r="C81" s="159">
        <f>'1,7 ALTAS'!$D24</f>
        <v>5.8333333333333334E-2</v>
      </c>
      <c r="D81" s="159">
        <f>'1,7 ALTAS'!G24</f>
        <v>3.3613445378151259E-2</v>
      </c>
      <c r="E81" s="102">
        <f>'1,7 ALTAS'!J24</f>
        <v>3.7037037037037035E-2</v>
      </c>
      <c r="F81" s="102">
        <f>'1,7 ALTAS'!M24</f>
        <v>4.9645390070921988E-2</v>
      </c>
      <c r="G81" s="102">
        <f>'1,7 ALTAS'!P24</f>
        <v>0.13013698630136986</v>
      </c>
      <c r="H81" s="102">
        <f>'1,7 ALTAS'!S24</f>
        <v>0.23684210526315788</v>
      </c>
      <c r="I81" s="102">
        <f>'1,7 ALTAS'!V24</f>
        <v>0.26865671641791045</v>
      </c>
      <c r="J81" s="102">
        <f>'1,7 ALTAS'!Y24</f>
        <v>0.21848739495798319</v>
      </c>
      <c r="K81" s="102">
        <f>'1,7 ALTAS'!AB24</f>
        <v>0.12925170068027211</v>
      </c>
      <c r="L81" s="102">
        <f>'1,7 ALTAS'!AE24</f>
        <v>0.11194029850746269</v>
      </c>
      <c r="M81" s="102">
        <f>'1,7 ALTAS'!AH24</f>
        <v>0.1</v>
      </c>
      <c r="N81" s="102" t="e">
        <f>'1,7 ALTAS'!AK24</f>
        <v>#DIV/0!</v>
      </c>
      <c r="O81" s="159">
        <f>'1,7 ALTAS'!AN24</f>
        <v>7.9842931937172776E-2</v>
      </c>
      <c r="P81" s="1"/>
      <c r="Q81" s="1"/>
    </row>
    <row r="82" spans="1:17" x14ac:dyDescent="0.15">
      <c r="A82" s="2" t="s">
        <v>201</v>
      </c>
      <c r="B82" s="77" t="s">
        <v>110</v>
      </c>
      <c r="C82" s="159" t="str">
        <f>'1,7 ALTAS'!$D25</f>
        <v/>
      </c>
      <c r="D82" s="159" t="str">
        <f>'1,7 ALTAS'!G25</f>
        <v/>
      </c>
      <c r="E82" s="102" t="str">
        <f>'1,7 ALTAS'!J25</f>
        <v/>
      </c>
      <c r="F82" s="102" t="e">
        <f>'1,7 ALTAS'!M25</f>
        <v>#DIV/0!</v>
      </c>
      <c r="G82" s="102" t="e">
        <f>'1,7 ALTAS'!P25</f>
        <v>#DIV/0!</v>
      </c>
      <c r="H82" s="102" t="e">
        <f>'1,7 ALTAS'!S25</f>
        <v>#DIV/0!</v>
      </c>
      <c r="I82" s="102" t="e">
        <f>'1,7 ALTAS'!V25</f>
        <v>#DIV/0!</v>
      </c>
      <c r="J82" s="102" t="e">
        <f>'1,7 ALTAS'!Y25</f>
        <v>#DIV/0!</v>
      </c>
      <c r="K82" s="102" t="e">
        <f>'1,7 ALTAS'!AB25</f>
        <v>#DIV/0!</v>
      </c>
      <c r="L82" s="102" t="e">
        <f>'1,7 ALTAS'!AE25</f>
        <v>#DIV/0!</v>
      </c>
      <c r="M82" s="102" t="e">
        <f>'1,7 ALTAS'!AH25</f>
        <v>#DIV/0!</v>
      </c>
      <c r="N82" s="102" t="e">
        <f>'1,7 ALTAS'!AK25</f>
        <v>#DIV/0!</v>
      </c>
      <c r="O82" s="159" t="str">
        <f>'1,7 ALTAS'!AN25</f>
        <v/>
      </c>
      <c r="P82" s="1"/>
      <c r="Q82" s="1"/>
    </row>
    <row r="83" spans="1:17" x14ac:dyDescent="0.15">
      <c r="A83" s="2" t="s">
        <v>201</v>
      </c>
      <c r="B83" s="77" t="s">
        <v>111</v>
      </c>
      <c r="C83" s="159" t="str">
        <f>'1,7 ALTAS'!$D26</f>
        <v/>
      </c>
      <c r="D83" s="159" t="str">
        <f>'1,7 ALTAS'!G26</f>
        <v/>
      </c>
      <c r="E83" s="102" t="str">
        <f>'1,7 ALTAS'!J26</f>
        <v/>
      </c>
      <c r="F83" s="102" t="e">
        <f>'1,7 ALTAS'!M26</f>
        <v>#DIV/0!</v>
      </c>
      <c r="G83" s="102" t="e">
        <f>'1,7 ALTAS'!P26</f>
        <v>#DIV/0!</v>
      </c>
      <c r="H83" s="102" t="e">
        <f>'1,7 ALTAS'!S26</f>
        <v>#DIV/0!</v>
      </c>
      <c r="I83" s="102" t="e">
        <f>'1,7 ALTAS'!V26</f>
        <v>#DIV/0!</v>
      </c>
      <c r="J83" s="102" t="e">
        <f>'1,7 ALTAS'!Y26</f>
        <v>#DIV/0!</v>
      </c>
      <c r="K83" s="102" t="e">
        <f>'1,7 ALTAS'!AB26</f>
        <v>#DIV/0!</v>
      </c>
      <c r="L83" s="102" t="e">
        <f>'1,7 ALTAS'!AE26</f>
        <v>#DIV/0!</v>
      </c>
      <c r="M83" s="102" t="e">
        <f>'1,7 ALTAS'!AH26</f>
        <v>#DIV/0!</v>
      </c>
      <c r="N83" s="102" t="e">
        <f>'1,7 ALTAS'!AK26</f>
        <v>#DIV/0!</v>
      </c>
      <c r="O83" s="159" t="str">
        <f>'1,7 ALTAS'!AN26</f>
        <v/>
      </c>
      <c r="P83" s="1"/>
      <c r="Q83" s="1"/>
    </row>
    <row r="84" spans="1:17" x14ac:dyDescent="0.2">
      <c r="A84" s="2" t="s">
        <v>201</v>
      </c>
      <c r="B84" s="79" t="s">
        <v>112</v>
      </c>
      <c r="C84" s="159" t="str">
        <f>'1,7 ALTAS'!$D27</f>
        <v/>
      </c>
      <c r="D84" s="159" t="str">
        <f>'1,7 ALTAS'!G27</f>
        <v/>
      </c>
      <c r="E84" s="102" t="str">
        <f>'1,7 ALTAS'!J27</f>
        <v/>
      </c>
      <c r="F84" s="102" t="e">
        <f>'1,7 ALTAS'!M27</f>
        <v>#DIV/0!</v>
      </c>
      <c r="G84" s="102" t="e">
        <f>'1,7 ALTAS'!P27</f>
        <v>#DIV/0!</v>
      </c>
      <c r="H84" s="102" t="e">
        <f>'1,7 ALTAS'!S27</f>
        <v>#DIV/0!</v>
      </c>
      <c r="I84" s="102" t="e">
        <f>'1,7 ALTAS'!V27</f>
        <v>#DIV/0!</v>
      </c>
      <c r="J84" s="102" t="e">
        <f>'1,7 ALTAS'!Y27</f>
        <v>#DIV/0!</v>
      </c>
      <c r="K84" s="102" t="e">
        <f>'1,7 ALTAS'!AB27</f>
        <v>#DIV/0!</v>
      </c>
      <c r="L84" s="102" t="e">
        <f>'1,7 ALTAS'!AE27</f>
        <v>#DIV/0!</v>
      </c>
      <c r="M84" s="102" t="e">
        <f>'1,7 ALTAS'!AH27</f>
        <v>#DIV/0!</v>
      </c>
      <c r="N84" s="102" t="e">
        <f>'1,7 ALTAS'!AK27</f>
        <v>#DIV/0!</v>
      </c>
      <c r="O84" s="159" t="str">
        <f>'1,7 ALTAS'!AN27</f>
        <v/>
      </c>
      <c r="P84" s="1"/>
      <c r="Q84" s="1"/>
    </row>
    <row r="85" spans="1:17" x14ac:dyDescent="0.15">
      <c r="A85" s="2" t="s">
        <v>201</v>
      </c>
      <c r="B85" s="77" t="s">
        <v>113</v>
      </c>
      <c r="C85" s="159">
        <f>'1,7 ALTAS'!$D28</f>
        <v>5.7142857142857141E-2</v>
      </c>
      <c r="D85" s="159">
        <f>'1,7 ALTAS'!G28</f>
        <v>6.0606060606060608E-2</v>
      </c>
      <c r="E85" s="102">
        <f>'1,7 ALTAS'!J28</f>
        <v>2.4193548387096774E-2</v>
      </c>
      <c r="F85" s="102">
        <f>'1,7 ALTAS'!M28</f>
        <v>1.9417475728155338E-2</v>
      </c>
      <c r="G85" s="102">
        <f>'1,7 ALTAS'!P28</f>
        <v>0.25925925925925924</v>
      </c>
      <c r="H85" s="102">
        <f>'1,7 ALTAS'!S28</f>
        <v>0.20353982300884957</v>
      </c>
      <c r="I85" s="102">
        <f>'1,7 ALTAS'!V28</f>
        <v>0.31818181818181818</v>
      </c>
      <c r="J85" s="102">
        <f>'1,7 ALTAS'!Y28</f>
        <v>0.328125</v>
      </c>
      <c r="K85" s="102">
        <f>'1,7 ALTAS'!AB28</f>
        <v>0.16806722689075632</v>
      </c>
      <c r="L85" s="102">
        <f>'1,7 ALTAS'!AE28</f>
        <v>0.46017699115044247</v>
      </c>
      <c r="M85" s="102">
        <f>'1,7 ALTAS'!AH28</f>
        <v>0.27956989247311825</v>
      </c>
      <c r="N85" s="102" t="e">
        <f>'1,7 ALTAS'!AK28</f>
        <v>#DIV/0!</v>
      </c>
      <c r="O85" s="159">
        <f>'1,7 ALTAS'!AN28</f>
        <v>0.10662358642972536</v>
      </c>
      <c r="P85" s="1"/>
      <c r="Q85" s="1"/>
    </row>
    <row r="86" spans="1:17" x14ac:dyDescent="0.15">
      <c r="A86" s="2" t="s">
        <v>201</v>
      </c>
      <c r="B86" s="77" t="s">
        <v>114</v>
      </c>
      <c r="C86" s="159">
        <f>'1,7 ALTAS'!$D29</f>
        <v>6.9230769230769235E-2</v>
      </c>
      <c r="D86" s="159">
        <f>'1,7 ALTAS'!G29</f>
        <v>8.9473684210526316E-2</v>
      </c>
      <c r="E86" s="102">
        <f>'1,7 ALTAS'!J29</f>
        <v>6.2068965517241378E-2</v>
      </c>
      <c r="F86" s="102">
        <f>'1,7 ALTAS'!M29</f>
        <v>0.12184873949579832</v>
      </c>
      <c r="G86" s="102">
        <f>'1,7 ALTAS'!P29</f>
        <v>0.32508833922261482</v>
      </c>
      <c r="H86" s="102">
        <f>'1,7 ALTAS'!S29</f>
        <v>0.25142857142857145</v>
      </c>
      <c r="I86" s="102">
        <f>'1,7 ALTAS'!V29</f>
        <v>0.2161520190023753</v>
      </c>
      <c r="J86" s="102">
        <f>'1,7 ALTAS'!Y29</f>
        <v>0.17754569190600522</v>
      </c>
      <c r="K86" s="102">
        <f>'1,7 ALTAS'!AB29</f>
        <v>0.18875502008032127</v>
      </c>
      <c r="L86" s="102">
        <f>'1,7 ALTAS'!AE29</f>
        <v>0.25647668393782386</v>
      </c>
      <c r="M86" s="102">
        <f>'1,7 ALTAS'!AH29</f>
        <v>0.17699115044247787</v>
      </c>
      <c r="N86" s="102" t="e">
        <f>'1,7 ALTAS'!AK29</f>
        <v>#DIV/0!</v>
      </c>
      <c r="O86" s="159">
        <f>'1,7 ALTAS'!AN29</f>
        <v>0.17257844474761255</v>
      </c>
      <c r="P86" s="1"/>
      <c r="Q86" s="1"/>
    </row>
    <row r="87" spans="1:17" x14ac:dyDescent="0.15">
      <c r="A87" s="2" t="s">
        <v>201</v>
      </c>
      <c r="B87" s="77" t="s">
        <v>115</v>
      </c>
      <c r="C87" s="159" t="str">
        <f>'1,7 ALTAS'!$D30</f>
        <v/>
      </c>
      <c r="D87" s="159" t="str">
        <f>'1,7 ALTAS'!G30</f>
        <v/>
      </c>
      <c r="E87" s="102" t="str">
        <f>'1,7 ALTAS'!J30</f>
        <v/>
      </c>
      <c r="F87" s="102" t="e">
        <f>'1,7 ALTAS'!M30</f>
        <v>#DIV/0!</v>
      </c>
      <c r="G87" s="102" t="e">
        <f>'1,7 ALTAS'!P30</f>
        <v>#DIV/0!</v>
      </c>
      <c r="H87" s="102" t="e">
        <f>'1,7 ALTAS'!S30</f>
        <v>#DIV/0!</v>
      </c>
      <c r="I87" s="102" t="e">
        <f>'1,7 ALTAS'!V30</f>
        <v>#DIV/0!</v>
      </c>
      <c r="J87" s="102" t="e">
        <f>'1,7 ALTAS'!Y30</f>
        <v>#DIV/0!</v>
      </c>
      <c r="K87" s="102" t="e">
        <f>'1,7 ALTAS'!AB30</f>
        <v>#DIV/0!</v>
      </c>
      <c r="L87" s="102" t="e">
        <f>'1,7 ALTAS'!AE30</f>
        <v>#DIV/0!</v>
      </c>
      <c r="M87" s="102" t="e">
        <f>'1,7 ALTAS'!AH30</f>
        <v>#DIV/0!</v>
      </c>
      <c r="N87" s="102" t="e">
        <f>'1,7 ALTAS'!AK30</f>
        <v>#DIV/0!</v>
      </c>
      <c r="O87" s="159" t="str">
        <f>'1,7 ALTAS'!AN30</f>
        <v/>
      </c>
      <c r="P87" s="1"/>
      <c r="Q87" s="1"/>
    </row>
    <row r="88" spans="1:17" x14ac:dyDescent="0.15">
      <c r="A88" s="2" t="s">
        <v>201</v>
      </c>
      <c r="B88" s="77" t="s">
        <v>116</v>
      </c>
      <c r="C88" s="159">
        <f>'1,7 ALTAS'!$D31</f>
        <v>6.6246056782334389E-2</v>
      </c>
      <c r="D88" s="159">
        <f>'1,7 ALTAS'!G31</f>
        <v>6.8062827225130892E-2</v>
      </c>
      <c r="E88" s="102">
        <f>'1,7 ALTAS'!J31</f>
        <v>0.12847222222222221</v>
      </c>
      <c r="F88" s="102">
        <f>'1,7 ALTAS'!M31</f>
        <v>4.40251572327044E-2</v>
      </c>
      <c r="G88" s="102">
        <f>'1,7 ALTAS'!P31</f>
        <v>0.2814814814814815</v>
      </c>
      <c r="H88" s="102">
        <f>'1,7 ALTAS'!S31</f>
        <v>0.38842975206611569</v>
      </c>
      <c r="I88" s="102">
        <f>'1,7 ALTAS'!V31</f>
        <v>0.43795620437956206</v>
      </c>
      <c r="J88" s="102">
        <f>'1,7 ALTAS'!Y31</f>
        <v>0.3125</v>
      </c>
      <c r="K88" s="102">
        <f>'1,7 ALTAS'!AB31</f>
        <v>0.35983263598326359</v>
      </c>
      <c r="L88" s="102">
        <f>'1,7 ALTAS'!AE31</f>
        <v>0.39423076923076922</v>
      </c>
      <c r="M88" s="102">
        <f>'1,7 ALTAS'!AH31</f>
        <v>0.38007380073800739</v>
      </c>
      <c r="N88" s="102" t="e">
        <f>'1,7 ALTAS'!AK31</f>
        <v>#DIV/0!</v>
      </c>
      <c r="O88" s="159">
        <f>'1,7 ALTAS'!AN31</f>
        <v>0.15682656826568267</v>
      </c>
      <c r="P88" s="1"/>
      <c r="Q88" s="1"/>
    </row>
    <row r="89" spans="1:17" x14ac:dyDescent="0.15">
      <c r="A89" s="2" t="s">
        <v>201</v>
      </c>
      <c r="B89" s="77" t="s">
        <v>117</v>
      </c>
      <c r="C89" s="159">
        <f>'1,7 ALTAS'!$D32</f>
        <v>3.1468531468531472E-2</v>
      </c>
      <c r="D89" s="159">
        <f>'1,7 ALTAS'!G32</f>
        <v>3.0612244897959183E-2</v>
      </c>
      <c r="E89" s="102">
        <f>'1,7 ALTAS'!J32</f>
        <v>2.2684310018903593E-2</v>
      </c>
      <c r="F89" s="102">
        <f>'1,7 ALTAS'!M32</f>
        <v>1.9762845849802372E-2</v>
      </c>
      <c r="G89" s="102">
        <f>'1,7 ALTAS'!P32</f>
        <v>0.20744680851063829</v>
      </c>
      <c r="H89" s="102">
        <f>'1,7 ALTAS'!S32</f>
        <v>0.26495726495726496</v>
      </c>
      <c r="I89" s="102">
        <f>'1,7 ALTAS'!V32</f>
        <v>0.3146067415730337</v>
      </c>
      <c r="J89" s="102">
        <f>'1,7 ALTAS'!Y32</f>
        <v>0.29342723004694837</v>
      </c>
      <c r="K89" s="102">
        <f>'1,7 ALTAS'!AB32</f>
        <v>0.3236842105263158</v>
      </c>
      <c r="L89" s="102">
        <f>'1,7 ALTAS'!AE32</f>
        <v>0.36321839080459772</v>
      </c>
      <c r="M89" s="102">
        <f>'1,7 ALTAS'!AH32</f>
        <v>0.36772486772486773</v>
      </c>
      <c r="N89" s="102" t="e">
        <f>'1,7 ALTAS'!AK32</f>
        <v>#DIV/0!</v>
      </c>
      <c r="O89" s="159">
        <f>'1,7 ALTAS'!AN32</f>
        <v>9.2691622103386814E-2</v>
      </c>
      <c r="P89" s="1"/>
      <c r="Q89" s="1"/>
    </row>
    <row r="90" spans="1:17" x14ac:dyDescent="0.15">
      <c r="A90" s="2" t="s">
        <v>201</v>
      </c>
      <c r="B90" s="80" t="s">
        <v>118</v>
      </c>
      <c r="C90" s="159">
        <f>'1,7 ALTAS'!$D33</f>
        <v>0.33333333333333331</v>
      </c>
      <c r="D90" s="159">
        <f>'1,7 ALTAS'!G33</f>
        <v>0.26923076923076922</v>
      </c>
      <c r="E90" s="102">
        <f>'1,7 ALTAS'!J33</f>
        <v>0.27731092436974791</v>
      </c>
      <c r="F90" s="102">
        <f>'1,7 ALTAS'!M33</f>
        <v>0.32367149758454106</v>
      </c>
      <c r="G90" s="102">
        <f>'1,7 ALTAS'!P33</f>
        <v>0.11864406779661017</v>
      </c>
      <c r="H90" s="102">
        <f>'1,7 ALTAS'!S33</f>
        <v>0.25899280575539568</v>
      </c>
      <c r="I90" s="102">
        <f>'1,7 ALTAS'!V33</f>
        <v>0.17293233082706766</v>
      </c>
      <c r="J90" s="102">
        <f>'1,7 ALTAS'!Y33</f>
        <v>0.10317460317460317</v>
      </c>
      <c r="K90" s="102">
        <f>'1,7 ALTAS'!AB33</f>
        <v>0.21008403361344538</v>
      </c>
      <c r="L90" s="102">
        <f>'1,7 ALTAS'!AE33</f>
        <v>0.12650602409638553</v>
      </c>
      <c r="M90" s="102">
        <f>'1,7 ALTAS'!AH33</f>
        <v>0.15966386554621848</v>
      </c>
      <c r="N90" s="102" t="e">
        <f>'1,7 ALTAS'!AK33</f>
        <v>#DIV/0!</v>
      </c>
      <c r="O90" s="159">
        <f>'1,7 ALTAS'!AN33</f>
        <v>0.27144535840188017</v>
      </c>
      <c r="P90" s="1"/>
      <c r="Q90" s="1"/>
    </row>
    <row r="91" spans="1:17" x14ac:dyDescent="0.15">
      <c r="A91" s="2" t="s">
        <v>201</v>
      </c>
      <c r="B91" s="77" t="s">
        <v>119</v>
      </c>
      <c r="C91" s="159">
        <f>'1,7 ALTAS'!$D34</f>
        <v>0.24745762711864408</v>
      </c>
      <c r="D91" s="159">
        <f>'1,7 ALTAS'!G34</f>
        <v>0.35193133047210301</v>
      </c>
      <c r="E91" s="102">
        <f>'1,7 ALTAS'!J34</f>
        <v>0.23940149625935161</v>
      </c>
      <c r="F91" s="102">
        <f>'1,7 ALTAS'!M34</f>
        <v>0.19018404907975461</v>
      </c>
      <c r="G91" s="102">
        <f>'1,7 ALTAS'!P34</f>
        <v>9.6463022508038579E-2</v>
      </c>
      <c r="H91" s="102">
        <f>'1,7 ALTAS'!S34</f>
        <v>9.7014925373134331E-2</v>
      </c>
      <c r="I91" s="102">
        <f>'1,7 ALTAS'!V34</f>
        <v>9.141274238227147E-2</v>
      </c>
      <c r="J91" s="102">
        <f>'1,7 ALTAS'!Y34</f>
        <v>0.24230769230769231</v>
      </c>
      <c r="K91" s="102">
        <f>'1,7 ALTAS'!AB34</f>
        <v>0.19285714285714287</v>
      </c>
      <c r="L91" s="102">
        <f>'1,7 ALTAS'!AE34</f>
        <v>0.17872340425531916</v>
      </c>
      <c r="M91" s="102">
        <f>'1,7 ALTAS'!AH34</f>
        <v>5.4545454545454543E-2</v>
      </c>
      <c r="N91" s="102" t="e">
        <f>'1,7 ALTAS'!AK34</f>
        <v>#DIV/0!</v>
      </c>
      <c r="O91" s="159">
        <f>'1,7 ALTAS'!AN34</f>
        <v>0.20119956379498363</v>
      </c>
      <c r="P91" s="1"/>
      <c r="Q91" s="1"/>
    </row>
    <row r="92" spans="1:17" x14ac:dyDescent="0.15">
      <c r="A92" s="2" t="s">
        <v>201</v>
      </c>
      <c r="B92" s="81" t="s">
        <v>120</v>
      </c>
      <c r="C92" s="159" t="str">
        <f>'1,7 ALTAS'!$D35</f>
        <v/>
      </c>
      <c r="D92" s="159">
        <f>'1,7 ALTAS'!G35</f>
        <v>0.15</v>
      </c>
      <c r="E92" s="102">
        <f>'1,7 ALTAS'!J35</f>
        <v>0.13333333333333333</v>
      </c>
      <c r="F92" s="102">
        <f>'1,7 ALTAS'!M35</f>
        <v>0.27272727272727271</v>
      </c>
      <c r="G92" s="102">
        <f>'1,7 ALTAS'!P35</f>
        <v>0.22222222222222221</v>
      </c>
      <c r="H92" s="102">
        <f>'1,7 ALTAS'!S35</f>
        <v>0</v>
      </c>
      <c r="I92" s="102">
        <f>'1,7 ALTAS'!V35</f>
        <v>3.0303030303030304E-2</v>
      </c>
      <c r="J92" s="102">
        <f>'1,7 ALTAS'!Y35</f>
        <v>0.10714285714285714</v>
      </c>
      <c r="K92" s="102">
        <f>'1,7 ALTAS'!AB35</f>
        <v>6.6666666666666666E-2</v>
      </c>
      <c r="L92" s="102">
        <f>'1,7 ALTAS'!AE35</f>
        <v>0</v>
      </c>
      <c r="M92" s="102">
        <f>'1,7 ALTAS'!AH35</f>
        <v>0.17647058823529413</v>
      </c>
      <c r="N92" s="102" t="e">
        <f>'1,7 ALTAS'!AK35</f>
        <v>#DIV/0!</v>
      </c>
      <c r="O92" s="159">
        <f>'1,7 ALTAS'!AN35</f>
        <v>0.12878787878787878</v>
      </c>
      <c r="P92" s="1"/>
      <c r="Q92" s="1"/>
    </row>
    <row r="93" spans="1:17" x14ac:dyDescent="0.15">
      <c r="A93" s="2" t="s">
        <v>201</v>
      </c>
      <c r="B93" s="82" t="s">
        <v>121</v>
      </c>
      <c r="C93" s="159" t="str">
        <f>'1,7 ALTAS'!$D36</f>
        <v/>
      </c>
      <c r="D93" s="159" t="str">
        <f>'1,7 ALTAS'!G36</f>
        <v/>
      </c>
      <c r="E93" s="102" t="str">
        <f>'1,7 ALTAS'!J36</f>
        <v/>
      </c>
      <c r="F93" s="102" t="e">
        <f>'1,7 ALTAS'!M36</f>
        <v>#DIV/0!</v>
      </c>
      <c r="G93" s="102" t="e">
        <f>'1,7 ALTAS'!P36</f>
        <v>#DIV/0!</v>
      </c>
      <c r="H93" s="102" t="e">
        <f>'1,7 ALTAS'!S36</f>
        <v>#DIV/0!</v>
      </c>
      <c r="I93" s="102" t="e">
        <f>'1,7 ALTAS'!V36</f>
        <v>#DIV/0!</v>
      </c>
      <c r="J93" s="102" t="e">
        <f>'1,7 ALTAS'!Y36</f>
        <v>#DIV/0!</v>
      </c>
      <c r="K93" s="102" t="e">
        <f>'1,7 ALTAS'!AB36</f>
        <v>#DIV/0!</v>
      </c>
      <c r="L93" s="102" t="e">
        <f>'1,7 ALTAS'!AE36</f>
        <v>#DIV/0!</v>
      </c>
      <c r="M93" s="102" t="e">
        <f>'1,7 ALTAS'!AH36</f>
        <v>#DIV/0!</v>
      </c>
      <c r="N93" s="102" t="e">
        <f>'1,7 ALTAS'!AK36</f>
        <v>#DIV/0!</v>
      </c>
      <c r="O93" s="159" t="str">
        <f>'1,7 ALTAS'!AN36</f>
        <v/>
      </c>
      <c r="P93" s="1"/>
      <c r="Q93" s="1"/>
    </row>
    <row r="94" spans="1:17" x14ac:dyDescent="0.15">
      <c r="A94" s="2" t="s">
        <v>201</v>
      </c>
      <c r="B94" s="77" t="s">
        <v>122</v>
      </c>
      <c r="C94" s="159" t="str">
        <f>'1,7 ALTAS'!$D37</f>
        <v/>
      </c>
      <c r="D94" s="159" t="str">
        <f>'1,7 ALTAS'!G37</f>
        <v/>
      </c>
      <c r="E94" s="102" t="str">
        <f>'1,7 ALTAS'!J37</f>
        <v/>
      </c>
      <c r="F94" s="102" t="e">
        <f>'1,7 ALTAS'!M37</f>
        <v>#DIV/0!</v>
      </c>
      <c r="G94" s="102" t="e">
        <f>'1,7 ALTAS'!P37</f>
        <v>#DIV/0!</v>
      </c>
      <c r="H94" s="102" t="e">
        <f>'1,7 ALTAS'!S37</f>
        <v>#DIV/0!</v>
      </c>
      <c r="I94" s="102" t="e">
        <f>'1,7 ALTAS'!V37</f>
        <v>#DIV/0!</v>
      </c>
      <c r="J94" s="102" t="e">
        <f>'1,7 ALTAS'!Y37</f>
        <v>#DIV/0!</v>
      </c>
      <c r="K94" s="102" t="e">
        <f>'1,7 ALTAS'!AB37</f>
        <v>#DIV/0!</v>
      </c>
      <c r="L94" s="102" t="e">
        <f>'1,7 ALTAS'!AE37</f>
        <v>#DIV/0!</v>
      </c>
      <c r="M94" s="102" t="e">
        <f>'1,7 ALTAS'!AH37</f>
        <v>#DIV/0!</v>
      </c>
      <c r="N94" s="102" t="e">
        <f>'1,7 ALTAS'!AK37</f>
        <v>#DIV/0!</v>
      </c>
      <c r="O94" s="159" t="str">
        <f>'1,7 ALTAS'!AN37</f>
        <v/>
      </c>
      <c r="P94" s="1"/>
      <c r="Q94" s="1"/>
    </row>
    <row r="95" spans="1:17" x14ac:dyDescent="0.15">
      <c r="A95" s="2" t="s">
        <v>201</v>
      </c>
      <c r="B95" s="77" t="s">
        <v>123</v>
      </c>
      <c r="C95" s="159" t="str">
        <f>'1,7 ALTAS'!$D38</f>
        <v/>
      </c>
      <c r="D95" s="159" t="str">
        <f>'1,7 ALTAS'!G38</f>
        <v/>
      </c>
      <c r="E95" s="102" t="str">
        <f>'1,7 ALTAS'!J38</f>
        <v/>
      </c>
      <c r="F95" s="102" t="e">
        <f>'1,7 ALTAS'!M38</f>
        <v>#DIV/0!</v>
      </c>
      <c r="G95" s="102" t="e">
        <f>'1,7 ALTAS'!P38</f>
        <v>#DIV/0!</v>
      </c>
      <c r="H95" s="102" t="e">
        <f>'1,7 ALTAS'!S38</f>
        <v>#DIV/0!</v>
      </c>
      <c r="I95" s="102" t="e">
        <f>'1,7 ALTAS'!V38</f>
        <v>#DIV/0!</v>
      </c>
      <c r="J95" s="102" t="e">
        <f>'1,7 ALTAS'!Y38</f>
        <v>#DIV/0!</v>
      </c>
      <c r="K95" s="102" t="e">
        <f>'1,7 ALTAS'!AB38</f>
        <v>#DIV/0!</v>
      </c>
      <c r="L95" s="102" t="e">
        <f>'1,7 ALTAS'!AE38</f>
        <v>#DIV/0!</v>
      </c>
      <c r="M95" s="102" t="e">
        <f>'1,7 ALTAS'!AH38</f>
        <v>#DIV/0!</v>
      </c>
      <c r="N95" s="102" t="e">
        <f>'1,7 ALTAS'!AK38</f>
        <v>#DIV/0!</v>
      </c>
      <c r="O95" s="159" t="str">
        <f>'1,7 ALTAS'!AN38</f>
        <v/>
      </c>
      <c r="P95" s="1"/>
      <c r="Q95" s="1"/>
    </row>
    <row r="96" spans="1:17" x14ac:dyDescent="0.15">
      <c r="A96" s="2" t="s">
        <v>201</v>
      </c>
      <c r="B96" s="77" t="s">
        <v>124</v>
      </c>
      <c r="C96" s="159">
        <f>'1,7 ALTAS'!$D39</f>
        <v>7.1428571428571425E-2</v>
      </c>
      <c r="D96" s="159">
        <f>'1,7 ALTAS'!G39</f>
        <v>0</v>
      </c>
      <c r="E96" s="102">
        <f>'1,7 ALTAS'!J39</f>
        <v>2.2727272727272728E-2</v>
      </c>
      <c r="F96" s="102">
        <f>'1,7 ALTAS'!M39</f>
        <v>0</v>
      </c>
      <c r="G96" s="102">
        <f>'1,7 ALTAS'!P39</f>
        <v>0</v>
      </c>
      <c r="H96" s="102">
        <f>'1,7 ALTAS'!S39</f>
        <v>0</v>
      </c>
      <c r="I96" s="102">
        <f>'1,7 ALTAS'!V39</f>
        <v>3.0303030303030304E-2</v>
      </c>
      <c r="J96" s="102">
        <f>'1,7 ALTAS'!Y39</f>
        <v>1.4705882352941176E-2</v>
      </c>
      <c r="K96" s="102">
        <f>'1,7 ALTAS'!AB39</f>
        <v>0</v>
      </c>
      <c r="L96" s="102">
        <f>'1,7 ALTAS'!AE39</f>
        <v>0</v>
      </c>
      <c r="M96" s="102">
        <f>'1,7 ALTAS'!AH39</f>
        <v>0</v>
      </c>
      <c r="N96" s="102" t="e">
        <f>'1,7 ALTAS'!AK39</f>
        <v>#DIV/0!</v>
      </c>
      <c r="O96" s="159">
        <f>'1,7 ALTAS'!AN39</f>
        <v>1.4999999999999999E-2</v>
      </c>
      <c r="P96" s="1"/>
      <c r="Q96" s="1"/>
    </row>
    <row r="97" spans="1:17" x14ac:dyDescent="0.15">
      <c r="A97" s="2" t="s">
        <v>201</v>
      </c>
      <c r="B97" s="77" t="s">
        <v>125</v>
      </c>
      <c r="C97" s="159" t="str">
        <f>'1,7 ALTAS'!$D40</f>
        <v/>
      </c>
      <c r="D97" s="159" t="str">
        <f>'1,7 ALTAS'!G40</f>
        <v/>
      </c>
      <c r="E97" s="102" t="str">
        <f>'1,7 ALTAS'!J40</f>
        <v/>
      </c>
      <c r="F97" s="102" t="e">
        <f>'1,7 ALTAS'!M40</f>
        <v>#DIV/0!</v>
      </c>
      <c r="G97" s="102" t="e">
        <f>'1,7 ALTAS'!P40</f>
        <v>#DIV/0!</v>
      </c>
      <c r="H97" s="102" t="e">
        <f>'1,7 ALTAS'!S40</f>
        <v>#DIV/0!</v>
      </c>
      <c r="I97" s="102" t="e">
        <f>'1,7 ALTAS'!V40</f>
        <v>#DIV/0!</v>
      </c>
      <c r="J97" s="102" t="e">
        <f>'1,7 ALTAS'!Y40</f>
        <v>#DIV/0!</v>
      </c>
      <c r="K97" s="102" t="e">
        <f>'1,7 ALTAS'!AB40</f>
        <v>#DIV/0!</v>
      </c>
      <c r="L97" s="102" t="e">
        <f>'1,7 ALTAS'!AE40</f>
        <v>#DIV/0!</v>
      </c>
      <c r="M97" s="102" t="e">
        <f>'1,7 ALTAS'!AH40</f>
        <v>#DIV/0!</v>
      </c>
      <c r="N97" s="102" t="e">
        <f>'1,7 ALTAS'!AK40</f>
        <v>#DIV/0!</v>
      </c>
      <c r="O97" s="159" t="str">
        <f>'1,7 ALTAS'!AN40</f>
        <v/>
      </c>
      <c r="P97" s="1"/>
      <c r="Q97" s="1"/>
    </row>
    <row r="98" spans="1:17" x14ac:dyDescent="0.15">
      <c r="A98" s="2" t="s">
        <v>201</v>
      </c>
      <c r="B98" s="77" t="s">
        <v>126</v>
      </c>
      <c r="C98" s="159" t="str">
        <f>'1,7 ALTAS'!$D41</f>
        <v/>
      </c>
      <c r="D98" s="159" t="str">
        <f>'1,7 ALTAS'!G41</f>
        <v/>
      </c>
      <c r="E98" s="102" t="str">
        <f>'1,7 ALTAS'!J41</f>
        <v/>
      </c>
      <c r="F98" s="102" t="e">
        <f>'1,7 ALTAS'!M41</f>
        <v>#DIV/0!</v>
      </c>
      <c r="G98" s="102" t="e">
        <f>'1,7 ALTAS'!P41</f>
        <v>#DIV/0!</v>
      </c>
      <c r="H98" s="102" t="e">
        <f>'1,7 ALTAS'!S41</f>
        <v>#DIV/0!</v>
      </c>
      <c r="I98" s="102" t="e">
        <f>'1,7 ALTAS'!V41</f>
        <v>#DIV/0!</v>
      </c>
      <c r="J98" s="102" t="e">
        <f>'1,7 ALTAS'!Y41</f>
        <v>#DIV/0!</v>
      </c>
      <c r="K98" s="102" t="e">
        <f>'1,7 ALTAS'!AB41</f>
        <v>#DIV/0!</v>
      </c>
      <c r="L98" s="102" t="e">
        <f>'1,7 ALTAS'!AE41</f>
        <v>#DIV/0!</v>
      </c>
      <c r="M98" s="102" t="e">
        <f>'1,7 ALTAS'!AH41</f>
        <v>#DIV/0!</v>
      </c>
      <c r="N98" s="102" t="e">
        <f>'1,7 ALTAS'!AK41</f>
        <v>#DIV/0!</v>
      </c>
      <c r="O98" s="159" t="str">
        <f>'1,7 ALTAS'!AN41</f>
        <v/>
      </c>
      <c r="P98" s="1"/>
      <c r="Q98" s="1"/>
    </row>
    <row r="99" spans="1:17" x14ac:dyDescent="0.15">
      <c r="A99" s="2" t="s">
        <v>201</v>
      </c>
      <c r="B99" s="77" t="s">
        <v>127</v>
      </c>
      <c r="C99" s="159" t="str">
        <f>'1,7 ALTAS'!$D42</f>
        <v/>
      </c>
      <c r="D99" s="159" t="str">
        <f>'1,7 ALTAS'!G42</f>
        <v/>
      </c>
      <c r="E99" s="102" t="str">
        <f>'1,7 ALTAS'!J42</f>
        <v/>
      </c>
      <c r="F99" s="102" t="e">
        <f>'1,7 ALTAS'!M42</f>
        <v>#DIV/0!</v>
      </c>
      <c r="G99" s="102" t="e">
        <f>'1,7 ALTAS'!P42</f>
        <v>#DIV/0!</v>
      </c>
      <c r="H99" s="102" t="e">
        <f>'1,7 ALTAS'!S42</f>
        <v>#DIV/0!</v>
      </c>
      <c r="I99" s="102" t="e">
        <f>'1,7 ALTAS'!V42</f>
        <v>#DIV/0!</v>
      </c>
      <c r="J99" s="102" t="e">
        <f>'1,7 ALTAS'!Y42</f>
        <v>#DIV/0!</v>
      </c>
      <c r="K99" s="102" t="e">
        <f>'1,7 ALTAS'!AB42</f>
        <v>#DIV/0!</v>
      </c>
      <c r="L99" s="102" t="e">
        <f>'1,7 ALTAS'!AE42</f>
        <v>#DIV/0!</v>
      </c>
      <c r="M99" s="102" t="e">
        <f>'1,7 ALTAS'!AH42</f>
        <v>#DIV/0!</v>
      </c>
      <c r="N99" s="102" t="e">
        <f>'1,7 ALTAS'!AK42</f>
        <v>#DIV/0!</v>
      </c>
      <c r="O99" s="159" t="str">
        <f>'1,7 ALTAS'!AN42</f>
        <v/>
      </c>
      <c r="P99" s="1"/>
      <c r="Q99" s="1"/>
    </row>
    <row r="100" spans="1:17" x14ac:dyDescent="0.15">
      <c r="A100" s="2" t="s">
        <v>201</v>
      </c>
      <c r="B100" s="77" t="s">
        <v>128</v>
      </c>
      <c r="C100" s="159" t="str">
        <f>'1,7 ALTAS'!$D43</f>
        <v/>
      </c>
      <c r="D100" s="159" t="str">
        <f>'1,7 ALTAS'!G43</f>
        <v/>
      </c>
      <c r="E100" s="102" t="str">
        <f>'1,7 ALTAS'!J43</f>
        <v/>
      </c>
      <c r="F100" s="102" t="e">
        <f>'1,7 ALTAS'!M43</f>
        <v>#DIV/0!</v>
      </c>
      <c r="G100" s="102" t="e">
        <f>'1,7 ALTAS'!P43</f>
        <v>#DIV/0!</v>
      </c>
      <c r="H100" s="102" t="e">
        <f>'1,7 ALTAS'!S43</f>
        <v>#DIV/0!</v>
      </c>
      <c r="I100" s="102" t="e">
        <f>'1,7 ALTAS'!V43</f>
        <v>#DIV/0!</v>
      </c>
      <c r="J100" s="102" t="e">
        <f>'1,7 ALTAS'!Y43</f>
        <v>#DIV/0!</v>
      </c>
      <c r="K100" s="102" t="e">
        <f>'1,7 ALTAS'!AB43</f>
        <v>#DIV/0!</v>
      </c>
      <c r="L100" s="102" t="e">
        <f>'1,7 ALTAS'!AE43</f>
        <v>#DIV/0!</v>
      </c>
      <c r="M100" s="102" t="e">
        <f>'1,7 ALTAS'!AH43</f>
        <v>#DIV/0!</v>
      </c>
      <c r="N100" s="102" t="e">
        <f>'1,7 ALTAS'!AK43</f>
        <v>#DIV/0!</v>
      </c>
      <c r="O100" s="159" t="str">
        <f>'1,7 ALTAS'!AN43</f>
        <v/>
      </c>
      <c r="P100" s="1"/>
      <c r="Q100" s="1"/>
    </row>
    <row r="101" spans="1:17" x14ac:dyDescent="0.15">
      <c r="A101" s="2" t="s">
        <v>201</v>
      </c>
      <c r="B101" s="76" t="s">
        <v>129</v>
      </c>
      <c r="C101" s="159">
        <f>'1,7 ALTAS'!$D44</f>
        <v>0.84693877551020413</v>
      </c>
      <c r="D101" s="159">
        <f>'1,7 ALTAS'!G44</f>
        <v>0.91666666666666663</v>
      </c>
      <c r="E101" s="102">
        <f>'1,7 ALTAS'!J44</f>
        <v>0.79746835443037978</v>
      </c>
      <c r="F101" s="102">
        <f>'1,7 ALTAS'!M44</f>
        <v>0.84782608695652173</v>
      </c>
      <c r="G101" s="102">
        <f>'1,7 ALTAS'!P44</f>
        <v>0.70454545454545459</v>
      </c>
      <c r="H101" s="102">
        <f>'1,7 ALTAS'!S44</f>
        <v>0</v>
      </c>
      <c r="I101" s="102">
        <f>'1,7 ALTAS'!V44</f>
        <v>2.4390243902439025E-2</v>
      </c>
      <c r="J101" s="102">
        <f>'1,7 ALTAS'!Y44</f>
        <v>1.8518518518518517E-2</v>
      </c>
      <c r="K101" s="102">
        <f>'1,7 ALTAS'!AB44</f>
        <v>3.4188034188034191E-2</v>
      </c>
      <c r="L101" s="102">
        <f>'1,7 ALTAS'!AE44</f>
        <v>1.3888888888888888E-2</v>
      </c>
      <c r="M101" s="102">
        <f>'1,7 ALTAS'!AH44</f>
        <v>0</v>
      </c>
      <c r="N101" s="102" t="e">
        <f>'1,7 ALTAS'!AK44</f>
        <v>#DIV/0!</v>
      </c>
      <c r="O101" s="159">
        <f>'1,7 ALTAS'!AN44</f>
        <v>0.77260273972602744</v>
      </c>
      <c r="P101" s="1"/>
      <c r="Q101" s="1"/>
    </row>
    <row r="102" spans="1:17" x14ac:dyDescent="0.15">
      <c r="A102" s="2" t="s">
        <v>201</v>
      </c>
      <c r="B102" s="82" t="s">
        <v>130</v>
      </c>
      <c r="C102" s="159">
        <f>'1,7 ALTAS'!$D45</f>
        <v>0.10914454277286136</v>
      </c>
      <c r="D102" s="159">
        <f>'1,7 ALTAS'!G45</f>
        <v>0.14173228346456693</v>
      </c>
      <c r="E102" s="102">
        <f>'1,7 ALTAS'!J45</f>
        <v>0.10206896551724139</v>
      </c>
      <c r="F102" s="102">
        <f>'1,7 ALTAS'!M45</f>
        <v>0.11755485893416928</v>
      </c>
      <c r="G102" s="102">
        <f>'1,7 ALTAS'!P45</f>
        <v>6.231003039513678E-2</v>
      </c>
      <c r="H102" s="102">
        <f>'1,7 ALTAS'!S45</f>
        <v>6.4371257485029934E-2</v>
      </c>
      <c r="I102" s="102">
        <f>'1,7 ALTAS'!V45</f>
        <v>8.0441640378548895E-2</v>
      </c>
      <c r="J102" s="102">
        <f>'1,7 ALTAS'!Y45</f>
        <v>8.5039370078740156E-2</v>
      </c>
      <c r="K102" s="102">
        <f>'1,7 ALTAS'!AB45</f>
        <v>7.4367088607594931E-2</v>
      </c>
      <c r="L102" s="102">
        <f>'1,7 ALTAS'!AE45</f>
        <v>6.907378335949764E-2</v>
      </c>
      <c r="M102" s="102">
        <f>'1,7 ALTAS'!AH45</f>
        <v>0.10120845921450151</v>
      </c>
      <c r="N102" s="102" t="e">
        <f>'1,7 ALTAS'!AK45</f>
        <v>#DIV/0!</v>
      </c>
      <c r="O102" s="159">
        <f>'1,7 ALTAS'!AN45</f>
        <v>9.7806451612903231E-2</v>
      </c>
      <c r="P102" s="1"/>
      <c r="Q102" s="1"/>
    </row>
    <row r="103" spans="1:17" x14ac:dyDescent="0.15">
      <c r="A103" s="2" t="s">
        <v>201</v>
      </c>
      <c r="B103" s="82" t="s">
        <v>131</v>
      </c>
      <c r="C103" s="159" t="str">
        <f>'1,7 ALTAS'!$D46</f>
        <v/>
      </c>
      <c r="D103" s="159" t="str">
        <f>'1,7 ALTAS'!G46</f>
        <v/>
      </c>
      <c r="E103" s="102" t="str">
        <f>'1,7 ALTAS'!J46</f>
        <v/>
      </c>
      <c r="F103" s="102" t="e">
        <f>'1,7 ALTAS'!M46</f>
        <v>#DIV/0!</v>
      </c>
      <c r="G103" s="102" t="e">
        <f>'1,7 ALTAS'!P46</f>
        <v>#DIV/0!</v>
      </c>
      <c r="H103" s="102" t="e">
        <f>'1,7 ALTAS'!S46</f>
        <v>#DIV/0!</v>
      </c>
      <c r="I103" s="102" t="e">
        <f>'1,7 ALTAS'!V46</f>
        <v>#DIV/0!</v>
      </c>
      <c r="J103" s="102" t="e">
        <f>'1,7 ALTAS'!Y46</f>
        <v>#DIV/0!</v>
      </c>
      <c r="K103" s="102" t="e">
        <f>'1,7 ALTAS'!AB46</f>
        <v>#DIV/0!</v>
      </c>
      <c r="L103" s="102" t="e">
        <f>'1,7 ALTAS'!AE46</f>
        <v>#DIV/0!</v>
      </c>
      <c r="M103" s="102" t="e">
        <f>'1,7 ALTAS'!AH46</f>
        <v>#DIV/0!</v>
      </c>
      <c r="N103" s="102" t="e">
        <f>'1,7 ALTAS'!AK46</f>
        <v>#DIV/0!</v>
      </c>
      <c r="O103" s="159" t="str">
        <f>'1,7 ALTAS'!AN46</f>
        <v/>
      </c>
      <c r="P103" s="1"/>
      <c r="Q103" s="1"/>
    </row>
    <row r="104" spans="1:17" x14ac:dyDescent="0.2">
      <c r="A104" s="2" t="s">
        <v>201</v>
      </c>
      <c r="B104" s="79" t="s">
        <v>132</v>
      </c>
      <c r="C104" s="159" t="str">
        <f>'1,7 ALTAS'!$D47</f>
        <v/>
      </c>
      <c r="D104" s="159" t="str">
        <f>'1,7 ALTAS'!G47</f>
        <v/>
      </c>
      <c r="E104" s="102" t="str">
        <f>'1,7 ALTAS'!J47</f>
        <v/>
      </c>
      <c r="F104" s="102" t="e">
        <f>'1,7 ALTAS'!M47</f>
        <v>#DIV/0!</v>
      </c>
      <c r="G104" s="102" t="e">
        <f>'1,7 ALTAS'!P47</f>
        <v>#DIV/0!</v>
      </c>
      <c r="H104" s="102" t="e">
        <f>'1,7 ALTAS'!S47</f>
        <v>#DIV/0!</v>
      </c>
      <c r="I104" s="102" t="e">
        <f>'1,7 ALTAS'!V47</f>
        <v>#DIV/0!</v>
      </c>
      <c r="J104" s="102" t="e">
        <f>'1,7 ALTAS'!Y47</f>
        <v>#DIV/0!</v>
      </c>
      <c r="K104" s="102" t="e">
        <f>'1,7 ALTAS'!AB47</f>
        <v>#DIV/0!</v>
      </c>
      <c r="L104" s="102" t="e">
        <f>'1,7 ALTAS'!AE47</f>
        <v>#DIV/0!</v>
      </c>
      <c r="M104" s="102" t="e">
        <f>'1,7 ALTAS'!AH47</f>
        <v>#DIV/0!</v>
      </c>
      <c r="N104" s="102" t="e">
        <f>'1,7 ALTAS'!AK47</f>
        <v>#DIV/0!</v>
      </c>
      <c r="O104" s="159" t="str">
        <f>'1,7 ALTAS'!AN47</f>
        <v/>
      </c>
      <c r="P104" s="1"/>
      <c r="Q104" s="1"/>
    </row>
    <row r="105" spans="1:17" x14ac:dyDescent="0.15">
      <c r="A105" s="2" t="s">
        <v>201</v>
      </c>
      <c r="B105" s="77" t="s">
        <v>133</v>
      </c>
      <c r="C105" s="159">
        <f>'1,7 ALTAS'!$D48</f>
        <v>0.32392473118279569</v>
      </c>
      <c r="D105" s="159">
        <f>'1,7 ALTAS'!G48</f>
        <v>0.3864353312302839</v>
      </c>
      <c r="E105" s="102">
        <f>'1,7 ALTAS'!J48</f>
        <v>0.34547908232118757</v>
      </c>
      <c r="F105" s="102">
        <f>'1,7 ALTAS'!M48</f>
        <v>0.14710252600297177</v>
      </c>
      <c r="G105" s="102">
        <f>'1,7 ALTAS'!P48</f>
        <v>7.9404466501240695E-2</v>
      </c>
      <c r="H105" s="102">
        <f>'1,7 ALTAS'!S48</f>
        <v>0.10915492957746478</v>
      </c>
      <c r="I105" s="102">
        <f>'1,7 ALTAS'!V48</f>
        <v>3.2085561497326207E-2</v>
      </c>
      <c r="J105" s="102">
        <f>'1,7 ALTAS'!Y48</f>
        <v>4.576271186440678E-2</v>
      </c>
      <c r="K105" s="102">
        <f>'1,7 ALTAS'!AB48</f>
        <v>2.3809523809523808E-2</v>
      </c>
      <c r="L105" s="102">
        <f>'1,7 ALTAS'!AE48</f>
        <v>7.8877005347593579E-2</v>
      </c>
      <c r="M105" s="102">
        <f>'1,7 ALTAS'!AH48</f>
        <v>4.4992743105950653E-2</v>
      </c>
      <c r="N105" s="102" t="e">
        <f>'1,7 ALTAS'!AK48</f>
        <v>#DIV/0!</v>
      </c>
      <c r="O105" s="159">
        <f>'1,7 ALTAS'!AN48</f>
        <v>0.24847196385862344</v>
      </c>
      <c r="P105" s="1"/>
      <c r="Q105" s="1"/>
    </row>
    <row r="106" spans="1:17" x14ac:dyDescent="0.15">
      <c r="A106" s="2" t="s">
        <v>201</v>
      </c>
      <c r="B106" s="77" t="s">
        <v>134</v>
      </c>
      <c r="C106" s="159">
        <f>'1,7 ALTAS'!$D49</f>
        <v>0.17045454545454544</v>
      </c>
      <c r="D106" s="159">
        <f>'1,7 ALTAS'!G49</f>
        <v>0.2421875</v>
      </c>
      <c r="E106" s="102">
        <f>'1,7 ALTAS'!J49</f>
        <v>0.23837209302325582</v>
      </c>
      <c r="F106" s="102">
        <f>'1,7 ALTAS'!M49</f>
        <v>0.26760563380281688</v>
      </c>
      <c r="G106" s="102">
        <f>'1,7 ALTAS'!P49</f>
        <v>8.0645161290322578E-3</v>
      </c>
      <c r="H106" s="102">
        <f>'1,7 ALTAS'!S49</f>
        <v>3.2000000000000001E-2</v>
      </c>
      <c r="I106" s="102">
        <f>'1,7 ALTAS'!V49</f>
        <v>6.0606060606060608E-2</v>
      </c>
      <c r="J106" s="102">
        <f>'1,7 ALTAS'!Y49</f>
        <v>5.4545454545454543E-2</v>
      </c>
      <c r="K106" s="102">
        <f>'1,7 ALTAS'!AB49</f>
        <v>1.5748031496062992E-2</v>
      </c>
      <c r="L106" s="102">
        <f>'1,7 ALTAS'!AE49</f>
        <v>1.5625E-2</v>
      </c>
      <c r="M106" s="102">
        <f>'1,7 ALTAS'!AH49</f>
        <v>1.7857142857142856E-2</v>
      </c>
      <c r="N106" s="102" t="e">
        <f>'1,7 ALTAS'!AK49</f>
        <v>#DIV/0!</v>
      </c>
      <c r="O106" s="159">
        <f>'1,7 ALTAS'!AN49</f>
        <v>0.1668806161745828</v>
      </c>
      <c r="P106" s="1"/>
      <c r="Q106" s="1"/>
    </row>
    <row r="107" spans="1:17" x14ac:dyDescent="0.15">
      <c r="A107" s="2" t="s">
        <v>201</v>
      </c>
      <c r="B107" s="77" t="s">
        <v>135</v>
      </c>
      <c r="C107" s="159">
        <f>'1,7 ALTAS'!$D50</f>
        <v>0.12231404958677686</v>
      </c>
      <c r="D107" s="159">
        <f>'1,7 ALTAS'!G50</f>
        <v>9.5419847328244281E-2</v>
      </c>
      <c r="E107" s="102">
        <f>'1,7 ALTAS'!J50</f>
        <v>0.12962962962962962</v>
      </c>
      <c r="F107" s="102">
        <f>'1,7 ALTAS'!M50</f>
        <v>0.15325077399380804</v>
      </c>
      <c r="G107" s="102">
        <f>'1,7 ALTAS'!P50</f>
        <v>6.4748201438848921E-2</v>
      </c>
      <c r="H107" s="102">
        <f>'1,7 ALTAS'!S50</f>
        <v>8.6580086580086577E-2</v>
      </c>
      <c r="I107" s="102">
        <f>'1,7 ALTAS'!V50</f>
        <v>7.9726651480637817E-2</v>
      </c>
      <c r="J107" s="102">
        <f>'1,7 ALTAS'!Y50</f>
        <v>6.6189624329159216E-2</v>
      </c>
      <c r="K107" s="102">
        <f>'1,7 ALTAS'!AB50</f>
        <v>6.6666666666666666E-2</v>
      </c>
      <c r="L107" s="102">
        <f>'1,7 ALTAS'!AE50</f>
        <v>9.5602294455066919E-2</v>
      </c>
      <c r="M107" s="102">
        <f>'1,7 ALTAS'!AH50</f>
        <v>0.13138686131386862</v>
      </c>
      <c r="N107" s="102" t="e">
        <f>'1,7 ALTAS'!AK50</f>
        <v>#DIV/0!</v>
      </c>
      <c r="O107" s="159">
        <f>'1,7 ALTAS'!AN50</f>
        <v>0.11158798283261803</v>
      </c>
      <c r="P107" s="1"/>
      <c r="Q107" s="1"/>
    </row>
    <row r="108" spans="1:17" x14ac:dyDescent="0.15">
      <c r="A108" s="2" t="s">
        <v>201</v>
      </c>
      <c r="B108" s="77" t="s">
        <v>136</v>
      </c>
      <c r="C108" s="159">
        <f>'1,7 ALTAS'!$D51</f>
        <v>3.1007751937984496E-2</v>
      </c>
      <c r="D108" s="159">
        <f>'1,7 ALTAS'!G51</f>
        <v>7.1428571428571425E-2</v>
      </c>
      <c r="E108" s="102">
        <f>'1,7 ALTAS'!J51</f>
        <v>2.5735294117647058E-2</v>
      </c>
      <c r="F108" s="102">
        <f>'1,7 ALTAS'!M51</f>
        <v>3.9156626506024098E-2</v>
      </c>
      <c r="G108" s="102">
        <f>'1,7 ALTAS'!P51</f>
        <v>0.21501706484641639</v>
      </c>
      <c r="H108" s="102">
        <f>'1,7 ALTAS'!S51</f>
        <v>0.13191489361702127</v>
      </c>
      <c r="I108" s="102">
        <f>'1,7 ALTAS'!V51</f>
        <v>0.21632653061224491</v>
      </c>
      <c r="J108" s="102">
        <f>'1,7 ALTAS'!Y51</f>
        <v>0.27627627627627627</v>
      </c>
      <c r="K108" s="102">
        <f>'1,7 ALTAS'!AB51</f>
        <v>0.22222222222222221</v>
      </c>
      <c r="L108" s="102">
        <f>'1,7 ALTAS'!AE51</f>
        <v>0.25423728813559321</v>
      </c>
      <c r="M108" s="102">
        <f>'1,7 ALTAS'!AH51</f>
        <v>0.2253968253968254</v>
      </c>
      <c r="N108" s="102" t="e">
        <f>'1,7 ALTAS'!AK51</f>
        <v>#DIV/0!</v>
      </c>
      <c r="O108" s="159">
        <f>'1,7 ALTAS'!AN51</f>
        <v>8.6139896373056996E-2</v>
      </c>
      <c r="P108" s="1"/>
      <c r="Q108" s="1"/>
    </row>
    <row r="109" spans="1:17" x14ac:dyDescent="0.15">
      <c r="A109" s="2" t="s">
        <v>201</v>
      </c>
      <c r="B109" s="77" t="s">
        <v>137</v>
      </c>
      <c r="C109" s="159" t="str">
        <f>'1,7 ALTAS'!$D52</f>
        <v/>
      </c>
      <c r="D109" s="159">
        <f>'1,7 ALTAS'!G52</f>
        <v>0</v>
      </c>
      <c r="E109" s="102">
        <f>'1,7 ALTAS'!J52</f>
        <v>0</v>
      </c>
      <c r="F109" s="102">
        <f>'1,7 ALTAS'!M52</f>
        <v>0</v>
      </c>
      <c r="G109" s="102">
        <f>'1,7 ALTAS'!P52</f>
        <v>0.18571428571428572</v>
      </c>
      <c r="H109" s="102">
        <f>'1,7 ALTAS'!S52</f>
        <v>0</v>
      </c>
      <c r="I109" s="102">
        <f>'1,7 ALTAS'!V52</f>
        <v>0</v>
      </c>
      <c r="J109" s="102">
        <f>'1,7 ALTAS'!Y52</f>
        <v>0</v>
      </c>
      <c r="K109" s="102">
        <f>'1,7 ALTAS'!AB52</f>
        <v>0</v>
      </c>
      <c r="L109" s="102">
        <f>'1,7 ALTAS'!AE52</f>
        <v>0</v>
      </c>
      <c r="M109" s="102">
        <f>'1,7 ALTAS'!AH52</f>
        <v>0.5</v>
      </c>
      <c r="N109" s="102" t="e">
        <f>'1,7 ALTAS'!AK52</f>
        <v>#DIV/0!</v>
      </c>
      <c r="O109" s="159">
        <f>'1,7 ALTAS'!AN52</f>
        <v>5.7522123893805309E-2</v>
      </c>
      <c r="P109" s="1"/>
      <c r="Q109" s="1"/>
    </row>
    <row r="110" spans="1:17" x14ac:dyDescent="0.15">
      <c r="A110" s="2" t="s">
        <v>201</v>
      </c>
      <c r="B110" s="77" t="s">
        <v>138</v>
      </c>
      <c r="C110" s="159" t="str">
        <f>'1,7 ALTAS'!$D53</f>
        <v/>
      </c>
      <c r="D110" s="159" t="str">
        <f>'1,7 ALTAS'!G53</f>
        <v/>
      </c>
      <c r="E110" s="102" t="str">
        <f>'1,7 ALTAS'!J53</f>
        <v/>
      </c>
      <c r="F110" s="102" t="e">
        <f>'1,7 ALTAS'!M53</f>
        <v>#DIV/0!</v>
      </c>
      <c r="G110" s="102" t="e">
        <f>'1,7 ALTAS'!P53</f>
        <v>#DIV/0!</v>
      </c>
      <c r="H110" s="102" t="e">
        <f>'1,7 ALTAS'!S53</f>
        <v>#DIV/0!</v>
      </c>
      <c r="I110" s="102" t="e">
        <f>'1,7 ALTAS'!V53</f>
        <v>#DIV/0!</v>
      </c>
      <c r="J110" s="102" t="e">
        <f>'1,7 ALTAS'!Y53</f>
        <v>#DIV/0!</v>
      </c>
      <c r="K110" s="102" t="e">
        <f>'1,7 ALTAS'!AB53</f>
        <v>#DIV/0!</v>
      </c>
      <c r="L110" s="102" t="e">
        <f>'1,7 ALTAS'!AE53</f>
        <v>#DIV/0!</v>
      </c>
      <c r="M110" s="102" t="e">
        <f>'1,7 ALTAS'!AH53</f>
        <v>#DIV/0!</v>
      </c>
      <c r="N110" s="102" t="e">
        <f>'1,7 ALTAS'!AK53</f>
        <v>#DIV/0!</v>
      </c>
      <c r="O110" s="159" t="str">
        <f>'1,7 ALTAS'!AN53</f>
        <v/>
      </c>
      <c r="P110" s="1"/>
      <c r="Q110" s="1"/>
    </row>
    <row r="111" spans="1:17" x14ac:dyDescent="0.15">
      <c r="A111" s="2" t="s">
        <v>201</v>
      </c>
      <c r="B111" s="77" t="s">
        <v>139</v>
      </c>
      <c r="C111" s="159" t="str">
        <f>'1,7 ALTAS'!$D54</f>
        <v/>
      </c>
      <c r="D111" s="159" t="str">
        <f>'1,7 ALTAS'!G54</f>
        <v/>
      </c>
      <c r="E111" s="102" t="str">
        <f>'1,7 ALTAS'!J54</f>
        <v/>
      </c>
      <c r="F111" s="102" t="e">
        <f>'1,7 ALTAS'!M54</f>
        <v>#DIV/0!</v>
      </c>
      <c r="G111" s="102" t="e">
        <f>'1,7 ALTAS'!P54</f>
        <v>#DIV/0!</v>
      </c>
      <c r="H111" s="102" t="e">
        <f>'1,7 ALTAS'!S54</f>
        <v>#DIV/0!</v>
      </c>
      <c r="I111" s="102" t="e">
        <f>'1,7 ALTAS'!V54</f>
        <v>#DIV/0!</v>
      </c>
      <c r="J111" s="102" t="e">
        <f>'1,7 ALTAS'!Y54</f>
        <v>#DIV/0!</v>
      </c>
      <c r="K111" s="102" t="e">
        <f>'1,7 ALTAS'!AB54</f>
        <v>#DIV/0!</v>
      </c>
      <c r="L111" s="102" t="e">
        <f>'1,7 ALTAS'!AE54</f>
        <v>#DIV/0!</v>
      </c>
      <c r="M111" s="102" t="e">
        <f>'1,7 ALTAS'!AH54</f>
        <v>#DIV/0!</v>
      </c>
      <c r="N111" s="102" t="e">
        <f>'1,7 ALTAS'!AK54</f>
        <v>#DIV/0!</v>
      </c>
      <c r="O111" s="159" t="str">
        <f>'1,7 ALTAS'!AN54</f>
        <v/>
      </c>
      <c r="P111" s="1"/>
      <c r="Q111" s="1"/>
    </row>
    <row r="112" spans="1:17" x14ac:dyDescent="0.15">
      <c r="A112" s="2" t="s">
        <v>201</v>
      </c>
      <c r="B112" s="76" t="s">
        <v>140</v>
      </c>
      <c r="C112" s="159" t="str">
        <f>'1,7 ALTAS'!$D55</f>
        <v/>
      </c>
      <c r="D112" s="159" t="str">
        <f>'1,7 ALTAS'!G55</f>
        <v/>
      </c>
      <c r="E112" s="102" t="str">
        <f>'1,7 ALTAS'!J55</f>
        <v/>
      </c>
      <c r="F112" s="102" t="e">
        <f>'1,7 ALTAS'!M55</f>
        <v>#DIV/0!</v>
      </c>
      <c r="G112" s="102" t="e">
        <f>'1,7 ALTAS'!P55</f>
        <v>#DIV/0!</v>
      </c>
      <c r="H112" s="102" t="e">
        <f>'1,7 ALTAS'!S55</f>
        <v>#DIV/0!</v>
      </c>
      <c r="I112" s="102" t="e">
        <f>'1,7 ALTAS'!V55</f>
        <v>#DIV/0!</v>
      </c>
      <c r="J112" s="102" t="e">
        <f>'1,7 ALTAS'!Y55</f>
        <v>#DIV/0!</v>
      </c>
      <c r="K112" s="102" t="e">
        <f>'1,7 ALTAS'!AB55</f>
        <v>#DIV/0!</v>
      </c>
      <c r="L112" s="102" t="e">
        <f>'1,7 ALTAS'!AE55</f>
        <v>#DIV/0!</v>
      </c>
      <c r="M112" s="102" t="e">
        <f>'1,7 ALTAS'!AH55</f>
        <v>#DIV/0!</v>
      </c>
      <c r="N112" s="102" t="e">
        <f>'1,7 ALTAS'!AK55</f>
        <v>#DIV/0!</v>
      </c>
      <c r="O112" s="159" t="str">
        <f>'1,7 ALTAS'!AN55</f>
        <v/>
      </c>
      <c r="P112" s="1"/>
      <c r="Q112" s="1"/>
    </row>
    <row r="113" spans="1:17" x14ac:dyDescent="0.15">
      <c r="A113" s="2" t="s">
        <v>201</v>
      </c>
      <c r="B113" s="78" t="s">
        <v>141</v>
      </c>
      <c r="C113" s="159" t="str">
        <f>'1,7 ALTAS'!$D56</f>
        <v/>
      </c>
      <c r="D113" s="159" t="str">
        <f>'1,7 ALTAS'!G56</f>
        <v/>
      </c>
      <c r="E113" s="102" t="str">
        <f>'1,7 ALTAS'!J56</f>
        <v/>
      </c>
      <c r="F113" s="102" t="e">
        <f>'1,7 ALTAS'!M56</f>
        <v>#DIV/0!</v>
      </c>
      <c r="G113" s="102" t="e">
        <f>'1,7 ALTAS'!P56</f>
        <v>#DIV/0!</v>
      </c>
      <c r="H113" s="102" t="e">
        <f>'1,7 ALTAS'!S56</f>
        <v>#DIV/0!</v>
      </c>
      <c r="I113" s="102" t="e">
        <f>'1,7 ALTAS'!V56</f>
        <v>#DIV/0!</v>
      </c>
      <c r="J113" s="102" t="e">
        <f>'1,7 ALTAS'!Y56</f>
        <v>#DIV/0!</v>
      </c>
      <c r="K113" s="102" t="e">
        <f>'1,7 ALTAS'!AB56</f>
        <v>#DIV/0!</v>
      </c>
      <c r="L113" s="102" t="e">
        <f>'1,7 ALTAS'!AE56</f>
        <v>#DIV/0!</v>
      </c>
      <c r="M113" s="102" t="e">
        <f>'1,7 ALTAS'!AH56</f>
        <v>#DIV/0!</v>
      </c>
      <c r="N113" s="102" t="e">
        <f>'1,7 ALTAS'!AK56</f>
        <v>#DIV/0!</v>
      </c>
      <c r="O113" s="159" t="str">
        <f>'1,7 ALTAS'!AN56</f>
        <v/>
      </c>
      <c r="P113" s="1"/>
      <c r="Q113" s="1"/>
    </row>
    <row r="114" spans="1:17" x14ac:dyDescent="0.25">
      <c r="A114" s="2" t="s">
        <v>201</v>
      </c>
      <c r="B114" s="2" t="s">
        <v>200</v>
      </c>
      <c r="C114" s="159">
        <f>'1,7 ALTAS'!$D57</f>
        <v>0.14709800190294958</v>
      </c>
      <c r="D114" s="159">
        <f>'1,7 ALTAS'!G57</f>
        <v>0.17477309750989062</v>
      </c>
      <c r="E114" s="102">
        <f>'1,7 ALTAS'!J57</f>
        <v>0.14586206896551723</v>
      </c>
      <c r="F114" s="102">
        <f>'1,7 ALTAS'!M57</f>
        <v>0.12284263959390863</v>
      </c>
      <c r="G114" s="102">
        <f>'1,7 ALTAS'!P57</f>
        <v>0.17449263828093911</v>
      </c>
      <c r="H114" s="102">
        <f>'1,7 ALTAS'!S57</f>
        <v>0.2109170305676856</v>
      </c>
      <c r="I114" s="102">
        <f>'1,7 ALTAS'!V57</f>
        <v>0.17874015748031497</v>
      </c>
      <c r="J114" s="102">
        <f>'1,7 ALTAS'!Y57</f>
        <v>0.17491274892219258</v>
      </c>
      <c r="K114" s="102">
        <f>'1,7 ALTAS'!AB57</f>
        <v>0.16956248691647477</v>
      </c>
      <c r="L114" s="102">
        <f>'1,7 ALTAS'!AE57</f>
        <v>0.19163828982217176</v>
      </c>
      <c r="M114" s="102">
        <f>'1,7 ALTAS'!AH57</f>
        <v>0.17727555463404521</v>
      </c>
      <c r="N114" s="102" t="e">
        <f>'1,7 ALTAS'!AK57</f>
        <v>#DIV/0!</v>
      </c>
      <c r="O114" s="159">
        <f>'1,7 ALTAS'!AN57</f>
        <v>0.1600038875210574</v>
      </c>
      <c r="P114" s="1"/>
      <c r="Q114" s="1"/>
    </row>
    <row r="115" spans="1:17" ht="27" x14ac:dyDescent="0.25">
      <c r="A115" s="2" t="s">
        <v>35</v>
      </c>
      <c r="B115" s="17" t="s">
        <v>169</v>
      </c>
      <c r="C115" s="109" t="s">
        <v>187</v>
      </c>
      <c r="D115" s="149" t="s">
        <v>188</v>
      </c>
      <c r="E115" s="1" t="s">
        <v>189</v>
      </c>
      <c r="F115" s="5" t="s">
        <v>190</v>
      </c>
      <c r="G115" s="1" t="s">
        <v>191</v>
      </c>
      <c r="H115" s="5" t="s">
        <v>192</v>
      </c>
      <c r="I115" s="1" t="s">
        <v>193</v>
      </c>
      <c r="J115" s="5" t="s">
        <v>194</v>
      </c>
      <c r="K115" s="1" t="s">
        <v>195</v>
      </c>
      <c r="L115" s="5" t="s">
        <v>196</v>
      </c>
      <c r="M115" s="1" t="s">
        <v>197</v>
      </c>
      <c r="N115" s="5" t="s">
        <v>198</v>
      </c>
      <c r="O115" s="109" t="s">
        <v>4</v>
      </c>
      <c r="P115" s="1"/>
      <c r="Q115" s="1"/>
    </row>
    <row r="116" spans="1:17" x14ac:dyDescent="0.15">
      <c r="A116" s="2" t="s">
        <v>300</v>
      </c>
      <c r="B116" s="76" t="s">
        <v>87</v>
      </c>
      <c r="C116" s="159">
        <f>'1,8 NSP CN'!D2</f>
        <v>0.14285714285714285</v>
      </c>
      <c r="D116" s="159">
        <f>'1,8 NSP CN'!G2</f>
        <v>9.7222222222222224E-2</v>
      </c>
      <c r="E116" s="102">
        <f>'1,8 NSP CN'!J2</f>
        <v>0.15116279069767441</v>
      </c>
      <c r="F116" s="102">
        <f>'1,8 NSP CN'!M2</f>
        <v>0.14516129032258066</v>
      </c>
      <c r="G116" s="102">
        <f>'1,8 NSP CN'!P2</f>
        <v>0.13750000000000001</v>
      </c>
      <c r="H116" s="102" t="e">
        <f>'1,8 NSP CN'!S2</f>
        <v>#DIV/0!</v>
      </c>
      <c r="I116" s="102" t="e">
        <f>'1,8 NSP CN'!V2</f>
        <v>#DIV/0!</v>
      </c>
      <c r="J116" s="102" t="e">
        <f>'1,8 NSP CN'!Y2</f>
        <v>#DIV/0!</v>
      </c>
      <c r="K116" s="102" t="e">
        <f>'1,8 NSP CN'!AB2</f>
        <v>#DIV/0!</v>
      </c>
      <c r="L116" s="102" t="e">
        <f>'1,8 NSP CN'!AE2</f>
        <v>#DIV/0!</v>
      </c>
      <c r="M116" s="102" t="e">
        <f>'1,8 NSP CN'!AH2</f>
        <v>#DIV/0!</v>
      </c>
      <c r="N116" s="102" t="e">
        <f>'1,8 NSP CN'!AK2</f>
        <v>#DIV/0!</v>
      </c>
      <c r="O116" s="159">
        <f>'1,8 NSP CN'!AN2</f>
        <v>0.13513513513513514</v>
      </c>
      <c r="P116" s="1"/>
      <c r="Q116" s="1"/>
    </row>
    <row r="117" spans="1:17" x14ac:dyDescent="0.15">
      <c r="A117" s="2" t="s">
        <v>300</v>
      </c>
      <c r="B117" s="77" t="s">
        <v>88</v>
      </c>
      <c r="C117" s="159">
        <f>'1,8 NSP CN'!D3</f>
        <v>0.13698630136986301</v>
      </c>
      <c r="D117" s="159">
        <f>'1,8 NSP CN'!G3</f>
        <v>8.4507042253521125E-2</v>
      </c>
      <c r="E117" s="102">
        <f>'1,8 NSP CN'!J3</f>
        <v>7.6923076923076927E-2</v>
      </c>
      <c r="F117" s="102">
        <f>'1,8 NSP CN'!M3</f>
        <v>0.10948905109489052</v>
      </c>
      <c r="G117" s="102">
        <f>'1,8 NSP CN'!P3</f>
        <v>4.8543689320388349E-2</v>
      </c>
      <c r="H117" s="102" t="e">
        <f>'1,8 NSP CN'!S3</f>
        <v>#DIV/0!</v>
      </c>
      <c r="I117" s="102" t="e">
        <f>'1,8 NSP CN'!V3</f>
        <v>#DIV/0!</v>
      </c>
      <c r="J117" s="102" t="e">
        <f>'1,8 NSP CN'!Y3</f>
        <v>#DIV/0!</v>
      </c>
      <c r="K117" s="102" t="e">
        <f>'1,8 NSP CN'!AB3</f>
        <v>#DIV/0!</v>
      </c>
      <c r="L117" s="102" t="e">
        <f>'1,8 NSP CN'!AE3</f>
        <v>#DIV/0!</v>
      </c>
      <c r="M117" s="102" t="e">
        <f>'1,8 NSP CN'!AH3</f>
        <v>#DIV/0!</v>
      </c>
      <c r="N117" s="102" t="e">
        <f>'1,8 NSP CN'!AK3</f>
        <v>#DIV/0!</v>
      </c>
      <c r="O117" s="159">
        <f>'1,8 NSP CN'!AN3</f>
        <v>9.8231827111984277E-2</v>
      </c>
      <c r="P117" s="1"/>
      <c r="Q117" s="1"/>
    </row>
    <row r="118" spans="1:17" x14ac:dyDescent="0.15">
      <c r="A118" s="2" t="s">
        <v>300</v>
      </c>
      <c r="B118" s="77" t="s">
        <v>89</v>
      </c>
      <c r="C118" s="159" t="str">
        <f>'1,8 NSP CN'!D4</f>
        <v/>
      </c>
      <c r="D118" s="159" t="str">
        <f>'1,8 NSP CN'!G4</f>
        <v/>
      </c>
      <c r="E118" s="102" t="str">
        <f>'1,8 NSP CN'!J4</f>
        <v/>
      </c>
      <c r="F118" s="102" t="str">
        <f>'1,8 NSP CN'!M4</f>
        <v/>
      </c>
      <c r="G118" s="102" t="e">
        <f>'1,8 NSP CN'!P4</f>
        <v>#DIV/0!</v>
      </c>
      <c r="H118" s="102" t="e">
        <f>'1,8 NSP CN'!S4</f>
        <v>#DIV/0!</v>
      </c>
      <c r="I118" s="102" t="e">
        <f>'1,8 NSP CN'!V4</f>
        <v>#DIV/0!</v>
      </c>
      <c r="J118" s="102" t="e">
        <f>'1,8 NSP CN'!Y4</f>
        <v>#DIV/0!</v>
      </c>
      <c r="K118" s="102" t="e">
        <f>'1,8 NSP CN'!AB4</f>
        <v>#DIV/0!</v>
      </c>
      <c r="L118" s="102" t="e">
        <f>'1,8 NSP CN'!AE4</f>
        <v>#DIV/0!</v>
      </c>
      <c r="M118" s="102" t="e">
        <f>'1,8 NSP CN'!AH4</f>
        <v>#DIV/0!</v>
      </c>
      <c r="N118" s="102" t="e">
        <f>'1,8 NSP CN'!AK4</f>
        <v>#DIV/0!</v>
      </c>
      <c r="O118" s="159" t="str">
        <f>'1,8 NSP CN'!AN4</f>
        <v/>
      </c>
      <c r="P118" s="1"/>
      <c r="Q118" s="1"/>
    </row>
    <row r="119" spans="1:17" x14ac:dyDescent="0.15">
      <c r="A119" s="2" t="s">
        <v>300</v>
      </c>
      <c r="B119" s="77" t="s">
        <v>90</v>
      </c>
      <c r="C119" s="159" t="str">
        <f>'1,8 NSP CN'!D5</f>
        <v/>
      </c>
      <c r="D119" s="159" t="str">
        <f>'1,8 NSP CN'!G5</f>
        <v/>
      </c>
      <c r="E119" s="102" t="str">
        <f>'1,8 NSP CN'!J5</f>
        <v/>
      </c>
      <c r="F119" s="102" t="str">
        <f>'1,8 NSP CN'!M5</f>
        <v/>
      </c>
      <c r="G119" s="102" t="e">
        <f>'1,8 NSP CN'!P5</f>
        <v>#DIV/0!</v>
      </c>
      <c r="H119" s="102" t="e">
        <f>'1,8 NSP CN'!S5</f>
        <v>#DIV/0!</v>
      </c>
      <c r="I119" s="102" t="e">
        <f>'1,8 NSP CN'!V5</f>
        <v>#DIV/0!</v>
      </c>
      <c r="J119" s="102" t="e">
        <f>'1,8 NSP CN'!Y5</f>
        <v>#DIV/0!</v>
      </c>
      <c r="K119" s="102" t="e">
        <f>'1,8 NSP CN'!AB5</f>
        <v>#DIV/0!</v>
      </c>
      <c r="L119" s="102" t="e">
        <f>'1,8 NSP CN'!AE5</f>
        <v>#DIV/0!</v>
      </c>
      <c r="M119" s="102" t="e">
        <f>'1,8 NSP CN'!AH5</f>
        <v>#DIV/0!</v>
      </c>
      <c r="N119" s="102" t="e">
        <f>'1,8 NSP CN'!AK5</f>
        <v>#DIV/0!</v>
      </c>
      <c r="O119" s="159" t="str">
        <f>'1,8 NSP CN'!AN5</f>
        <v/>
      </c>
      <c r="P119" s="1"/>
      <c r="Q119" s="1"/>
    </row>
    <row r="120" spans="1:17" x14ac:dyDescent="0.15">
      <c r="A120" s="2" t="s">
        <v>300</v>
      </c>
      <c r="B120" s="77" t="s">
        <v>91</v>
      </c>
      <c r="C120" s="159" t="str">
        <f>'1,8 NSP CN'!D6</f>
        <v/>
      </c>
      <c r="D120" s="159" t="str">
        <f>'1,8 NSP CN'!G6</f>
        <v/>
      </c>
      <c r="E120" s="102" t="str">
        <f>'1,8 NSP CN'!J6</f>
        <v/>
      </c>
      <c r="F120" s="102" t="str">
        <f>'1,8 NSP CN'!M6</f>
        <v/>
      </c>
      <c r="G120" s="102" t="e">
        <f>'1,8 NSP CN'!P6</f>
        <v>#DIV/0!</v>
      </c>
      <c r="H120" s="102" t="e">
        <f>'1,8 NSP CN'!S6</f>
        <v>#DIV/0!</v>
      </c>
      <c r="I120" s="102" t="e">
        <f>'1,8 NSP CN'!V6</f>
        <v>#DIV/0!</v>
      </c>
      <c r="J120" s="102" t="e">
        <f>'1,8 NSP CN'!Y6</f>
        <v>#DIV/0!</v>
      </c>
      <c r="K120" s="102" t="e">
        <f>'1,8 NSP CN'!AB6</f>
        <v>#DIV/0!</v>
      </c>
      <c r="L120" s="102" t="e">
        <f>'1,8 NSP CN'!AE6</f>
        <v>#DIV/0!</v>
      </c>
      <c r="M120" s="102" t="e">
        <f>'1,8 NSP CN'!AH6</f>
        <v>#DIV/0!</v>
      </c>
      <c r="N120" s="102" t="e">
        <f>'1,8 NSP CN'!AK6</f>
        <v>#DIV/0!</v>
      </c>
      <c r="O120" s="159" t="str">
        <f>'1,8 NSP CN'!AN6</f>
        <v/>
      </c>
      <c r="P120" s="1"/>
      <c r="Q120" s="1"/>
    </row>
    <row r="121" spans="1:17" x14ac:dyDescent="0.15">
      <c r="A121" s="2" t="s">
        <v>300</v>
      </c>
      <c r="B121" s="77" t="s">
        <v>92</v>
      </c>
      <c r="C121" s="159">
        <f>'1,8 NSP CN'!D7</f>
        <v>0.1111111111111111</v>
      </c>
      <c r="D121" s="159">
        <f>'1,8 NSP CN'!G7</f>
        <v>0.33333333333333331</v>
      </c>
      <c r="E121" s="102">
        <f>'1,8 NSP CN'!J7</f>
        <v>3.5714285714285712E-2</v>
      </c>
      <c r="F121" s="102">
        <f>'1,8 NSP CN'!M7</f>
        <v>0.12195121951219512</v>
      </c>
      <c r="G121" s="102">
        <f>'1,8 NSP CN'!P7</f>
        <v>8.3333333333333329E-2</v>
      </c>
      <c r="H121" s="102" t="e">
        <f>'1,8 NSP CN'!S7</f>
        <v>#DIV/0!</v>
      </c>
      <c r="I121" s="102" t="e">
        <f>'1,8 NSP CN'!V7</f>
        <v>#DIV/0!</v>
      </c>
      <c r="J121" s="102" t="e">
        <f>'1,8 NSP CN'!Y7</f>
        <v>#DIV/0!</v>
      </c>
      <c r="K121" s="102" t="e">
        <f>'1,8 NSP CN'!AB7</f>
        <v>#DIV/0!</v>
      </c>
      <c r="L121" s="102" t="e">
        <f>'1,8 NSP CN'!AE7</f>
        <v>#DIV/0!</v>
      </c>
      <c r="M121" s="102" t="e">
        <f>'1,8 NSP CN'!AH7</f>
        <v>#DIV/0!</v>
      </c>
      <c r="N121" s="102" t="e">
        <f>'1,8 NSP CN'!AK7</f>
        <v>#DIV/0!</v>
      </c>
      <c r="O121" s="159">
        <f>'1,8 NSP CN'!AN7</f>
        <v>0.12280701754385964</v>
      </c>
      <c r="P121" s="1"/>
      <c r="Q121" s="1"/>
    </row>
    <row r="122" spans="1:17" x14ac:dyDescent="0.15">
      <c r="A122" s="2" t="s">
        <v>300</v>
      </c>
      <c r="B122" s="77" t="s">
        <v>93</v>
      </c>
      <c r="C122" s="159">
        <f>'1,8 NSP CN'!D8</f>
        <v>4.5454545454545456E-2</v>
      </c>
      <c r="D122" s="159">
        <f>'1,8 NSP CN'!G8</f>
        <v>0</v>
      </c>
      <c r="E122" s="102">
        <f>'1,8 NSP CN'!J8</f>
        <v>9.0909090909090912E-2</v>
      </c>
      <c r="F122" s="102">
        <f>'1,8 NSP CN'!M8</f>
        <v>4.6511627906976744E-2</v>
      </c>
      <c r="G122" s="102">
        <f>'1,8 NSP CN'!P8</f>
        <v>0</v>
      </c>
      <c r="H122" s="102" t="e">
        <f>'1,8 NSP CN'!S8</f>
        <v>#DIV/0!</v>
      </c>
      <c r="I122" s="102" t="e">
        <f>'1,8 NSP CN'!V8</f>
        <v>#DIV/0!</v>
      </c>
      <c r="J122" s="102" t="e">
        <f>'1,8 NSP CN'!Y8</f>
        <v>#DIV/0!</v>
      </c>
      <c r="K122" s="102" t="e">
        <f>'1,8 NSP CN'!AB8</f>
        <v>#DIV/0!</v>
      </c>
      <c r="L122" s="102" t="e">
        <f>'1,8 NSP CN'!AE8</f>
        <v>#DIV/0!</v>
      </c>
      <c r="M122" s="102" t="e">
        <f>'1,8 NSP CN'!AH8</f>
        <v>#DIV/0!</v>
      </c>
      <c r="N122" s="102" t="e">
        <f>'1,8 NSP CN'!AK8</f>
        <v>#DIV/0!</v>
      </c>
      <c r="O122" s="159">
        <f>'1,8 NSP CN'!AN8</f>
        <v>3.4965034965034968E-2</v>
      </c>
      <c r="P122" s="1"/>
      <c r="Q122" s="1"/>
    </row>
    <row r="123" spans="1:17" x14ac:dyDescent="0.15">
      <c r="A123" s="2" t="s">
        <v>300</v>
      </c>
      <c r="B123" s="77" t="s">
        <v>94</v>
      </c>
      <c r="C123" s="159">
        <f>'1,8 NSP CN'!D9</f>
        <v>7.1428571428571425E-2</v>
      </c>
      <c r="D123" s="159">
        <f>'1,8 NSP CN'!G9</f>
        <v>0.1</v>
      </c>
      <c r="E123" s="102">
        <f>'1,8 NSP CN'!J9</f>
        <v>8.3333333333333329E-2</v>
      </c>
      <c r="F123" s="102">
        <f>'1,8 NSP CN'!M9</f>
        <v>9.0909090909090912E-2</v>
      </c>
      <c r="G123" s="102">
        <f>'1,8 NSP CN'!P9</f>
        <v>0</v>
      </c>
      <c r="H123" s="102" t="e">
        <f>'1,8 NSP CN'!S9</f>
        <v>#DIV/0!</v>
      </c>
      <c r="I123" s="102" t="e">
        <f>'1,8 NSP CN'!V9</f>
        <v>#DIV/0!</v>
      </c>
      <c r="J123" s="102" t="e">
        <f>'1,8 NSP CN'!Y9</f>
        <v>#DIV/0!</v>
      </c>
      <c r="K123" s="102" t="e">
        <f>'1,8 NSP CN'!AB9</f>
        <v>#DIV/0!</v>
      </c>
      <c r="L123" s="102" t="e">
        <f>'1,8 NSP CN'!AE9</f>
        <v>#DIV/0!</v>
      </c>
      <c r="M123" s="102" t="e">
        <f>'1,8 NSP CN'!AH9</f>
        <v>#DIV/0!</v>
      </c>
      <c r="N123" s="102" t="e">
        <f>'1,8 NSP CN'!AK9</f>
        <v>#DIV/0!</v>
      </c>
      <c r="O123" s="159">
        <f>'1,8 NSP CN'!AN9</f>
        <v>6.6666666666666666E-2</v>
      </c>
      <c r="P123" s="1"/>
      <c r="Q123" s="1"/>
    </row>
    <row r="124" spans="1:17" x14ac:dyDescent="0.15">
      <c r="A124" s="2" t="s">
        <v>300</v>
      </c>
      <c r="B124" s="77" t="s">
        <v>95</v>
      </c>
      <c r="C124" s="159" t="str">
        <f>'1,8 NSP CN'!D10</f>
        <v/>
      </c>
      <c r="D124" s="159" t="str">
        <f>'1,8 NSP CN'!G10</f>
        <v/>
      </c>
      <c r="E124" s="102" t="str">
        <f>'1,8 NSP CN'!J10</f>
        <v/>
      </c>
      <c r="F124" s="102" t="str">
        <f>'1,8 NSP CN'!M10</f>
        <v/>
      </c>
      <c r="G124" s="102" t="e">
        <f>'1,8 NSP CN'!P10</f>
        <v>#DIV/0!</v>
      </c>
      <c r="H124" s="102" t="e">
        <f>'1,8 NSP CN'!S10</f>
        <v>#DIV/0!</v>
      </c>
      <c r="I124" s="102" t="e">
        <f>'1,8 NSP CN'!V10</f>
        <v>#DIV/0!</v>
      </c>
      <c r="J124" s="102" t="e">
        <f>'1,8 NSP CN'!Y10</f>
        <v>#DIV/0!</v>
      </c>
      <c r="K124" s="102" t="e">
        <f>'1,8 NSP CN'!AB10</f>
        <v>#DIV/0!</v>
      </c>
      <c r="L124" s="102" t="e">
        <f>'1,8 NSP CN'!AE10</f>
        <v>#DIV/0!</v>
      </c>
      <c r="M124" s="102" t="e">
        <f>'1,8 NSP CN'!AH10</f>
        <v>#DIV/0!</v>
      </c>
      <c r="N124" s="102" t="e">
        <f>'1,8 NSP CN'!AK10</f>
        <v>#DIV/0!</v>
      </c>
      <c r="O124" s="159" t="str">
        <f>'1,8 NSP CN'!AN10</f>
        <v/>
      </c>
      <c r="P124" s="1"/>
      <c r="Q124" s="1"/>
    </row>
    <row r="125" spans="1:17" x14ac:dyDescent="0.15">
      <c r="A125" s="2" t="s">
        <v>300</v>
      </c>
      <c r="B125" s="77" t="s">
        <v>96</v>
      </c>
      <c r="C125" s="159" t="str">
        <f>'1,8 NSP CN'!D11</f>
        <v/>
      </c>
      <c r="D125" s="159" t="str">
        <f>'1,8 NSP CN'!G11</f>
        <v/>
      </c>
      <c r="E125" s="102" t="str">
        <f>'1,8 NSP CN'!J11</f>
        <v/>
      </c>
      <c r="F125" s="102" t="str">
        <f>'1,8 NSP CN'!M11</f>
        <v/>
      </c>
      <c r="G125" s="102" t="e">
        <f>'1,8 NSP CN'!P11</f>
        <v>#DIV/0!</v>
      </c>
      <c r="H125" s="102" t="e">
        <f>'1,8 NSP CN'!S11</f>
        <v>#DIV/0!</v>
      </c>
      <c r="I125" s="102" t="e">
        <f>'1,8 NSP CN'!V11</f>
        <v>#DIV/0!</v>
      </c>
      <c r="J125" s="102" t="e">
        <f>'1,8 NSP CN'!Y11</f>
        <v>#DIV/0!</v>
      </c>
      <c r="K125" s="102" t="e">
        <f>'1,8 NSP CN'!AB11</f>
        <v>#DIV/0!</v>
      </c>
      <c r="L125" s="102" t="e">
        <f>'1,8 NSP CN'!AE11</f>
        <v>#DIV/0!</v>
      </c>
      <c r="M125" s="102" t="e">
        <f>'1,8 NSP CN'!AH11</f>
        <v>#DIV/0!</v>
      </c>
      <c r="N125" s="102" t="e">
        <f>'1,8 NSP CN'!AK11</f>
        <v>#DIV/0!</v>
      </c>
      <c r="O125" s="159" t="str">
        <f>'1,8 NSP CN'!AN11</f>
        <v/>
      </c>
      <c r="P125" s="1"/>
      <c r="Q125" s="1"/>
    </row>
    <row r="126" spans="1:17" x14ac:dyDescent="0.15">
      <c r="A126" s="2" t="s">
        <v>300</v>
      </c>
      <c r="B126" s="77" t="s">
        <v>97</v>
      </c>
      <c r="C126" s="159">
        <f>'1,8 NSP CN'!D12</f>
        <v>0</v>
      </c>
      <c r="D126" s="159" t="str">
        <f>'1,8 NSP CN'!G12</f>
        <v/>
      </c>
      <c r="E126" s="102">
        <f>'1,8 NSP CN'!J12</f>
        <v>0.13636363636363635</v>
      </c>
      <c r="F126" s="102">
        <f>'1,8 NSP CN'!M12</f>
        <v>0</v>
      </c>
      <c r="G126" s="102">
        <f>'1,8 NSP CN'!P12</f>
        <v>7.1428571428571425E-2</v>
      </c>
      <c r="H126" s="102" t="e">
        <f>'1,8 NSP CN'!S12</f>
        <v>#DIV/0!</v>
      </c>
      <c r="I126" s="102" t="e">
        <f>'1,8 NSP CN'!V12</f>
        <v>#DIV/0!</v>
      </c>
      <c r="J126" s="102" t="e">
        <f>'1,8 NSP CN'!Y12</f>
        <v>#DIV/0!</v>
      </c>
      <c r="K126" s="102" t="e">
        <f>'1,8 NSP CN'!AB12</f>
        <v>#DIV/0!</v>
      </c>
      <c r="L126" s="102" t="e">
        <f>'1,8 NSP CN'!AE12</f>
        <v>#DIV/0!</v>
      </c>
      <c r="M126" s="102" t="e">
        <f>'1,8 NSP CN'!AH12</f>
        <v>#DIV/0!</v>
      </c>
      <c r="N126" s="102" t="e">
        <f>'1,8 NSP CN'!AK12</f>
        <v>#DIV/0!</v>
      </c>
      <c r="O126" s="159">
        <f>'1,8 NSP CN'!AN12</f>
        <v>6.3492063492063489E-2</v>
      </c>
      <c r="P126" s="1"/>
      <c r="Q126" s="1"/>
    </row>
    <row r="127" spans="1:17" x14ac:dyDescent="0.15">
      <c r="A127" s="2" t="s">
        <v>300</v>
      </c>
      <c r="B127" s="77" t="s">
        <v>98</v>
      </c>
      <c r="C127" s="159" t="str">
        <f>'1,8 NSP CN'!D13</f>
        <v/>
      </c>
      <c r="D127" s="159" t="str">
        <f>'1,8 NSP CN'!G13</f>
        <v/>
      </c>
      <c r="E127" s="102" t="str">
        <f>'1,8 NSP CN'!J13</f>
        <v/>
      </c>
      <c r="F127" s="102" t="str">
        <f>'1,8 NSP CN'!M13</f>
        <v/>
      </c>
      <c r="G127" s="102" t="e">
        <f>'1,8 NSP CN'!P13</f>
        <v>#DIV/0!</v>
      </c>
      <c r="H127" s="102" t="e">
        <f>'1,8 NSP CN'!S13</f>
        <v>#DIV/0!</v>
      </c>
      <c r="I127" s="102" t="e">
        <f>'1,8 NSP CN'!V13</f>
        <v>#DIV/0!</v>
      </c>
      <c r="J127" s="102" t="e">
        <f>'1,8 NSP CN'!Y13</f>
        <v>#DIV/0!</v>
      </c>
      <c r="K127" s="102" t="e">
        <f>'1,8 NSP CN'!AB13</f>
        <v>#DIV/0!</v>
      </c>
      <c r="L127" s="102" t="e">
        <f>'1,8 NSP CN'!AE13</f>
        <v>#DIV/0!</v>
      </c>
      <c r="M127" s="102" t="e">
        <f>'1,8 NSP CN'!AH13</f>
        <v>#DIV/0!</v>
      </c>
      <c r="N127" s="102" t="e">
        <f>'1,8 NSP CN'!AK13</f>
        <v>#DIV/0!</v>
      </c>
      <c r="O127" s="159" t="str">
        <f>'1,8 NSP CN'!AN13</f>
        <v/>
      </c>
      <c r="P127" s="1"/>
      <c r="Q127" s="1"/>
    </row>
    <row r="128" spans="1:17" x14ac:dyDescent="0.15">
      <c r="A128" s="2" t="s">
        <v>300</v>
      </c>
      <c r="B128" s="77" t="s">
        <v>99</v>
      </c>
      <c r="C128" s="159" t="str">
        <f>'1,8 NSP CN'!D14</f>
        <v/>
      </c>
      <c r="D128" s="159" t="str">
        <f>'1,8 NSP CN'!G14</f>
        <v/>
      </c>
      <c r="E128" s="102" t="str">
        <f>'1,8 NSP CN'!J14</f>
        <v/>
      </c>
      <c r="F128" s="102" t="str">
        <f>'1,8 NSP CN'!M14</f>
        <v/>
      </c>
      <c r="G128" s="102" t="e">
        <f>'1,8 NSP CN'!P14</f>
        <v>#DIV/0!</v>
      </c>
      <c r="H128" s="102" t="e">
        <f>'1,8 NSP CN'!S14</f>
        <v>#DIV/0!</v>
      </c>
      <c r="I128" s="102" t="e">
        <f>'1,8 NSP CN'!V14</f>
        <v>#DIV/0!</v>
      </c>
      <c r="J128" s="102" t="e">
        <f>'1,8 NSP CN'!Y14</f>
        <v>#DIV/0!</v>
      </c>
      <c r="K128" s="102" t="e">
        <f>'1,8 NSP CN'!AB14</f>
        <v>#DIV/0!</v>
      </c>
      <c r="L128" s="102" t="e">
        <f>'1,8 NSP CN'!AE14</f>
        <v>#DIV/0!</v>
      </c>
      <c r="M128" s="102" t="e">
        <f>'1,8 NSP CN'!AH14</f>
        <v>#DIV/0!</v>
      </c>
      <c r="N128" s="102" t="e">
        <f>'1,8 NSP CN'!AK14</f>
        <v>#DIV/0!</v>
      </c>
      <c r="O128" s="159" t="str">
        <f>'1,8 NSP CN'!AN14</f>
        <v/>
      </c>
      <c r="P128" s="1"/>
      <c r="Q128" s="1"/>
    </row>
    <row r="129" spans="1:17" x14ac:dyDescent="0.15">
      <c r="A129" s="2" t="s">
        <v>300</v>
      </c>
      <c r="B129" s="78" t="s">
        <v>100</v>
      </c>
      <c r="C129" s="159" t="str">
        <f>'1,8 NSP CN'!D15</f>
        <v/>
      </c>
      <c r="D129" s="159" t="str">
        <f>'1,8 NSP CN'!G15</f>
        <v/>
      </c>
      <c r="E129" s="102" t="str">
        <f>'1,8 NSP CN'!J15</f>
        <v/>
      </c>
      <c r="F129" s="102" t="str">
        <f>'1,8 NSP CN'!M15</f>
        <v/>
      </c>
      <c r="G129" s="102" t="e">
        <f>'1,8 NSP CN'!P15</f>
        <v>#DIV/0!</v>
      </c>
      <c r="H129" s="102" t="e">
        <f>'1,8 NSP CN'!S15</f>
        <v>#DIV/0!</v>
      </c>
      <c r="I129" s="102" t="e">
        <f>'1,8 NSP CN'!V15</f>
        <v>#DIV/0!</v>
      </c>
      <c r="J129" s="102" t="e">
        <f>'1,8 NSP CN'!Y15</f>
        <v>#DIV/0!</v>
      </c>
      <c r="K129" s="102" t="e">
        <f>'1,8 NSP CN'!AB15</f>
        <v>#DIV/0!</v>
      </c>
      <c r="L129" s="102" t="e">
        <f>'1,8 NSP CN'!AE15</f>
        <v>#DIV/0!</v>
      </c>
      <c r="M129" s="102" t="e">
        <f>'1,8 NSP CN'!AH15</f>
        <v>#DIV/0!</v>
      </c>
      <c r="N129" s="102" t="e">
        <f>'1,8 NSP CN'!AK15</f>
        <v>#DIV/0!</v>
      </c>
      <c r="O129" s="159" t="str">
        <f>'1,8 NSP CN'!AN15</f>
        <v/>
      </c>
      <c r="P129" s="1"/>
      <c r="Q129" s="1"/>
    </row>
    <row r="130" spans="1:17" x14ac:dyDescent="0.15">
      <c r="A130" s="2" t="s">
        <v>300</v>
      </c>
      <c r="B130" s="77" t="s">
        <v>101</v>
      </c>
      <c r="C130" s="159" t="str">
        <f>'1,8 NSP CN'!D16</f>
        <v/>
      </c>
      <c r="D130" s="159" t="str">
        <f>'1,8 NSP CN'!G16</f>
        <v/>
      </c>
      <c r="E130" s="102" t="str">
        <f>'1,8 NSP CN'!J16</f>
        <v/>
      </c>
      <c r="F130" s="102" t="str">
        <f>'1,8 NSP CN'!M16</f>
        <v/>
      </c>
      <c r="G130" s="102" t="e">
        <f>'1,8 NSP CN'!P16</f>
        <v>#DIV/0!</v>
      </c>
      <c r="H130" s="102" t="e">
        <f>'1,8 NSP CN'!S16</f>
        <v>#DIV/0!</v>
      </c>
      <c r="I130" s="102" t="e">
        <f>'1,8 NSP CN'!V16</f>
        <v>#DIV/0!</v>
      </c>
      <c r="J130" s="102" t="e">
        <f>'1,8 NSP CN'!Y16</f>
        <v>#DIV/0!</v>
      </c>
      <c r="K130" s="102" t="e">
        <f>'1,8 NSP CN'!AB16</f>
        <v>#DIV/0!</v>
      </c>
      <c r="L130" s="102" t="e">
        <f>'1,8 NSP CN'!AE16</f>
        <v>#DIV/0!</v>
      </c>
      <c r="M130" s="102" t="e">
        <f>'1,8 NSP CN'!AH16</f>
        <v>#DIV/0!</v>
      </c>
      <c r="N130" s="102" t="e">
        <f>'1,8 NSP CN'!AK16</f>
        <v>#DIV/0!</v>
      </c>
      <c r="O130" s="159" t="str">
        <f>'1,8 NSP CN'!AN16</f>
        <v/>
      </c>
      <c r="P130" s="1"/>
      <c r="Q130" s="1"/>
    </row>
    <row r="131" spans="1:17" x14ac:dyDescent="0.15">
      <c r="A131" s="2" t="s">
        <v>300</v>
      </c>
      <c r="B131" s="77" t="s">
        <v>102</v>
      </c>
      <c r="C131" s="159">
        <f>'1,8 NSP CN'!D17</f>
        <v>0</v>
      </c>
      <c r="D131" s="159" t="str">
        <f>'1,8 NSP CN'!G17</f>
        <v/>
      </c>
      <c r="E131" s="102" t="str">
        <f>'1,8 NSP CN'!J17</f>
        <v/>
      </c>
      <c r="F131" s="102" t="str">
        <f>'1,8 NSP CN'!M17</f>
        <v/>
      </c>
      <c r="G131" s="102" t="e">
        <f>'1,8 NSP CN'!P17</f>
        <v>#DIV/0!</v>
      </c>
      <c r="H131" s="102" t="e">
        <f>'1,8 NSP CN'!S17</f>
        <v>#DIV/0!</v>
      </c>
      <c r="I131" s="102" t="e">
        <f>'1,8 NSP CN'!V17</f>
        <v>#DIV/0!</v>
      </c>
      <c r="J131" s="102" t="e">
        <f>'1,8 NSP CN'!Y17</f>
        <v>#DIV/0!</v>
      </c>
      <c r="K131" s="102" t="e">
        <f>'1,8 NSP CN'!AB17</f>
        <v>#DIV/0!</v>
      </c>
      <c r="L131" s="102" t="e">
        <f>'1,8 NSP CN'!AE17</f>
        <v>#DIV/0!</v>
      </c>
      <c r="M131" s="102" t="e">
        <f>'1,8 NSP CN'!AH17</f>
        <v>#DIV/0!</v>
      </c>
      <c r="N131" s="102" t="e">
        <f>'1,8 NSP CN'!AK17</f>
        <v>#DIV/0!</v>
      </c>
      <c r="O131" s="159">
        <f>'1,8 NSP CN'!AN17</f>
        <v>0</v>
      </c>
      <c r="P131" s="1"/>
      <c r="Q131" s="1"/>
    </row>
    <row r="132" spans="1:17" x14ac:dyDescent="0.15">
      <c r="A132" s="2" t="s">
        <v>300</v>
      </c>
      <c r="B132" s="77" t="s">
        <v>103</v>
      </c>
      <c r="C132" s="159" t="str">
        <f>'1,8 NSP CN'!D18</f>
        <v/>
      </c>
      <c r="D132" s="159" t="str">
        <f>'1,8 NSP CN'!G18</f>
        <v/>
      </c>
      <c r="E132" s="102" t="str">
        <f>'1,8 NSP CN'!J18</f>
        <v/>
      </c>
      <c r="F132" s="102" t="str">
        <f>'1,8 NSP CN'!M18</f>
        <v/>
      </c>
      <c r="G132" s="102" t="e">
        <f>'1,8 NSP CN'!P18</f>
        <v>#DIV/0!</v>
      </c>
      <c r="H132" s="102" t="e">
        <f>'1,8 NSP CN'!S18</f>
        <v>#DIV/0!</v>
      </c>
      <c r="I132" s="102" t="e">
        <f>'1,8 NSP CN'!V18</f>
        <v>#DIV/0!</v>
      </c>
      <c r="J132" s="102" t="e">
        <f>'1,8 NSP CN'!Y18</f>
        <v>#DIV/0!</v>
      </c>
      <c r="K132" s="102" t="e">
        <f>'1,8 NSP CN'!AB18</f>
        <v>#DIV/0!</v>
      </c>
      <c r="L132" s="102" t="e">
        <f>'1,8 NSP CN'!AE18</f>
        <v>#DIV/0!</v>
      </c>
      <c r="M132" s="102" t="e">
        <f>'1,8 NSP CN'!AH18</f>
        <v>#DIV/0!</v>
      </c>
      <c r="N132" s="102" t="e">
        <f>'1,8 NSP CN'!AK18</f>
        <v>#DIV/0!</v>
      </c>
      <c r="O132" s="159" t="str">
        <f>'1,8 NSP CN'!AN18</f>
        <v/>
      </c>
      <c r="P132" s="1"/>
      <c r="Q132" s="1"/>
    </row>
    <row r="133" spans="1:17" x14ac:dyDescent="0.15">
      <c r="A133" s="2" t="s">
        <v>300</v>
      </c>
      <c r="B133" s="77" t="s">
        <v>104</v>
      </c>
      <c r="C133" s="159" t="str">
        <f>'1,8 NSP CN'!D19</f>
        <v/>
      </c>
      <c r="D133" s="159" t="str">
        <f>'1,8 NSP CN'!G19</f>
        <v/>
      </c>
      <c r="E133" s="102" t="str">
        <f>'1,8 NSP CN'!J19</f>
        <v/>
      </c>
      <c r="F133" s="102" t="str">
        <f>'1,8 NSP CN'!M19</f>
        <v/>
      </c>
      <c r="G133" s="102" t="e">
        <f>'1,8 NSP CN'!P19</f>
        <v>#DIV/0!</v>
      </c>
      <c r="H133" s="102" t="e">
        <f>'1,8 NSP CN'!S19</f>
        <v>#DIV/0!</v>
      </c>
      <c r="I133" s="102" t="e">
        <f>'1,8 NSP CN'!V19</f>
        <v>#DIV/0!</v>
      </c>
      <c r="J133" s="102" t="e">
        <f>'1,8 NSP CN'!Y19</f>
        <v>#DIV/0!</v>
      </c>
      <c r="K133" s="102" t="e">
        <f>'1,8 NSP CN'!AB19</f>
        <v>#DIV/0!</v>
      </c>
      <c r="L133" s="102" t="e">
        <f>'1,8 NSP CN'!AE19</f>
        <v>#DIV/0!</v>
      </c>
      <c r="M133" s="102" t="e">
        <f>'1,8 NSP CN'!AH19</f>
        <v>#DIV/0!</v>
      </c>
      <c r="N133" s="102" t="e">
        <f>'1,8 NSP CN'!AK19</f>
        <v>#DIV/0!</v>
      </c>
      <c r="O133" s="159" t="str">
        <f>'1,8 NSP CN'!AN19</f>
        <v/>
      </c>
      <c r="P133" s="1"/>
      <c r="Q133" s="1"/>
    </row>
    <row r="134" spans="1:17" x14ac:dyDescent="0.15">
      <c r="A134" s="2" t="s">
        <v>300</v>
      </c>
      <c r="B134" s="77" t="s">
        <v>105</v>
      </c>
      <c r="C134" s="159" t="str">
        <f>'1,8 NSP CN'!D20</f>
        <v/>
      </c>
      <c r="D134" s="159" t="str">
        <f>'1,8 NSP CN'!G20</f>
        <v/>
      </c>
      <c r="E134" s="102" t="str">
        <f>'1,8 NSP CN'!J20</f>
        <v/>
      </c>
      <c r="F134" s="102" t="str">
        <f>'1,8 NSP CN'!M20</f>
        <v/>
      </c>
      <c r="G134" s="102" t="e">
        <f>'1,8 NSP CN'!P20</f>
        <v>#DIV/0!</v>
      </c>
      <c r="H134" s="102" t="e">
        <f>'1,8 NSP CN'!S20</f>
        <v>#DIV/0!</v>
      </c>
      <c r="I134" s="102" t="e">
        <f>'1,8 NSP CN'!V20</f>
        <v>#DIV/0!</v>
      </c>
      <c r="J134" s="102" t="e">
        <f>'1,8 NSP CN'!Y20</f>
        <v>#DIV/0!</v>
      </c>
      <c r="K134" s="102" t="e">
        <f>'1,8 NSP CN'!AB20</f>
        <v>#DIV/0!</v>
      </c>
      <c r="L134" s="102" t="e">
        <f>'1,8 NSP CN'!AE20</f>
        <v>#DIV/0!</v>
      </c>
      <c r="M134" s="102" t="e">
        <f>'1,8 NSP CN'!AH20</f>
        <v>#DIV/0!</v>
      </c>
      <c r="N134" s="102" t="e">
        <f>'1,8 NSP CN'!AK20</f>
        <v>#DIV/0!</v>
      </c>
      <c r="O134" s="159" t="str">
        <f>'1,8 NSP CN'!AN20</f>
        <v/>
      </c>
      <c r="P134" s="1"/>
      <c r="Q134" s="1"/>
    </row>
    <row r="135" spans="1:17" x14ac:dyDescent="0.2">
      <c r="A135" s="2" t="s">
        <v>300</v>
      </c>
      <c r="B135" s="79" t="s">
        <v>106</v>
      </c>
      <c r="C135" s="159" t="str">
        <f>'1,8 NSP CN'!D21</f>
        <v/>
      </c>
      <c r="D135" s="159" t="str">
        <f>'1,8 NSP CN'!G21</f>
        <v/>
      </c>
      <c r="E135" s="102" t="str">
        <f>'1,8 NSP CN'!J21</f>
        <v/>
      </c>
      <c r="F135" s="102" t="str">
        <f>'1,8 NSP CN'!M21</f>
        <v/>
      </c>
      <c r="G135" s="102" t="e">
        <f>'1,8 NSP CN'!P21</f>
        <v>#DIV/0!</v>
      </c>
      <c r="H135" s="102" t="e">
        <f>'1,8 NSP CN'!S21</f>
        <v>#DIV/0!</v>
      </c>
      <c r="I135" s="102" t="e">
        <f>'1,8 NSP CN'!V21</f>
        <v>#DIV/0!</v>
      </c>
      <c r="J135" s="102" t="e">
        <f>'1,8 NSP CN'!Y21</f>
        <v>#DIV/0!</v>
      </c>
      <c r="K135" s="102" t="e">
        <f>'1,8 NSP CN'!AB21</f>
        <v>#DIV/0!</v>
      </c>
      <c r="L135" s="102" t="e">
        <f>'1,8 NSP CN'!AE21</f>
        <v>#DIV/0!</v>
      </c>
      <c r="M135" s="102" t="e">
        <f>'1,8 NSP CN'!AH21</f>
        <v>#DIV/0!</v>
      </c>
      <c r="N135" s="102" t="e">
        <f>'1,8 NSP CN'!AK21</f>
        <v>#DIV/0!</v>
      </c>
      <c r="O135" s="159" t="str">
        <f>'1,8 NSP CN'!AN21</f>
        <v/>
      </c>
      <c r="P135" s="1"/>
      <c r="Q135" s="1"/>
    </row>
    <row r="136" spans="1:17" x14ac:dyDescent="0.15">
      <c r="A136" s="2" t="s">
        <v>300</v>
      </c>
      <c r="B136" s="77" t="s">
        <v>107</v>
      </c>
      <c r="C136" s="159">
        <f>'1,8 NSP CN'!D22</f>
        <v>0.15789473684210525</v>
      </c>
      <c r="D136" s="159">
        <f>'1,8 NSP CN'!G22</f>
        <v>0.29090909090909089</v>
      </c>
      <c r="E136" s="102">
        <f>'1,8 NSP CN'!J22</f>
        <v>0.63414634146341464</v>
      </c>
      <c r="F136" s="102">
        <f>'1,8 NSP CN'!M22</f>
        <v>0.15094339622641509</v>
      </c>
      <c r="G136" s="102">
        <f>'1,8 NSP CN'!P22</f>
        <v>0.16666666666666666</v>
      </c>
      <c r="H136" s="102" t="e">
        <f>'1,8 NSP CN'!S22</f>
        <v>#DIV/0!</v>
      </c>
      <c r="I136" s="102" t="e">
        <f>'1,8 NSP CN'!V22</f>
        <v>#DIV/0!</v>
      </c>
      <c r="J136" s="102" t="e">
        <f>'1,8 NSP CN'!Y22</f>
        <v>#DIV/0!</v>
      </c>
      <c r="K136" s="102" t="e">
        <f>'1,8 NSP CN'!AB22</f>
        <v>#DIV/0!</v>
      </c>
      <c r="L136" s="102" t="e">
        <f>'1,8 NSP CN'!AE22</f>
        <v>#DIV/0!</v>
      </c>
      <c r="M136" s="102" t="e">
        <f>'1,8 NSP CN'!AH22</f>
        <v>#DIV/0!</v>
      </c>
      <c r="N136" s="102" t="e">
        <f>'1,8 NSP CN'!AK22</f>
        <v>#DIV/0!</v>
      </c>
      <c r="O136" s="159">
        <f>'1,8 NSP CN'!AN22</f>
        <v>0.29292929292929293</v>
      </c>
      <c r="P136" s="1"/>
      <c r="Q136" s="1"/>
    </row>
    <row r="137" spans="1:17" x14ac:dyDescent="0.15">
      <c r="A137" s="2" t="s">
        <v>300</v>
      </c>
      <c r="B137" s="77" t="s">
        <v>108</v>
      </c>
      <c r="C137" s="159" t="str">
        <f>'1,8 NSP CN'!D23</f>
        <v/>
      </c>
      <c r="D137" s="159" t="str">
        <f>'1,8 NSP CN'!G23</f>
        <v/>
      </c>
      <c r="E137" s="102" t="str">
        <f>'1,8 NSP CN'!J23</f>
        <v/>
      </c>
      <c r="F137" s="102" t="str">
        <f>'1,8 NSP CN'!M23</f>
        <v/>
      </c>
      <c r="G137" s="102" t="e">
        <f>'1,8 NSP CN'!P23</f>
        <v>#DIV/0!</v>
      </c>
      <c r="H137" s="102" t="e">
        <f>'1,8 NSP CN'!S23</f>
        <v>#DIV/0!</v>
      </c>
      <c r="I137" s="102" t="e">
        <f>'1,8 NSP CN'!V23</f>
        <v>#DIV/0!</v>
      </c>
      <c r="J137" s="102" t="e">
        <f>'1,8 NSP CN'!Y23</f>
        <v>#DIV/0!</v>
      </c>
      <c r="K137" s="102" t="e">
        <f>'1,8 NSP CN'!AB23</f>
        <v>#DIV/0!</v>
      </c>
      <c r="L137" s="102" t="e">
        <f>'1,8 NSP CN'!AE23</f>
        <v>#DIV/0!</v>
      </c>
      <c r="M137" s="102" t="e">
        <f>'1,8 NSP CN'!AH23</f>
        <v>#DIV/0!</v>
      </c>
      <c r="N137" s="102" t="e">
        <f>'1,8 NSP CN'!AK23</f>
        <v>#DIV/0!</v>
      </c>
      <c r="O137" s="159" t="str">
        <f>'1,8 NSP CN'!AN23</f>
        <v/>
      </c>
      <c r="P137" s="1"/>
      <c r="Q137" s="1"/>
    </row>
    <row r="138" spans="1:17" x14ac:dyDescent="0.15">
      <c r="A138" s="2" t="s">
        <v>300</v>
      </c>
      <c r="B138" s="77" t="s">
        <v>109</v>
      </c>
      <c r="C138" s="159">
        <f>'1,8 NSP CN'!D24</f>
        <v>8.1081081081081086E-2</v>
      </c>
      <c r="D138" s="159">
        <f>'1,8 NSP CN'!G24</f>
        <v>8.8235294117647065E-2</v>
      </c>
      <c r="E138" s="102">
        <f>'1,8 NSP CN'!J24</f>
        <v>0</v>
      </c>
      <c r="F138" s="102">
        <f>'1,8 NSP CN'!M24</f>
        <v>0.125</v>
      </c>
      <c r="G138" s="102">
        <f>'1,8 NSP CN'!P24</f>
        <v>5.8823529411764705E-2</v>
      </c>
      <c r="H138" s="102" t="e">
        <f>'1,8 NSP CN'!S24</f>
        <v>#DIV/0!</v>
      </c>
      <c r="I138" s="102" t="e">
        <f>'1,8 NSP CN'!V24</f>
        <v>#DIV/0!</v>
      </c>
      <c r="J138" s="102" t="e">
        <f>'1,8 NSP CN'!Y24</f>
        <v>#DIV/0!</v>
      </c>
      <c r="K138" s="102" t="e">
        <f>'1,8 NSP CN'!AB24</f>
        <v>#DIV/0!</v>
      </c>
      <c r="L138" s="102" t="e">
        <f>'1,8 NSP CN'!AE24</f>
        <v>#DIV/0!</v>
      </c>
      <c r="M138" s="102" t="e">
        <f>'1,8 NSP CN'!AH24</f>
        <v>#DIV/0!</v>
      </c>
      <c r="N138" s="102" t="e">
        <f>'1,8 NSP CN'!AK24</f>
        <v>#DIV/0!</v>
      </c>
      <c r="O138" s="159">
        <f>'1,8 NSP CN'!AN24</f>
        <v>6.6666666666666666E-2</v>
      </c>
      <c r="P138" s="1"/>
      <c r="Q138" s="1"/>
    </row>
    <row r="139" spans="1:17" x14ac:dyDescent="0.15">
      <c r="A139" s="2" t="s">
        <v>300</v>
      </c>
      <c r="B139" s="77" t="s">
        <v>110</v>
      </c>
      <c r="C139" s="159" t="str">
        <f>'1,8 NSP CN'!D25</f>
        <v/>
      </c>
      <c r="D139" s="159" t="str">
        <f>'1,8 NSP CN'!G25</f>
        <v/>
      </c>
      <c r="E139" s="102" t="str">
        <f>'1,8 NSP CN'!J25</f>
        <v/>
      </c>
      <c r="F139" s="102" t="str">
        <f>'1,8 NSP CN'!M25</f>
        <v/>
      </c>
      <c r="G139" s="102" t="e">
        <f>'1,8 NSP CN'!P25</f>
        <v>#DIV/0!</v>
      </c>
      <c r="H139" s="102" t="e">
        <f>'1,8 NSP CN'!S25</f>
        <v>#DIV/0!</v>
      </c>
      <c r="I139" s="102" t="e">
        <f>'1,8 NSP CN'!V25</f>
        <v>#DIV/0!</v>
      </c>
      <c r="J139" s="102" t="e">
        <f>'1,8 NSP CN'!Y25</f>
        <v>#DIV/0!</v>
      </c>
      <c r="K139" s="102" t="e">
        <f>'1,8 NSP CN'!AB25</f>
        <v>#DIV/0!</v>
      </c>
      <c r="L139" s="102" t="e">
        <f>'1,8 NSP CN'!AE25</f>
        <v>#DIV/0!</v>
      </c>
      <c r="M139" s="102" t="e">
        <f>'1,8 NSP CN'!AH25</f>
        <v>#DIV/0!</v>
      </c>
      <c r="N139" s="102" t="e">
        <f>'1,8 NSP CN'!AK25</f>
        <v>#DIV/0!</v>
      </c>
      <c r="O139" s="159" t="str">
        <f>'1,8 NSP CN'!AN25</f>
        <v/>
      </c>
      <c r="P139" s="1"/>
      <c r="Q139" s="1"/>
    </row>
    <row r="140" spans="1:17" x14ac:dyDescent="0.15">
      <c r="A140" s="2" t="s">
        <v>300</v>
      </c>
      <c r="B140" s="77" t="s">
        <v>111</v>
      </c>
      <c r="C140" s="159" t="str">
        <f>'1,8 NSP CN'!D26</f>
        <v/>
      </c>
      <c r="D140" s="159" t="str">
        <f>'1,8 NSP CN'!G26</f>
        <v/>
      </c>
      <c r="E140" s="102" t="str">
        <f>'1,8 NSP CN'!J26</f>
        <v/>
      </c>
      <c r="F140" s="102" t="str">
        <f>'1,8 NSP CN'!M26</f>
        <v/>
      </c>
      <c r="G140" s="102" t="e">
        <f>'1,8 NSP CN'!P26</f>
        <v>#DIV/0!</v>
      </c>
      <c r="H140" s="102" t="e">
        <f>'1,8 NSP CN'!S26</f>
        <v>#DIV/0!</v>
      </c>
      <c r="I140" s="102" t="e">
        <f>'1,8 NSP CN'!V26</f>
        <v>#DIV/0!</v>
      </c>
      <c r="J140" s="102" t="e">
        <f>'1,8 NSP CN'!Y26</f>
        <v>#DIV/0!</v>
      </c>
      <c r="K140" s="102" t="e">
        <f>'1,8 NSP CN'!AB26</f>
        <v>#DIV/0!</v>
      </c>
      <c r="L140" s="102" t="e">
        <f>'1,8 NSP CN'!AE26</f>
        <v>#DIV/0!</v>
      </c>
      <c r="M140" s="102" t="e">
        <f>'1,8 NSP CN'!AH26</f>
        <v>#DIV/0!</v>
      </c>
      <c r="N140" s="102" t="e">
        <f>'1,8 NSP CN'!AK26</f>
        <v>#DIV/0!</v>
      </c>
      <c r="O140" s="159" t="str">
        <f>'1,8 NSP CN'!AN26</f>
        <v/>
      </c>
      <c r="P140" s="1"/>
      <c r="Q140" s="1"/>
    </row>
    <row r="141" spans="1:17" x14ac:dyDescent="0.2">
      <c r="A141" s="2" t="s">
        <v>300</v>
      </c>
      <c r="B141" s="79" t="s">
        <v>112</v>
      </c>
      <c r="C141" s="159" t="str">
        <f>'1,8 NSP CN'!D27</f>
        <v/>
      </c>
      <c r="D141" s="159" t="str">
        <f>'1,8 NSP CN'!G27</f>
        <v/>
      </c>
      <c r="E141" s="102" t="str">
        <f>'1,8 NSP CN'!J27</f>
        <v/>
      </c>
      <c r="F141" s="102" t="str">
        <f>'1,8 NSP CN'!M27</f>
        <v/>
      </c>
      <c r="G141" s="102" t="e">
        <f>'1,8 NSP CN'!P27</f>
        <v>#DIV/0!</v>
      </c>
      <c r="H141" s="102" t="e">
        <f>'1,8 NSP CN'!S27</f>
        <v>#DIV/0!</v>
      </c>
      <c r="I141" s="102" t="e">
        <f>'1,8 NSP CN'!V27</f>
        <v>#DIV/0!</v>
      </c>
      <c r="J141" s="102" t="e">
        <f>'1,8 NSP CN'!Y27</f>
        <v>#DIV/0!</v>
      </c>
      <c r="K141" s="102" t="e">
        <f>'1,8 NSP CN'!AB27</f>
        <v>#DIV/0!</v>
      </c>
      <c r="L141" s="102" t="e">
        <f>'1,8 NSP CN'!AE27</f>
        <v>#DIV/0!</v>
      </c>
      <c r="M141" s="102" t="e">
        <f>'1,8 NSP CN'!AH27</f>
        <v>#DIV/0!</v>
      </c>
      <c r="N141" s="102" t="e">
        <f>'1,8 NSP CN'!AK27</f>
        <v>#DIV/0!</v>
      </c>
      <c r="O141" s="159" t="str">
        <f>'1,8 NSP CN'!AN27</f>
        <v/>
      </c>
      <c r="P141" s="1"/>
      <c r="Q141" s="1"/>
    </row>
    <row r="142" spans="1:17" x14ac:dyDescent="0.15">
      <c r="A142" s="2" t="s">
        <v>300</v>
      </c>
      <c r="B142" s="77" t="s">
        <v>113</v>
      </c>
      <c r="C142" s="159">
        <f>'1,8 NSP CN'!D28</f>
        <v>0.26315789473684209</v>
      </c>
      <c r="D142" s="159">
        <f>'1,8 NSP CN'!G28</f>
        <v>0</v>
      </c>
      <c r="E142" s="102">
        <f>'1,8 NSP CN'!J28</f>
        <v>5.7142857142857141E-2</v>
      </c>
      <c r="F142" s="102">
        <f>'1,8 NSP CN'!M28</f>
        <v>4.5454545454545456E-2</v>
      </c>
      <c r="G142" s="102">
        <f>'1,8 NSP CN'!P28</f>
        <v>0</v>
      </c>
      <c r="H142" s="102" t="e">
        <f>'1,8 NSP CN'!S28</f>
        <v>#DIV/0!</v>
      </c>
      <c r="I142" s="102" t="e">
        <f>'1,8 NSP CN'!V28</f>
        <v>#DIV/0!</v>
      </c>
      <c r="J142" s="102" t="e">
        <f>'1,8 NSP CN'!Y28</f>
        <v>#DIV/0!</v>
      </c>
      <c r="K142" s="102" t="e">
        <f>'1,8 NSP CN'!AB28</f>
        <v>#DIV/0!</v>
      </c>
      <c r="L142" s="102" t="e">
        <f>'1,8 NSP CN'!AE28</f>
        <v>#DIV/0!</v>
      </c>
      <c r="M142" s="102" t="e">
        <f>'1,8 NSP CN'!AH28</f>
        <v>#DIV/0!</v>
      </c>
      <c r="N142" s="102" t="e">
        <f>'1,8 NSP CN'!AK28</f>
        <v>#DIV/0!</v>
      </c>
      <c r="O142" s="159">
        <f>'1,8 NSP CN'!AN28</f>
        <v>6.7796610169491525E-2</v>
      </c>
      <c r="P142" s="1"/>
      <c r="Q142" s="1"/>
    </row>
    <row r="143" spans="1:17" x14ac:dyDescent="0.15">
      <c r="A143" s="2" t="s">
        <v>300</v>
      </c>
      <c r="B143" s="77" t="s">
        <v>114</v>
      </c>
      <c r="C143" s="159">
        <f>'1,8 NSP CN'!D29</f>
        <v>0.13432835820895522</v>
      </c>
      <c r="D143" s="159">
        <f>'1,8 NSP CN'!G29</f>
        <v>9.375E-2</v>
      </c>
      <c r="E143" s="102">
        <f>'1,8 NSP CN'!J29</f>
        <v>0.2</v>
      </c>
      <c r="F143" s="102">
        <f>'1,8 NSP CN'!M29</f>
        <v>0</v>
      </c>
      <c r="G143" s="102">
        <f>'1,8 NSP CN'!P29</f>
        <v>0</v>
      </c>
      <c r="H143" s="102" t="e">
        <f>'1,8 NSP CN'!S29</f>
        <v>#DIV/0!</v>
      </c>
      <c r="I143" s="102" t="e">
        <f>'1,8 NSP CN'!V29</f>
        <v>#DIV/0!</v>
      </c>
      <c r="J143" s="102" t="e">
        <f>'1,8 NSP CN'!Y29</f>
        <v>#DIV/0!</v>
      </c>
      <c r="K143" s="102" t="e">
        <f>'1,8 NSP CN'!AB29</f>
        <v>#DIV/0!</v>
      </c>
      <c r="L143" s="102" t="e">
        <f>'1,8 NSP CN'!AE29</f>
        <v>#DIV/0!</v>
      </c>
      <c r="M143" s="102" t="e">
        <f>'1,8 NSP CN'!AH29</f>
        <v>#DIV/0!</v>
      </c>
      <c r="N143" s="102" t="e">
        <f>'1,8 NSP CN'!AK29</f>
        <v>#DIV/0!</v>
      </c>
      <c r="O143" s="159">
        <f>'1,8 NSP CN'!AN29</f>
        <v>6.25E-2</v>
      </c>
      <c r="P143" s="1"/>
      <c r="Q143" s="1"/>
    </row>
    <row r="144" spans="1:17" x14ac:dyDescent="0.15">
      <c r="A144" s="2" t="s">
        <v>300</v>
      </c>
      <c r="B144" s="77" t="s">
        <v>115</v>
      </c>
      <c r="C144" s="159" t="str">
        <f>'1,8 NSP CN'!D30</f>
        <v/>
      </c>
      <c r="D144" s="159" t="str">
        <f>'1,8 NSP CN'!G30</f>
        <v/>
      </c>
      <c r="E144" s="102" t="str">
        <f>'1,8 NSP CN'!J30</f>
        <v/>
      </c>
      <c r="F144" s="102" t="str">
        <f>'1,8 NSP CN'!M30</f>
        <v/>
      </c>
      <c r="G144" s="102" t="e">
        <f>'1,8 NSP CN'!P30</f>
        <v>#DIV/0!</v>
      </c>
      <c r="H144" s="102" t="e">
        <f>'1,8 NSP CN'!S30</f>
        <v>#DIV/0!</v>
      </c>
      <c r="I144" s="102" t="e">
        <f>'1,8 NSP CN'!V30</f>
        <v>#DIV/0!</v>
      </c>
      <c r="J144" s="102" t="e">
        <f>'1,8 NSP CN'!Y30</f>
        <v>#DIV/0!</v>
      </c>
      <c r="K144" s="102" t="e">
        <f>'1,8 NSP CN'!AB30</f>
        <v>#DIV/0!</v>
      </c>
      <c r="L144" s="102" t="e">
        <f>'1,8 NSP CN'!AE30</f>
        <v>#DIV/0!</v>
      </c>
      <c r="M144" s="102" t="e">
        <f>'1,8 NSP CN'!AH30</f>
        <v>#DIV/0!</v>
      </c>
      <c r="N144" s="102" t="e">
        <f>'1,8 NSP CN'!AK30</f>
        <v>#DIV/0!</v>
      </c>
      <c r="O144" s="159" t="str">
        <f>'1,8 NSP CN'!AN30</f>
        <v/>
      </c>
      <c r="P144" s="1"/>
      <c r="Q144" s="1"/>
    </row>
    <row r="145" spans="1:17" x14ac:dyDescent="0.15">
      <c r="A145" s="2" t="s">
        <v>300</v>
      </c>
      <c r="B145" s="77" t="s">
        <v>116</v>
      </c>
      <c r="C145" s="159" t="str">
        <f>'1,8 NSP CN'!D31</f>
        <v/>
      </c>
      <c r="D145" s="159">
        <f>'1,8 NSP CN'!G31</f>
        <v>3</v>
      </c>
      <c r="E145" s="102">
        <f>'1,8 NSP CN'!J31</f>
        <v>0.36363636363636365</v>
      </c>
      <c r="F145" s="102">
        <f>'1,8 NSP CN'!M31</f>
        <v>0.33333333333333331</v>
      </c>
      <c r="G145" s="102">
        <f>'1,8 NSP CN'!P31</f>
        <v>0.5</v>
      </c>
      <c r="H145" s="102" t="e">
        <f>'1,8 NSP CN'!S31</f>
        <v>#DIV/0!</v>
      </c>
      <c r="I145" s="102" t="e">
        <f>'1,8 NSP CN'!V31</f>
        <v>#DIV/0!</v>
      </c>
      <c r="J145" s="102" t="e">
        <f>'1,8 NSP CN'!Y31</f>
        <v>#DIV/0!</v>
      </c>
      <c r="K145" s="102" t="e">
        <f>'1,8 NSP CN'!AB31</f>
        <v>#DIV/0!</v>
      </c>
      <c r="L145" s="102" t="e">
        <f>'1,8 NSP CN'!AE31</f>
        <v>#DIV/0!</v>
      </c>
      <c r="M145" s="102" t="e">
        <f>'1,8 NSP CN'!AH31</f>
        <v>#DIV/0!</v>
      </c>
      <c r="N145" s="102" t="e">
        <f>'1,8 NSP CN'!AK31</f>
        <v>#DIV/0!</v>
      </c>
      <c r="O145" s="159">
        <f>'1,8 NSP CN'!AN31</f>
        <v>0.69230769230769229</v>
      </c>
      <c r="P145" s="1"/>
      <c r="Q145" s="1"/>
    </row>
    <row r="146" spans="1:17" x14ac:dyDescent="0.15">
      <c r="A146" s="2" t="s">
        <v>300</v>
      </c>
      <c r="B146" s="77" t="s">
        <v>117</v>
      </c>
      <c r="C146" s="159">
        <f>'1,8 NSP CN'!D32</f>
        <v>0.8</v>
      </c>
      <c r="D146" s="159">
        <f>'1,8 NSP CN'!G32</f>
        <v>0.75</v>
      </c>
      <c r="E146" s="102">
        <f>'1,8 NSP CN'!J32</f>
        <v>0.21052631578947367</v>
      </c>
      <c r="F146" s="102">
        <f>'1,8 NSP CN'!M32</f>
        <v>0.13333333333333333</v>
      </c>
      <c r="G146" s="102">
        <f>'1,8 NSP CN'!P32</f>
        <v>6.25E-2</v>
      </c>
      <c r="H146" s="102" t="e">
        <f>'1,8 NSP CN'!S32</f>
        <v>#DIV/0!</v>
      </c>
      <c r="I146" s="102" t="e">
        <f>'1,8 NSP CN'!V32</f>
        <v>#DIV/0!</v>
      </c>
      <c r="J146" s="102" t="e">
        <f>'1,8 NSP CN'!Y32</f>
        <v>#DIV/0!</v>
      </c>
      <c r="K146" s="102" t="e">
        <f>'1,8 NSP CN'!AB32</f>
        <v>#DIV/0!</v>
      </c>
      <c r="L146" s="102" t="e">
        <f>'1,8 NSP CN'!AE32</f>
        <v>#DIV/0!</v>
      </c>
      <c r="M146" s="102" t="e">
        <f>'1,8 NSP CN'!AH32</f>
        <v>#DIV/0!</v>
      </c>
      <c r="N146" s="102" t="e">
        <f>'1,8 NSP CN'!AK32</f>
        <v>#DIV/0!</v>
      </c>
      <c r="O146" s="159">
        <f>'1,8 NSP CN'!AN32</f>
        <v>0.23728813559322035</v>
      </c>
      <c r="P146" s="1"/>
      <c r="Q146" s="1"/>
    </row>
    <row r="147" spans="1:17" x14ac:dyDescent="0.15">
      <c r="A147" s="2" t="s">
        <v>300</v>
      </c>
      <c r="B147" s="80" t="s">
        <v>118</v>
      </c>
      <c r="C147" s="159">
        <f>'1,8 NSP CN'!D33</f>
        <v>2.8571428571428571E-2</v>
      </c>
      <c r="D147" s="159">
        <f>'1,8 NSP CN'!G33</f>
        <v>0.11538461538461539</v>
      </c>
      <c r="E147" s="102">
        <f>'1,8 NSP CN'!J33</f>
        <v>0.12903225806451613</v>
      </c>
      <c r="F147" s="102">
        <f>'1,8 NSP CN'!M33</f>
        <v>5.0847457627118647E-2</v>
      </c>
      <c r="G147" s="102">
        <f>'1,8 NSP CN'!P33</f>
        <v>4.5454545454545456E-2</v>
      </c>
      <c r="H147" s="102" t="e">
        <f>'1,8 NSP CN'!S33</f>
        <v>#DIV/0!</v>
      </c>
      <c r="I147" s="102" t="e">
        <f>'1,8 NSP CN'!V33</f>
        <v>#DIV/0!</v>
      </c>
      <c r="J147" s="102" t="e">
        <f>'1,8 NSP CN'!Y33</f>
        <v>#DIV/0!</v>
      </c>
      <c r="K147" s="102" t="e">
        <f>'1,8 NSP CN'!AB33</f>
        <v>#DIV/0!</v>
      </c>
      <c r="L147" s="102" t="e">
        <f>'1,8 NSP CN'!AE33</f>
        <v>#DIV/0!</v>
      </c>
      <c r="M147" s="102" t="e">
        <f>'1,8 NSP CN'!AH33</f>
        <v>#DIV/0!</v>
      </c>
      <c r="N147" s="102" t="e">
        <f>'1,8 NSP CN'!AK33</f>
        <v>#DIV/0!</v>
      </c>
      <c r="O147" s="159">
        <f>'1,8 NSP CN'!AN33</f>
        <v>6.9364161849710976E-2</v>
      </c>
      <c r="P147" s="1"/>
      <c r="Q147" s="1"/>
    </row>
    <row r="148" spans="1:17" x14ac:dyDescent="0.15">
      <c r="A148" s="2" t="s">
        <v>300</v>
      </c>
      <c r="B148" s="77" t="s">
        <v>119</v>
      </c>
      <c r="C148" s="159">
        <f>'1,8 NSP CN'!D34</f>
        <v>0.10638297872340426</v>
      </c>
      <c r="D148" s="159">
        <f>'1,8 NSP CN'!G34</f>
        <v>0.13333333333333333</v>
      </c>
      <c r="E148" s="102">
        <f>'1,8 NSP CN'!J34</f>
        <v>0.13793103448275862</v>
      </c>
      <c r="F148" s="102">
        <f>'1,8 NSP CN'!M34</f>
        <v>8.6206896551724144E-2</v>
      </c>
      <c r="G148" s="102">
        <f>'1,8 NSP CN'!P34</f>
        <v>7.6923076923076927E-2</v>
      </c>
      <c r="H148" s="102" t="e">
        <f>'1,8 NSP CN'!S34</f>
        <v>#DIV/0!</v>
      </c>
      <c r="I148" s="102" t="e">
        <f>'1,8 NSP CN'!V34</f>
        <v>#DIV/0!</v>
      </c>
      <c r="J148" s="102" t="e">
        <f>'1,8 NSP CN'!Y34</f>
        <v>#DIV/0!</v>
      </c>
      <c r="K148" s="102" t="e">
        <f>'1,8 NSP CN'!AB34</f>
        <v>#DIV/0!</v>
      </c>
      <c r="L148" s="102" t="e">
        <f>'1,8 NSP CN'!AE34</f>
        <v>#DIV/0!</v>
      </c>
      <c r="M148" s="102" t="e">
        <f>'1,8 NSP CN'!AH34</f>
        <v>#DIV/0!</v>
      </c>
      <c r="N148" s="102" t="e">
        <f>'1,8 NSP CN'!AK34</f>
        <v>#DIV/0!</v>
      </c>
      <c r="O148" s="159">
        <f>'1,8 NSP CN'!AN34</f>
        <v>0.11055276381909548</v>
      </c>
      <c r="P148" s="1"/>
      <c r="Q148" s="1"/>
    </row>
    <row r="149" spans="1:17" x14ac:dyDescent="0.15">
      <c r="A149" s="2" t="s">
        <v>300</v>
      </c>
      <c r="B149" s="81" t="s">
        <v>120</v>
      </c>
      <c r="C149" s="159" t="str">
        <f>'1,8 NSP CN'!D35</f>
        <v/>
      </c>
      <c r="D149" s="159">
        <f>'1,8 NSP CN'!G35</f>
        <v>0.25</v>
      </c>
      <c r="E149" s="102">
        <f>'1,8 NSP CN'!J35</f>
        <v>0</v>
      </c>
      <c r="F149" s="102">
        <f>'1,8 NSP CN'!M35</f>
        <v>0.125</v>
      </c>
      <c r="G149" s="102">
        <f>'1,8 NSP CN'!P35</f>
        <v>0</v>
      </c>
      <c r="H149" s="102" t="e">
        <f>'1,8 NSP CN'!S35</f>
        <v>#DIV/0!</v>
      </c>
      <c r="I149" s="102" t="e">
        <f>'1,8 NSP CN'!V35</f>
        <v>#DIV/0!</v>
      </c>
      <c r="J149" s="102" t="e">
        <f>'1,8 NSP CN'!Y35</f>
        <v>#DIV/0!</v>
      </c>
      <c r="K149" s="102" t="e">
        <f>'1,8 NSP CN'!AB35</f>
        <v>#DIV/0!</v>
      </c>
      <c r="L149" s="102" t="e">
        <f>'1,8 NSP CN'!AE35</f>
        <v>#DIV/0!</v>
      </c>
      <c r="M149" s="102" t="e">
        <f>'1,8 NSP CN'!AH35</f>
        <v>#DIV/0!</v>
      </c>
      <c r="N149" s="102" t="e">
        <f>'1,8 NSP CN'!AK35</f>
        <v>#DIV/0!</v>
      </c>
      <c r="O149" s="159">
        <f>'1,8 NSP CN'!AN35</f>
        <v>8.3333333333333329E-2</v>
      </c>
      <c r="P149" s="1"/>
      <c r="Q149" s="1"/>
    </row>
    <row r="150" spans="1:17" x14ac:dyDescent="0.15">
      <c r="A150" s="2" t="s">
        <v>300</v>
      </c>
      <c r="B150" s="82" t="s">
        <v>121</v>
      </c>
      <c r="C150" s="159" t="str">
        <f>'1,8 NSP CN'!D36</f>
        <v/>
      </c>
      <c r="D150" s="159" t="str">
        <f>'1,8 NSP CN'!G36</f>
        <v/>
      </c>
      <c r="E150" s="102" t="str">
        <f>'1,8 NSP CN'!J36</f>
        <v/>
      </c>
      <c r="F150" s="102" t="str">
        <f>'1,8 NSP CN'!M36</f>
        <v/>
      </c>
      <c r="G150" s="102" t="e">
        <f>'1,8 NSP CN'!P36</f>
        <v>#DIV/0!</v>
      </c>
      <c r="H150" s="102" t="e">
        <f>'1,8 NSP CN'!S36</f>
        <v>#DIV/0!</v>
      </c>
      <c r="I150" s="102" t="e">
        <f>'1,8 NSP CN'!V36</f>
        <v>#DIV/0!</v>
      </c>
      <c r="J150" s="102" t="e">
        <f>'1,8 NSP CN'!Y36</f>
        <v>#DIV/0!</v>
      </c>
      <c r="K150" s="102" t="e">
        <f>'1,8 NSP CN'!AB36</f>
        <v>#DIV/0!</v>
      </c>
      <c r="L150" s="102" t="e">
        <f>'1,8 NSP CN'!AE36</f>
        <v>#DIV/0!</v>
      </c>
      <c r="M150" s="102" t="e">
        <f>'1,8 NSP CN'!AH36</f>
        <v>#DIV/0!</v>
      </c>
      <c r="N150" s="102" t="e">
        <f>'1,8 NSP CN'!AK36</f>
        <v>#DIV/0!</v>
      </c>
      <c r="O150" s="159" t="str">
        <f>'1,8 NSP CN'!AN36</f>
        <v/>
      </c>
      <c r="P150" s="1"/>
      <c r="Q150" s="1"/>
    </row>
    <row r="151" spans="1:17" x14ac:dyDescent="0.15">
      <c r="A151" s="2" t="s">
        <v>300</v>
      </c>
      <c r="B151" s="77" t="s">
        <v>122</v>
      </c>
      <c r="C151" s="159" t="str">
        <f>'1,8 NSP CN'!D37</f>
        <v/>
      </c>
      <c r="D151" s="159" t="str">
        <f>'1,8 NSP CN'!G37</f>
        <v/>
      </c>
      <c r="E151" s="102" t="str">
        <f>'1,8 NSP CN'!J37</f>
        <v/>
      </c>
      <c r="F151" s="102" t="str">
        <f>'1,8 NSP CN'!M37</f>
        <v/>
      </c>
      <c r="G151" s="102" t="e">
        <f>'1,8 NSP CN'!P37</f>
        <v>#DIV/0!</v>
      </c>
      <c r="H151" s="102" t="e">
        <f>'1,8 NSP CN'!S37</f>
        <v>#DIV/0!</v>
      </c>
      <c r="I151" s="102" t="e">
        <f>'1,8 NSP CN'!V37</f>
        <v>#DIV/0!</v>
      </c>
      <c r="J151" s="102" t="e">
        <f>'1,8 NSP CN'!Y37</f>
        <v>#DIV/0!</v>
      </c>
      <c r="K151" s="102" t="e">
        <f>'1,8 NSP CN'!AB37</f>
        <v>#DIV/0!</v>
      </c>
      <c r="L151" s="102" t="e">
        <f>'1,8 NSP CN'!AE37</f>
        <v>#DIV/0!</v>
      </c>
      <c r="M151" s="102" t="e">
        <f>'1,8 NSP CN'!AH37</f>
        <v>#DIV/0!</v>
      </c>
      <c r="N151" s="102" t="e">
        <f>'1,8 NSP CN'!AK37</f>
        <v>#DIV/0!</v>
      </c>
      <c r="O151" s="159" t="str">
        <f>'1,8 NSP CN'!AN37</f>
        <v/>
      </c>
      <c r="P151" s="1"/>
      <c r="Q151" s="1"/>
    </row>
    <row r="152" spans="1:17" x14ac:dyDescent="0.15">
      <c r="A152" s="2" t="s">
        <v>300</v>
      </c>
      <c r="B152" s="77" t="s">
        <v>123</v>
      </c>
      <c r="C152" s="159" t="str">
        <f>'1,8 NSP CN'!D38</f>
        <v/>
      </c>
      <c r="D152" s="159" t="str">
        <f>'1,8 NSP CN'!G38</f>
        <v/>
      </c>
      <c r="E152" s="102" t="str">
        <f>'1,8 NSP CN'!J38</f>
        <v/>
      </c>
      <c r="F152" s="102" t="str">
        <f>'1,8 NSP CN'!M38</f>
        <v/>
      </c>
      <c r="G152" s="102" t="e">
        <f>'1,8 NSP CN'!P38</f>
        <v>#DIV/0!</v>
      </c>
      <c r="H152" s="102" t="e">
        <f>'1,8 NSP CN'!S38</f>
        <v>#DIV/0!</v>
      </c>
      <c r="I152" s="102" t="e">
        <f>'1,8 NSP CN'!V38</f>
        <v>#DIV/0!</v>
      </c>
      <c r="J152" s="102" t="e">
        <f>'1,8 NSP CN'!Y38</f>
        <v>#DIV/0!</v>
      </c>
      <c r="K152" s="102" t="e">
        <f>'1,8 NSP CN'!AB38</f>
        <v>#DIV/0!</v>
      </c>
      <c r="L152" s="102" t="e">
        <f>'1,8 NSP CN'!AE38</f>
        <v>#DIV/0!</v>
      </c>
      <c r="M152" s="102" t="e">
        <f>'1,8 NSP CN'!AH38</f>
        <v>#DIV/0!</v>
      </c>
      <c r="N152" s="102" t="e">
        <f>'1,8 NSP CN'!AK38</f>
        <v>#DIV/0!</v>
      </c>
      <c r="O152" s="159" t="str">
        <f>'1,8 NSP CN'!AN38</f>
        <v/>
      </c>
      <c r="P152" s="1"/>
      <c r="Q152" s="1"/>
    </row>
    <row r="153" spans="1:17" x14ac:dyDescent="0.15">
      <c r="A153" s="2" t="s">
        <v>300</v>
      </c>
      <c r="B153" s="77" t="s">
        <v>124</v>
      </c>
      <c r="C153" s="159">
        <f>'1,8 NSP CN'!D39</f>
        <v>0</v>
      </c>
      <c r="D153" s="159">
        <f>'1,8 NSP CN'!G39</f>
        <v>0</v>
      </c>
      <c r="E153" s="102">
        <f>'1,8 NSP CN'!J39</f>
        <v>0</v>
      </c>
      <c r="F153" s="102">
        <f>'1,8 NSP CN'!M39</f>
        <v>7.6923076923076927E-2</v>
      </c>
      <c r="G153" s="102">
        <f>'1,8 NSP CN'!P39</f>
        <v>0</v>
      </c>
      <c r="H153" s="102" t="e">
        <f>'1,8 NSP CN'!S39</f>
        <v>#DIV/0!</v>
      </c>
      <c r="I153" s="102" t="e">
        <f>'1,8 NSP CN'!V39</f>
        <v>#DIV/0!</v>
      </c>
      <c r="J153" s="102" t="e">
        <f>'1,8 NSP CN'!Y39</f>
        <v>#DIV/0!</v>
      </c>
      <c r="K153" s="102" t="e">
        <f>'1,8 NSP CN'!AB39</f>
        <v>#DIV/0!</v>
      </c>
      <c r="L153" s="102" t="e">
        <f>'1,8 NSP CN'!AE39</f>
        <v>#DIV/0!</v>
      </c>
      <c r="M153" s="102" t="e">
        <f>'1,8 NSP CN'!AH39</f>
        <v>#DIV/0!</v>
      </c>
      <c r="N153" s="102" t="e">
        <f>'1,8 NSP CN'!AK39</f>
        <v>#DIV/0!</v>
      </c>
      <c r="O153" s="159">
        <f>'1,8 NSP CN'!AN39</f>
        <v>2.1276595744680851E-2</v>
      </c>
      <c r="P153" s="1"/>
      <c r="Q153" s="1"/>
    </row>
    <row r="154" spans="1:17" x14ac:dyDescent="0.15">
      <c r="A154" s="2" t="s">
        <v>300</v>
      </c>
      <c r="B154" s="77" t="s">
        <v>125</v>
      </c>
      <c r="C154" s="159" t="str">
        <f>'1,8 NSP CN'!D40</f>
        <v/>
      </c>
      <c r="D154" s="159" t="str">
        <f>'1,8 NSP CN'!G40</f>
        <v/>
      </c>
      <c r="E154" s="102" t="str">
        <f>'1,8 NSP CN'!J40</f>
        <v/>
      </c>
      <c r="F154" s="102" t="str">
        <f>'1,8 NSP CN'!M40</f>
        <v/>
      </c>
      <c r="G154" s="102" t="e">
        <f>'1,8 NSP CN'!P40</f>
        <v>#DIV/0!</v>
      </c>
      <c r="H154" s="102" t="e">
        <f>'1,8 NSP CN'!S40</f>
        <v>#DIV/0!</v>
      </c>
      <c r="I154" s="102" t="e">
        <f>'1,8 NSP CN'!V40</f>
        <v>#DIV/0!</v>
      </c>
      <c r="J154" s="102" t="e">
        <f>'1,8 NSP CN'!Y40</f>
        <v>#DIV/0!</v>
      </c>
      <c r="K154" s="102" t="e">
        <f>'1,8 NSP CN'!AB40</f>
        <v>#DIV/0!</v>
      </c>
      <c r="L154" s="102" t="e">
        <f>'1,8 NSP CN'!AE40</f>
        <v>#DIV/0!</v>
      </c>
      <c r="M154" s="102" t="e">
        <f>'1,8 NSP CN'!AH40</f>
        <v>#DIV/0!</v>
      </c>
      <c r="N154" s="102" t="e">
        <f>'1,8 NSP CN'!AK40</f>
        <v>#DIV/0!</v>
      </c>
      <c r="O154" s="159" t="str">
        <f>'1,8 NSP CN'!AN40</f>
        <v/>
      </c>
      <c r="P154" s="1"/>
      <c r="Q154" s="1"/>
    </row>
    <row r="155" spans="1:17" x14ac:dyDescent="0.15">
      <c r="A155" s="2" t="s">
        <v>300</v>
      </c>
      <c r="B155" s="77" t="s">
        <v>126</v>
      </c>
      <c r="C155" s="159" t="str">
        <f>'1,8 NSP CN'!D41</f>
        <v/>
      </c>
      <c r="D155" s="159" t="str">
        <f>'1,8 NSP CN'!G41</f>
        <v/>
      </c>
      <c r="E155" s="102" t="str">
        <f>'1,8 NSP CN'!J41</f>
        <v/>
      </c>
      <c r="F155" s="102" t="str">
        <f>'1,8 NSP CN'!M41</f>
        <v/>
      </c>
      <c r="G155" s="102" t="e">
        <f>'1,8 NSP CN'!P41</f>
        <v>#DIV/0!</v>
      </c>
      <c r="H155" s="102" t="e">
        <f>'1,8 NSP CN'!S41</f>
        <v>#DIV/0!</v>
      </c>
      <c r="I155" s="102" t="e">
        <f>'1,8 NSP CN'!V41</f>
        <v>#DIV/0!</v>
      </c>
      <c r="J155" s="102" t="e">
        <f>'1,8 NSP CN'!Y41</f>
        <v>#DIV/0!</v>
      </c>
      <c r="K155" s="102" t="e">
        <f>'1,8 NSP CN'!AB41</f>
        <v>#DIV/0!</v>
      </c>
      <c r="L155" s="102" t="e">
        <f>'1,8 NSP CN'!AE41</f>
        <v>#DIV/0!</v>
      </c>
      <c r="M155" s="102" t="e">
        <f>'1,8 NSP CN'!AH41</f>
        <v>#DIV/0!</v>
      </c>
      <c r="N155" s="102" t="e">
        <f>'1,8 NSP CN'!AK41</f>
        <v>#DIV/0!</v>
      </c>
      <c r="O155" s="159" t="str">
        <f>'1,8 NSP CN'!AN41</f>
        <v/>
      </c>
      <c r="P155" s="1"/>
      <c r="Q155" s="1"/>
    </row>
    <row r="156" spans="1:17" x14ac:dyDescent="0.15">
      <c r="A156" s="2" t="s">
        <v>300</v>
      </c>
      <c r="B156" s="77" t="s">
        <v>127</v>
      </c>
      <c r="C156" s="159" t="str">
        <f>'1,8 NSP CN'!D42</f>
        <v/>
      </c>
      <c r="D156" s="159" t="str">
        <f>'1,8 NSP CN'!G42</f>
        <v/>
      </c>
      <c r="E156" s="102" t="str">
        <f>'1,8 NSP CN'!J42</f>
        <v/>
      </c>
      <c r="F156" s="102" t="str">
        <f>'1,8 NSP CN'!M42</f>
        <v/>
      </c>
      <c r="G156" s="102" t="e">
        <f>'1,8 NSP CN'!P42</f>
        <v>#DIV/0!</v>
      </c>
      <c r="H156" s="102" t="e">
        <f>'1,8 NSP CN'!S42</f>
        <v>#DIV/0!</v>
      </c>
      <c r="I156" s="102" t="e">
        <f>'1,8 NSP CN'!V42</f>
        <v>#DIV/0!</v>
      </c>
      <c r="J156" s="102" t="e">
        <f>'1,8 NSP CN'!Y42</f>
        <v>#DIV/0!</v>
      </c>
      <c r="K156" s="102" t="e">
        <f>'1,8 NSP CN'!AB42</f>
        <v>#DIV/0!</v>
      </c>
      <c r="L156" s="102" t="e">
        <f>'1,8 NSP CN'!AE42</f>
        <v>#DIV/0!</v>
      </c>
      <c r="M156" s="102" t="e">
        <f>'1,8 NSP CN'!AH42</f>
        <v>#DIV/0!</v>
      </c>
      <c r="N156" s="102" t="e">
        <f>'1,8 NSP CN'!AK42</f>
        <v>#DIV/0!</v>
      </c>
      <c r="O156" s="159" t="str">
        <f>'1,8 NSP CN'!AN42</f>
        <v/>
      </c>
      <c r="P156" s="1"/>
      <c r="Q156" s="1"/>
    </row>
    <row r="157" spans="1:17" x14ac:dyDescent="0.15">
      <c r="A157" s="2" t="s">
        <v>300</v>
      </c>
      <c r="B157" s="77" t="s">
        <v>128</v>
      </c>
      <c r="C157" s="159" t="str">
        <f>'1,8 NSP CN'!D43</f>
        <v/>
      </c>
      <c r="D157" s="159" t="str">
        <f>'1,8 NSP CN'!G43</f>
        <v/>
      </c>
      <c r="E157" s="102" t="str">
        <f>'1,8 NSP CN'!J43</f>
        <v/>
      </c>
      <c r="F157" s="102" t="str">
        <f>'1,8 NSP CN'!M43</f>
        <v/>
      </c>
      <c r="G157" s="102" t="e">
        <f>'1,8 NSP CN'!P43</f>
        <v>#DIV/0!</v>
      </c>
      <c r="H157" s="102" t="e">
        <f>'1,8 NSP CN'!S43</f>
        <v>#DIV/0!</v>
      </c>
      <c r="I157" s="102" t="e">
        <f>'1,8 NSP CN'!V43</f>
        <v>#DIV/0!</v>
      </c>
      <c r="J157" s="102" t="e">
        <f>'1,8 NSP CN'!Y43</f>
        <v>#DIV/0!</v>
      </c>
      <c r="K157" s="102" t="e">
        <f>'1,8 NSP CN'!AB43</f>
        <v>#DIV/0!</v>
      </c>
      <c r="L157" s="102" t="e">
        <f>'1,8 NSP CN'!AE43</f>
        <v>#DIV/0!</v>
      </c>
      <c r="M157" s="102" t="e">
        <f>'1,8 NSP CN'!AH43</f>
        <v>#DIV/0!</v>
      </c>
      <c r="N157" s="102" t="e">
        <f>'1,8 NSP CN'!AK43</f>
        <v>#DIV/0!</v>
      </c>
      <c r="O157" s="159" t="str">
        <f>'1,8 NSP CN'!AN43</f>
        <v/>
      </c>
      <c r="P157" s="1"/>
      <c r="Q157" s="1"/>
    </row>
    <row r="158" spans="1:17" x14ac:dyDescent="0.15">
      <c r="A158" s="2" t="s">
        <v>300</v>
      </c>
      <c r="B158" s="76" t="s">
        <v>129</v>
      </c>
      <c r="C158" s="159">
        <f>'1,8 NSP CN'!D44</f>
        <v>9.7222222222222224E-2</v>
      </c>
      <c r="D158" s="159">
        <f>'1,8 NSP CN'!G44</f>
        <v>9.3023255813953487E-2</v>
      </c>
      <c r="E158" s="102">
        <f>'1,8 NSP CN'!J44</f>
        <v>0.109375</v>
      </c>
      <c r="F158" s="102">
        <f>'1,8 NSP CN'!M44</f>
        <v>3.3333333333333333E-2</v>
      </c>
      <c r="G158" s="102">
        <f>'1,8 NSP CN'!P44</f>
        <v>2.5000000000000001E-2</v>
      </c>
      <c r="H158" s="102" t="e">
        <f>'1,8 NSP CN'!S44</f>
        <v>#DIV/0!</v>
      </c>
      <c r="I158" s="102" t="e">
        <f>'1,8 NSP CN'!V44</f>
        <v>#DIV/0!</v>
      </c>
      <c r="J158" s="102" t="e">
        <f>'1,8 NSP CN'!Y44</f>
        <v>#DIV/0!</v>
      </c>
      <c r="K158" s="102" t="e">
        <f>'1,8 NSP CN'!AB44</f>
        <v>#DIV/0!</v>
      </c>
      <c r="L158" s="102" t="e">
        <f>'1,8 NSP CN'!AE44</f>
        <v>#DIV/0!</v>
      </c>
      <c r="M158" s="102" t="e">
        <f>'1,8 NSP CN'!AH44</f>
        <v>#DIV/0!</v>
      </c>
      <c r="N158" s="102" t="e">
        <f>'1,8 NSP CN'!AK44</f>
        <v>#DIV/0!</v>
      </c>
      <c r="O158" s="159">
        <f>'1,8 NSP CN'!AN44</f>
        <v>8.0321285140562249E-2</v>
      </c>
      <c r="P158" s="1"/>
      <c r="Q158" s="1"/>
    </row>
    <row r="159" spans="1:17" x14ac:dyDescent="0.15">
      <c r="A159" s="2" t="s">
        <v>300</v>
      </c>
      <c r="B159" s="82" t="s">
        <v>130</v>
      </c>
      <c r="C159" s="159">
        <f>'1,8 NSP CN'!D45</f>
        <v>0.26744186046511625</v>
      </c>
      <c r="D159" s="159">
        <f>'1,8 NSP CN'!G45</f>
        <v>0.24074074074074073</v>
      </c>
      <c r="E159" s="102">
        <f>'1,8 NSP CN'!J45</f>
        <v>0.14522821576763487</v>
      </c>
      <c r="F159" s="102">
        <f>'1,8 NSP CN'!M45</f>
        <v>0.13744075829383887</v>
      </c>
      <c r="G159" s="102">
        <f>'1,8 NSP CN'!P45</f>
        <v>9.2307692307692313E-2</v>
      </c>
      <c r="H159" s="102" t="e">
        <f>'1,8 NSP CN'!S45</f>
        <v>#DIV/0!</v>
      </c>
      <c r="I159" s="102" t="e">
        <f>'1,8 NSP CN'!V45</f>
        <v>#DIV/0!</v>
      </c>
      <c r="J159" s="102" t="e">
        <f>'1,8 NSP CN'!Y45</f>
        <v>#DIV/0!</v>
      </c>
      <c r="K159" s="102" t="e">
        <f>'1,8 NSP CN'!AB45</f>
        <v>#DIV/0!</v>
      </c>
      <c r="L159" s="102" t="e">
        <f>'1,8 NSP CN'!AE45</f>
        <v>#DIV/0!</v>
      </c>
      <c r="M159" s="102" t="e">
        <f>'1,8 NSP CN'!AH45</f>
        <v>#DIV/0!</v>
      </c>
      <c r="N159" s="102" t="e">
        <f>'1,8 NSP CN'!AK45</f>
        <v>#DIV/0!</v>
      </c>
      <c r="O159" s="159">
        <f>'1,8 NSP CN'!AN45</f>
        <v>0.17806935332708529</v>
      </c>
      <c r="P159" s="1"/>
      <c r="Q159" s="1"/>
    </row>
    <row r="160" spans="1:17" x14ac:dyDescent="0.15">
      <c r="A160" s="2" t="s">
        <v>300</v>
      </c>
      <c r="B160" s="82" t="s">
        <v>131</v>
      </c>
      <c r="C160" s="159" t="str">
        <f>'1,8 NSP CN'!D46</f>
        <v/>
      </c>
      <c r="D160" s="159" t="str">
        <f>'1,8 NSP CN'!G46</f>
        <v/>
      </c>
      <c r="E160" s="102" t="str">
        <f>'1,8 NSP CN'!J46</f>
        <v/>
      </c>
      <c r="F160" s="102" t="str">
        <f>'1,8 NSP CN'!M46</f>
        <v/>
      </c>
      <c r="G160" s="102" t="e">
        <f>'1,8 NSP CN'!P46</f>
        <v>#DIV/0!</v>
      </c>
      <c r="H160" s="102" t="e">
        <f>'1,8 NSP CN'!S46</f>
        <v>#DIV/0!</v>
      </c>
      <c r="I160" s="102" t="e">
        <f>'1,8 NSP CN'!V46</f>
        <v>#DIV/0!</v>
      </c>
      <c r="J160" s="102" t="e">
        <f>'1,8 NSP CN'!Y46</f>
        <v>#DIV/0!</v>
      </c>
      <c r="K160" s="102" t="e">
        <f>'1,8 NSP CN'!AB46</f>
        <v>#DIV/0!</v>
      </c>
      <c r="L160" s="102" t="e">
        <f>'1,8 NSP CN'!AE46</f>
        <v>#DIV/0!</v>
      </c>
      <c r="M160" s="102" t="e">
        <f>'1,8 NSP CN'!AH46</f>
        <v>#DIV/0!</v>
      </c>
      <c r="N160" s="102" t="e">
        <f>'1,8 NSP CN'!AK46</f>
        <v>#DIV/0!</v>
      </c>
      <c r="O160" s="159" t="str">
        <f>'1,8 NSP CN'!AN46</f>
        <v/>
      </c>
      <c r="P160" s="1"/>
      <c r="Q160" s="1"/>
    </row>
    <row r="161" spans="1:17" x14ac:dyDescent="0.2">
      <c r="A161" s="2" t="s">
        <v>300</v>
      </c>
      <c r="B161" s="79" t="s">
        <v>132</v>
      </c>
      <c r="C161" s="159" t="str">
        <f>'1,8 NSP CN'!D47</f>
        <v/>
      </c>
      <c r="D161" s="159" t="str">
        <f>'1,8 NSP CN'!G47</f>
        <v/>
      </c>
      <c r="E161" s="102" t="str">
        <f>'1,8 NSP CN'!J47</f>
        <v/>
      </c>
      <c r="F161" s="102" t="str">
        <f>'1,8 NSP CN'!M47</f>
        <v/>
      </c>
      <c r="G161" s="102" t="e">
        <f>'1,8 NSP CN'!P47</f>
        <v>#DIV/0!</v>
      </c>
      <c r="H161" s="102" t="e">
        <f>'1,8 NSP CN'!S47</f>
        <v>#DIV/0!</v>
      </c>
      <c r="I161" s="102" t="e">
        <f>'1,8 NSP CN'!V47</f>
        <v>#DIV/0!</v>
      </c>
      <c r="J161" s="102" t="e">
        <f>'1,8 NSP CN'!Y47</f>
        <v>#DIV/0!</v>
      </c>
      <c r="K161" s="102" t="e">
        <f>'1,8 NSP CN'!AB47</f>
        <v>#DIV/0!</v>
      </c>
      <c r="L161" s="102" t="e">
        <f>'1,8 NSP CN'!AE47</f>
        <v>#DIV/0!</v>
      </c>
      <c r="M161" s="102" t="e">
        <f>'1,8 NSP CN'!AH47</f>
        <v>#DIV/0!</v>
      </c>
      <c r="N161" s="102" t="e">
        <f>'1,8 NSP CN'!AK47</f>
        <v>#DIV/0!</v>
      </c>
      <c r="O161" s="159" t="str">
        <f>'1,8 NSP CN'!AN47</f>
        <v/>
      </c>
      <c r="P161" s="1"/>
      <c r="Q161" s="1"/>
    </row>
    <row r="162" spans="1:17" x14ac:dyDescent="0.15">
      <c r="A162" s="2" t="s">
        <v>300</v>
      </c>
      <c r="B162" s="77" t="s">
        <v>133</v>
      </c>
      <c r="C162" s="159">
        <f>'1,8 NSP CN'!D48</f>
        <v>0.19312169312169311</v>
      </c>
      <c r="D162" s="159">
        <f>'1,8 NSP CN'!G48</f>
        <v>0.15596330275229359</v>
      </c>
      <c r="E162" s="102">
        <f>'1,8 NSP CN'!J48</f>
        <v>0.15740740740740741</v>
      </c>
      <c r="F162" s="102">
        <f>'1,8 NSP CN'!M48</f>
        <v>8.6065573770491802E-2</v>
      </c>
      <c r="G162" s="102">
        <f>'1,8 NSP CN'!P48</f>
        <v>0.11666666666666667</v>
      </c>
      <c r="H162" s="102" t="e">
        <f>'1,8 NSP CN'!S48</f>
        <v>#DIV/0!</v>
      </c>
      <c r="I162" s="102" t="e">
        <f>'1,8 NSP CN'!V48</f>
        <v>#DIV/0!</v>
      </c>
      <c r="J162" s="102" t="e">
        <f>'1,8 NSP CN'!Y48</f>
        <v>#DIV/0!</v>
      </c>
      <c r="K162" s="102" t="e">
        <f>'1,8 NSP CN'!AB48</f>
        <v>#DIV/0!</v>
      </c>
      <c r="L162" s="102" t="e">
        <f>'1,8 NSP CN'!AE48</f>
        <v>#DIV/0!</v>
      </c>
      <c r="M162" s="102" t="e">
        <f>'1,8 NSP CN'!AH48</f>
        <v>#DIV/0!</v>
      </c>
      <c r="N162" s="102" t="e">
        <f>'1,8 NSP CN'!AK48</f>
        <v>#DIV/0!</v>
      </c>
      <c r="O162" s="159">
        <f>'1,8 NSP CN'!AN48</f>
        <v>0.15075376884422109</v>
      </c>
      <c r="P162" s="1"/>
      <c r="Q162" s="1"/>
    </row>
    <row r="163" spans="1:17" x14ac:dyDescent="0.15">
      <c r="A163" s="2" t="s">
        <v>300</v>
      </c>
      <c r="B163" s="77" t="s">
        <v>134</v>
      </c>
      <c r="C163" s="159">
        <f>'1,8 NSP CN'!D49</f>
        <v>0.18604651162790697</v>
      </c>
      <c r="D163" s="159">
        <f>'1,8 NSP CN'!G49</f>
        <v>0.16279069767441862</v>
      </c>
      <c r="E163" s="102">
        <f>'1,8 NSP CN'!J49</f>
        <v>0.15</v>
      </c>
      <c r="F163" s="102">
        <f>'1,8 NSP CN'!M49</f>
        <v>0.17543859649122806</v>
      </c>
      <c r="G163" s="102">
        <f>'1,8 NSP CN'!P49</f>
        <v>7.5471698113207544E-2</v>
      </c>
      <c r="H163" s="102" t="e">
        <f>'1,8 NSP CN'!S49</f>
        <v>#DIV/0!</v>
      </c>
      <c r="I163" s="102" t="e">
        <f>'1,8 NSP CN'!V49</f>
        <v>#DIV/0!</v>
      </c>
      <c r="J163" s="102" t="e">
        <f>'1,8 NSP CN'!Y49</f>
        <v>#DIV/0!</v>
      </c>
      <c r="K163" s="102" t="e">
        <f>'1,8 NSP CN'!AB49</f>
        <v>#DIV/0!</v>
      </c>
      <c r="L163" s="102" t="e">
        <f>'1,8 NSP CN'!AE49</f>
        <v>#DIV/0!</v>
      </c>
      <c r="M163" s="102" t="e">
        <f>'1,8 NSP CN'!AH49</f>
        <v>#DIV/0!</v>
      </c>
      <c r="N163" s="102" t="e">
        <f>'1,8 NSP CN'!AK49</f>
        <v>#DIV/0!</v>
      </c>
      <c r="O163" s="159">
        <f>'1,8 NSP CN'!AN49</f>
        <v>0.1484375</v>
      </c>
      <c r="P163" s="1"/>
      <c r="Q163" s="1"/>
    </row>
    <row r="164" spans="1:17" x14ac:dyDescent="0.15">
      <c r="A164" s="2" t="s">
        <v>300</v>
      </c>
      <c r="B164" s="77" t="s">
        <v>135</v>
      </c>
      <c r="C164" s="159">
        <f>'1,8 NSP CN'!D50</f>
        <v>0.21212121212121213</v>
      </c>
      <c r="D164" s="159">
        <f>'1,8 NSP CN'!G50</f>
        <v>0.21</v>
      </c>
      <c r="E164" s="102">
        <f>'1,8 NSP CN'!J50</f>
        <v>0.125</v>
      </c>
      <c r="F164" s="102">
        <f>'1,8 NSP CN'!M50</f>
        <v>8.4745762711864403E-2</v>
      </c>
      <c r="G164" s="102">
        <f>'1,8 NSP CN'!P50</f>
        <v>0.13</v>
      </c>
      <c r="H164" s="102" t="e">
        <f>'1,8 NSP CN'!S50</f>
        <v>#DIV/0!</v>
      </c>
      <c r="I164" s="102" t="e">
        <f>'1,8 NSP CN'!V50</f>
        <v>#DIV/0!</v>
      </c>
      <c r="J164" s="102" t="e">
        <f>'1,8 NSP CN'!Y50</f>
        <v>#DIV/0!</v>
      </c>
      <c r="K164" s="102" t="e">
        <f>'1,8 NSP CN'!AB50</f>
        <v>#DIV/0!</v>
      </c>
      <c r="L164" s="102" t="e">
        <f>'1,8 NSP CN'!AE50</f>
        <v>#DIV/0!</v>
      </c>
      <c r="M164" s="102" t="e">
        <f>'1,8 NSP CN'!AH50</f>
        <v>#DIV/0!</v>
      </c>
      <c r="N164" s="102" t="e">
        <f>'1,8 NSP CN'!AK50</f>
        <v>#DIV/0!</v>
      </c>
      <c r="O164" s="159">
        <f>'1,8 NSP CN'!AN50</f>
        <v>0.15081967213114755</v>
      </c>
      <c r="P164" s="1"/>
      <c r="Q164" s="1"/>
    </row>
    <row r="165" spans="1:17" x14ac:dyDescent="0.15">
      <c r="A165" s="2" t="s">
        <v>300</v>
      </c>
      <c r="B165" s="77" t="s">
        <v>136</v>
      </c>
      <c r="C165" s="159">
        <f>'1,8 NSP CN'!D51</f>
        <v>0.16949152542372881</v>
      </c>
      <c r="D165" s="159">
        <f>'1,8 NSP CN'!G51</f>
        <v>0.31034482758620691</v>
      </c>
      <c r="E165" s="102">
        <f>'1,8 NSP CN'!J51</f>
        <v>5.2631578947368418E-2</v>
      </c>
      <c r="F165" s="102">
        <f>'1,8 NSP CN'!M51</f>
        <v>0.17857142857142858</v>
      </c>
      <c r="G165" s="102">
        <f>'1,8 NSP CN'!P51</f>
        <v>0.11764705882352941</v>
      </c>
      <c r="H165" s="102" t="e">
        <f>'1,8 NSP CN'!S51</f>
        <v>#DIV/0!</v>
      </c>
      <c r="I165" s="102" t="e">
        <f>'1,8 NSP CN'!V51</f>
        <v>#DIV/0!</v>
      </c>
      <c r="J165" s="102" t="e">
        <f>'1,8 NSP CN'!Y51</f>
        <v>#DIV/0!</v>
      </c>
      <c r="K165" s="102" t="e">
        <f>'1,8 NSP CN'!AB51</f>
        <v>#DIV/0!</v>
      </c>
      <c r="L165" s="102" t="e">
        <f>'1,8 NSP CN'!AE51</f>
        <v>#DIV/0!</v>
      </c>
      <c r="M165" s="102" t="e">
        <f>'1,8 NSP CN'!AH51</f>
        <v>#DIV/0!</v>
      </c>
      <c r="N165" s="102" t="e">
        <f>'1,8 NSP CN'!AK51</f>
        <v>#DIV/0!</v>
      </c>
      <c r="O165" s="159">
        <f>'1,8 NSP CN'!AN51</f>
        <v>0.15957446808510639</v>
      </c>
      <c r="P165" s="1"/>
      <c r="Q165" s="1"/>
    </row>
    <row r="166" spans="1:17" x14ac:dyDescent="0.15">
      <c r="A166" s="2" t="s">
        <v>300</v>
      </c>
      <c r="B166" s="77" t="s">
        <v>137</v>
      </c>
      <c r="C166" s="159" t="str">
        <f>'1,8 NSP CN'!D52</f>
        <v/>
      </c>
      <c r="D166" s="159" t="str">
        <f>'1,8 NSP CN'!G52</f>
        <v/>
      </c>
      <c r="E166" s="102" t="str">
        <f>'1,8 NSP CN'!J52</f>
        <v/>
      </c>
      <c r="F166" s="102" t="str">
        <f>'1,8 NSP CN'!M52</f>
        <v/>
      </c>
      <c r="G166" s="102" t="e">
        <f>'1,8 NSP CN'!P52</f>
        <v>#DIV/0!</v>
      </c>
      <c r="H166" s="102" t="e">
        <f>'1,8 NSP CN'!S52</f>
        <v>#DIV/0!</v>
      </c>
      <c r="I166" s="102" t="e">
        <f>'1,8 NSP CN'!V52</f>
        <v>#DIV/0!</v>
      </c>
      <c r="J166" s="102" t="e">
        <f>'1,8 NSP CN'!Y52</f>
        <v>#DIV/0!</v>
      </c>
      <c r="K166" s="102" t="e">
        <f>'1,8 NSP CN'!AB52</f>
        <v>#DIV/0!</v>
      </c>
      <c r="L166" s="102" t="e">
        <f>'1,8 NSP CN'!AE52</f>
        <v>#DIV/0!</v>
      </c>
      <c r="M166" s="102" t="e">
        <f>'1,8 NSP CN'!AH52</f>
        <v>#DIV/0!</v>
      </c>
      <c r="N166" s="102" t="e">
        <f>'1,8 NSP CN'!AK52</f>
        <v>#DIV/0!</v>
      </c>
      <c r="O166" s="159" t="str">
        <f>'1,8 NSP CN'!AN52</f>
        <v/>
      </c>
      <c r="P166" s="1"/>
      <c r="Q166" s="1"/>
    </row>
    <row r="167" spans="1:17" x14ac:dyDescent="0.15">
      <c r="A167" s="2" t="s">
        <v>300</v>
      </c>
      <c r="B167" s="77" t="s">
        <v>138</v>
      </c>
      <c r="C167" s="159" t="str">
        <f>'1,8 NSP CN'!D53</f>
        <v/>
      </c>
      <c r="D167" s="159" t="str">
        <f>'1,8 NSP CN'!G53</f>
        <v/>
      </c>
      <c r="E167" s="102" t="str">
        <f>'1,8 NSP CN'!J53</f>
        <v/>
      </c>
      <c r="F167" s="102" t="str">
        <f>'1,8 NSP CN'!M53</f>
        <v/>
      </c>
      <c r="G167" s="102" t="e">
        <f>'1,8 NSP CN'!P53</f>
        <v>#DIV/0!</v>
      </c>
      <c r="H167" s="102" t="e">
        <f>'1,8 NSP CN'!S53</f>
        <v>#DIV/0!</v>
      </c>
      <c r="I167" s="102" t="e">
        <f>'1,8 NSP CN'!V53</f>
        <v>#DIV/0!</v>
      </c>
      <c r="J167" s="102" t="e">
        <f>'1,8 NSP CN'!Y53</f>
        <v>#DIV/0!</v>
      </c>
      <c r="K167" s="102" t="e">
        <f>'1,8 NSP CN'!AB53</f>
        <v>#DIV/0!</v>
      </c>
      <c r="L167" s="102" t="e">
        <f>'1,8 NSP CN'!AE53</f>
        <v>#DIV/0!</v>
      </c>
      <c r="M167" s="102" t="e">
        <f>'1,8 NSP CN'!AH53</f>
        <v>#DIV/0!</v>
      </c>
      <c r="N167" s="102" t="e">
        <f>'1,8 NSP CN'!AK53</f>
        <v>#DIV/0!</v>
      </c>
      <c r="O167" s="159" t="str">
        <f>'1,8 NSP CN'!AN53</f>
        <v/>
      </c>
      <c r="P167" s="1"/>
      <c r="Q167" s="1"/>
    </row>
    <row r="168" spans="1:17" x14ac:dyDescent="0.15">
      <c r="A168" s="2" t="s">
        <v>300</v>
      </c>
      <c r="B168" s="77" t="s">
        <v>139</v>
      </c>
      <c r="C168" s="159" t="str">
        <f>'1,8 NSP CN'!D54</f>
        <v/>
      </c>
      <c r="D168" s="159" t="str">
        <f>'1,8 NSP CN'!G54</f>
        <v/>
      </c>
      <c r="E168" s="102" t="str">
        <f>'1,8 NSP CN'!J54</f>
        <v/>
      </c>
      <c r="F168" s="102" t="str">
        <f>'1,8 NSP CN'!M54</f>
        <v/>
      </c>
      <c r="G168" s="102" t="e">
        <f>'1,8 NSP CN'!P54</f>
        <v>#DIV/0!</v>
      </c>
      <c r="H168" s="102" t="e">
        <f>'1,8 NSP CN'!S54</f>
        <v>#DIV/0!</v>
      </c>
      <c r="I168" s="102" t="e">
        <f>'1,8 NSP CN'!V54</f>
        <v>#DIV/0!</v>
      </c>
      <c r="J168" s="102" t="e">
        <f>'1,8 NSP CN'!Y54</f>
        <v>#DIV/0!</v>
      </c>
      <c r="K168" s="102" t="e">
        <f>'1,8 NSP CN'!AB54</f>
        <v>#DIV/0!</v>
      </c>
      <c r="L168" s="102" t="e">
        <f>'1,8 NSP CN'!AE54</f>
        <v>#DIV/0!</v>
      </c>
      <c r="M168" s="102" t="e">
        <f>'1,8 NSP CN'!AH54</f>
        <v>#DIV/0!</v>
      </c>
      <c r="N168" s="102" t="e">
        <f>'1,8 NSP CN'!AK54</f>
        <v>#DIV/0!</v>
      </c>
      <c r="O168" s="159" t="str">
        <f>'1,8 NSP CN'!AN54</f>
        <v/>
      </c>
      <c r="P168" s="1"/>
      <c r="Q168" s="1"/>
    </row>
    <row r="169" spans="1:17" x14ac:dyDescent="0.15">
      <c r="A169" s="2" t="s">
        <v>300</v>
      </c>
      <c r="B169" s="76" t="s">
        <v>140</v>
      </c>
      <c r="C169" s="159" t="str">
        <f>'1,8 NSP CN'!D55</f>
        <v/>
      </c>
      <c r="D169" s="159" t="str">
        <f>'1,8 NSP CN'!G55</f>
        <v/>
      </c>
      <c r="E169" s="102" t="str">
        <f>'1,8 NSP CN'!J55</f>
        <v/>
      </c>
      <c r="F169" s="102" t="str">
        <f>'1,8 NSP CN'!M55</f>
        <v/>
      </c>
      <c r="G169" s="102" t="e">
        <f>'1,8 NSP CN'!P55</f>
        <v>#DIV/0!</v>
      </c>
      <c r="H169" s="102" t="e">
        <f>'1,8 NSP CN'!S55</f>
        <v>#DIV/0!</v>
      </c>
      <c r="I169" s="102" t="e">
        <f>'1,8 NSP CN'!V55</f>
        <v>#DIV/0!</v>
      </c>
      <c r="J169" s="102" t="e">
        <f>'1,8 NSP CN'!Y55</f>
        <v>#DIV/0!</v>
      </c>
      <c r="K169" s="102" t="e">
        <f>'1,8 NSP CN'!AB55</f>
        <v>#DIV/0!</v>
      </c>
      <c r="L169" s="102" t="e">
        <f>'1,8 NSP CN'!AE55</f>
        <v>#DIV/0!</v>
      </c>
      <c r="M169" s="102" t="e">
        <f>'1,8 NSP CN'!AH55</f>
        <v>#DIV/0!</v>
      </c>
      <c r="N169" s="102" t="e">
        <f>'1,8 NSP CN'!AK55</f>
        <v>#DIV/0!</v>
      </c>
      <c r="O169" s="159" t="str">
        <f>'1,8 NSP CN'!AN55</f>
        <v/>
      </c>
      <c r="P169" s="1"/>
      <c r="Q169" s="1"/>
    </row>
    <row r="170" spans="1:17" x14ac:dyDescent="0.15">
      <c r="A170" s="2" t="s">
        <v>300</v>
      </c>
      <c r="B170" s="78" t="s">
        <v>141</v>
      </c>
      <c r="C170" s="159" t="str">
        <f>'1,8 NSP CN'!D56</f>
        <v/>
      </c>
      <c r="D170" s="159" t="str">
        <f>'1,8 NSP CN'!G56</f>
        <v/>
      </c>
      <c r="E170" s="102" t="str">
        <f>'1,8 NSP CN'!J56</f>
        <v/>
      </c>
      <c r="F170" s="102" t="str">
        <f>'1,8 NSP CN'!M56</f>
        <v/>
      </c>
      <c r="G170" s="102" t="e">
        <f>'1,8 NSP CN'!P56</f>
        <v>#DIV/0!</v>
      </c>
      <c r="H170" s="102" t="e">
        <f>'1,8 NSP CN'!S56</f>
        <v>#DIV/0!</v>
      </c>
      <c r="I170" s="102" t="e">
        <f>'1,8 NSP CN'!V56</f>
        <v>#DIV/0!</v>
      </c>
      <c r="J170" s="102" t="e">
        <f>'1,8 NSP CN'!Y56</f>
        <v>#DIV/0!</v>
      </c>
      <c r="K170" s="102" t="e">
        <f>'1,8 NSP CN'!AB56</f>
        <v>#DIV/0!</v>
      </c>
      <c r="L170" s="102" t="e">
        <f>'1,8 NSP CN'!AE56</f>
        <v>#DIV/0!</v>
      </c>
      <c r="M170" s="102" t="e">
        <f>'1,8 NSP CN'!AH56</f>
        <v>#DIV/0!</v>
      </c>
      <c r="N170" s="102" t="e">
        <f>'1,8 NSP CN'!AK56</f>
        <v>#DIV/0!</v>
      </c>
      <c r="O170" s="159" t="str">
        <f>'1,8 NSP CN'!AN56</f>
        <v/>
      </c>
      <c r="P170" s="1"/>
      <c r="Q170" s="1"/>
    </row>
    <row r="171" spans="1:17" x14ac:dyDescent="0.25">
      <c r="A171" s="2" t="s">
        <v>300</v>
      </c>
      <c r="B171" s="2" t="s">
        <v>200</v>
      </c>
      <c r="C171" s="159">
        <f>'1,8 NSP CN'!D57</f>
        <v>0.17666021921341071</v>
      </c>
      <c r="D171" s="159">
        <f>'1,8 NSP CN'!G57</f>
        <v>0.16739319965126417</v>
      </c>
      <c r="E171" s="102">
        <f>'1,8 NSP CN'!J57</f>
        <v>0.14502307185234015</v>
      </c>
      <c r="F171" s="102">
        <f>'1,8 NSP CN'!M57</f>
        <v>0.10130246020260492</v>
      </c>
      <c r="G171" s="102">
        <f>'1,8 NSP CN'!P57</f>
        <v>7.8632478632478631E-2</v>
      </c>
      <c r="H171" s="102" t="e">
        <f>'1,8 NSP CN'!S57</f>
        <v>#DIV/0!</v>
      </c>
      <c r="I171" s="102" t="e">
        <f>'1,8 NSP CN'!V57</f>
        <v>#DIV/0!</v>
      </c>
      <c r="J171" s="102" t="e">
        <f>'1,8 NSP CN'!Y57</f>
        <v>#DIV/0!</v>
      </c>
      <c r="K171" s="102" t="e">
        <f>'1,8 NSP CN'!AB57</f>
        <v>#DIV/0!</v>
      </c>
      <c r="L171" s="102" t="e">
        <f>'1,8 NSP CN'!AE57</f>
        <v>#DIV/0!</v>
      </c>
      <c r="M171" s="102" t="e">
        <f>'1,8 NSP CN'!AH57</f>
        <v>#DIV/0!</v>
      </c>
      <c r="N171" s="102" t="e">
        <f>'1,8 NSP CN'!AK57</f>
        <v>#DIV/0!</v>
      </c>
      <c r="O171" s="159">
        <f>'1,8 NSP CN'!AN57</f>
        <v>0.13565834195359835</v>
      </c>
      <c r="P171" s="1"/>
      <c r="Q171" s="1"/>
    </row>
    <row r="172" spans="1:17" ht="27" x14ac:dyDescent="0.25">
      <c r="A172" s="2" t="s">
        <v>35</v>
      </c>
      <c r="B172" s="17" t="s">
        <v>169</v>
      </c>
      <c r="C172" s="109" t="s">
        <v>187</v>
      </c>
      <c r="D172" s="149" t="s">
        <v>188</v>
      </c>
      <c r="E172" s="1" t="s">
        <v>189</v>
      </c>
      <c r="F172" s="5" t="s">
        <v>190</v>
      </c>
      <c r="G172" s="1" t="s">
        <v>191</v>
      </c>
      <c r="H172" s="5" t="s">
        <v>192</v>
      </c>
      <c r="I172" s="1" t="s">
        <v>193</v>
      </c>
      <c r="J172" s="5" t="s">
        <v>194</v>
      </c>
      <c r="K172" s="1" t="s">
        <v>195</v>
      </c>
      <c r="L172" s="5" t="s">
        <v>196</v>
      </c>
      <c r="M172" s="1" t="s">
        <v>197</v>
      </c>
      <c r="N172" s="5" t="s">
        <v>198</v>
      </c>
      <c r="O172" s="109" t="s">
        <v>4</v>
      </c>
      <c r="P172" s="1"/>
      <c r="Q172" s="1"/>
    </row>
    <row r="173" spans="1:17" ht="27" x14ac:dyDescent="0.15">
      <c r="A173" s="2" t="s">
        <v>301</v>
      </c>
      <c r="B173" s="76" t="s">
        <v>87</v>
      </c>
      <c r="C173" s="159">
        <f>'1,8 NSP CONTROL'!D2</f>
        <v>0.2857142857142857</v>
      </c>
      <c r="D173" s="159">
        <f>'1,8 NSP CONTROL'!G2</f>
        <v>0.14285714285714285</v>
      </c>
      <c r="E173" s="102">
        <f>'1,8 NSP CN'!J59</f>
        <v>0</v>
      </c>
      <c r="F173" s="102">
        <f>'1,8 NSP CN'!M59</f>
        <v>0</v>
      </c>
      <c r="G173" s="102">
        <f>'1,8 NSP CN'!P59</f>
        <v>0</v>
      </c>
      <c r="H173" s="102">
        <f>'1,8 NSP CN'!S59</f>
        <v>0</v>
      </c>
      <c r="I173" s="102">
        <f>'1,8 NSP CN'!V59</f>
        <v>0</v>
      </c>
      <c r="J173" s="102">
        <f>'1,8 NSP CN'!Y59</f>
        <v>0</v>
      </c>
      <c r="K173" s="102">
        <f>'1,8 NSP CN'!AB59</f>
        <v>0</v>
      </c>
      <c r="L173" s="102">
        <f>'1,8 NSP CN'!AE59</f>
        <v>0</v>
      </c>
      <c r="M173" s="102">
        <f>'1,8 NSP CN'!AH59</f>
        <v>0</v>
      </c>
      <c r="N173" s="102">
        <f>'1,8 NSP CN'!AK59</f>
        <v>0</v>
      </c>
      <c r="O173" s="159">
        <f>'1,8 NSP CONTROL'!AN2</f>
        <v>0.15377777777777779</v>
      </c>
      <c r="P173" s="1"/>
      <c r="Q173" s="1"/>
    </row>
    <row r="174" spans="1:17" ht="27" x14ac:dyDescent="0.15">
      <c r="A174" s="2" t="s">
        <v>301</v>
      </c>
      <c r="B174" s="77" t="s">
        <v>88</v>
      </c>
      <c r="C174" s="159">
        <f>'1,8 NSP CONTROL'!D3</f>
        <v>8.6206896551724144E-2</v>
      </c>
      <c r="D174" s="159">
        <f>'1,8 NSP CONTROL'!G3</f>
        <v>9.0909090909090912E-2</v>
      </c>
      <c r="E174" s="102">
        <f>'1,8 NSP CN'!J60</f>
        <v>0</v>
      </c>
      <c r="F174" s="102">
        <f>'1,8 NSP CN'!M60</f>
        <v>0</v>
      </c>
      <c r="G174" s="102">
        <f>'1,8 NSP CN'!P60</f>
        <v>0</v>
      </c>
      <c r="H174" s="102">
        <f>'1,8 NSP CN'!S60</f>
        <v>0</v>
      </c>
      <c r="I174" s="102">
        <f>'1,8 NSP CN'!V60</f>
        <v>0</v>
      </c>
      <c r="J174" s="102">
        <f>'1,8 NSP CN'!Y60</f>
        <v>0</v>
      </c>
      <c r="K174" s="102">
        <f>'1,8 NSP CN'!AB60</f>
        <v>0</v>
      </c>
      <c r="L174" s="102">
        <f>'1,8 NSP CN'!AE60</f>
        <v>0</v>
      </c>
      <c r="M174" s="102">
        <f>'1,8 NSP CN'!AH60</f>
        <v>0</v>
      </c>
      <c r="N174" s="102">
        <f>'1,8 NSP CN'!AK60</f>
        <v>0</v>
      </c>
      <c r="O174" s="159">
        <f>'1,8 NSP CONTROL'!AN3</f>
        <v>8.9835728952772073E-2</v>
      </c>
      <c r="P174" s="1"/>
      <c r="Q174" s="1"/>
    </row>
    <row r="175" spans="1:17" ht="27" x14ac:dyDescent="0.15">
      <c r="A175" s="2" t="s">
        <v>301</v>
      </c>
      <c r="B175" s="77" t="s">
        <v>89</v>
      </c>
      <c r="C175" s="159" t="str">
        <f>'1,8 NSP CONTROL'!D4</f>
        <v/>
      </c>
      <c r="D175" s="159" t="str">
        <f>'1,8 NSP CONTROL'!G4</f>
        <v/>
      </c>
      <c r="E175" s="102">
        <f>'1,8 NSP CN'!J61</f>
        <v>0</v>
      </c>
      <c r="F175" s="102">
        <f>'1,8 NSP CN'!M61</f>
        <v>0</v>
      </c>
      <c r="G175" s="102">
        <f>'1,8 NSP CN'!P61</f>
        <v>0</v>
      </c>
      <c r="H175" s="102">
        <f>'1,8 NSP CN'!S61</f>
        <v>0</v>
      </c>
      <c r="I175" s="102">
        <f>'1,8 NSP CN'!V61</f>
        <v>0</v>
      </c>
      <c r="J175" s="102">
        <f>'1,8 NSP CN'!Y61</f>
        <v>0</v>
      </c>
      <c r="K175" s="102">
        <f>'1,8 NSP CN'!AB61</f>
        <v>0</v>
      </c>
      <c r="L175" s="102">
        <f>'1,8 NSP CN'!AE61</f>
        <v>0</v>
      </c>
      <c r="M175" s="102">
        <f>'1,8 NSP CN'!AH61</f>
        <v>0</v>
      </c>
      <c r="N175" s="102">
        <f>'1,8 NSP CN'!AK61</f>
        <v>0</v>
      </c>
      <c r="O175" s="159" t="str">
        <f>'1,8 NSP CONTROL'!AN4</f>
        <v/>
      </c>
      <c r="P175" s="1"/>
      <c r="Q175" s="1"/>
    </row>
    <row r="176" spans="1:17" ht="27" x14ac:dyDescent="0.15">
      <c r="A176" s="2" t="s">
        <v>301</v>
      </c>
      <c r="B176" s="77" t="s">
        <v>90</v>
      </c>
      <c r="C176" s="159" t="str">
        <f>'1,8 NSP CONTROL'!D5</f>
        <v/>
      </c>
      <c r="D176" s="159" t="str">
        <f>'1,8 NSP CONTROL'!G5</f>
        <v/>
      </c>
      <c r="E176" s="102">
        <f>'1,8 NSP CN'!J62</f>
        <v>0</v>
      </c>
      <c r="F176" s="102">
        <f>'1,8 NSP CN'!M62</f>
        <v>0</v>
      </c>
      <c r="G176" s="102">
        <f>'1,8 NSP CN'!P62</f>
        <v>0</v>
      </c>
      <c r="H176" s="102">
        <f>'1,8 NSP CN'!S62</f>
        <v>0</v>
      </c>
      <c r="I176" s="102">
        <f>'1,8 NSP CN'!V62</f>
        <v>0</v>
      </c>
      <c r="J176" s="102">
        <f>'1,8 NSP CN'!Y62</f>
        <v>0</v>
      </c>
      <c r="K176" s="102">
        <f>'1,8 NSP CN'!AB62</f>
        <v>0</v>
      </c>
      <c r="L176" s="102">
        <f>'1,8 NSP CN'!AE62</f>
        <v>0</v>
      </c>
      <c r="M176" s="102">
        <f>'1,8 NSP CN'!AH62</f>
        <v>0</v>
      </c>
      <c r="N176" s="102">
        <f>'1,8 NSP CN'!AK62</f>
        <v>0</v>
      </c>
      <c r="O176" s="159" t="str">
        <f>'1,8 NSP CONTROL'!AN5</f>
        <v/>
      </c>
      <c r="P176" s="1"/>
      <c r="Q176" s="1"/>
    </row>
    <row r="177" spans="1:17" ht="27" x14ac:dyDescent="0.15">
      <c r="A177" s="2" t="s">
        <v>301</v>
      </c>
      <c r="B177" s="77" t="s">
        <v>91</v>
      </c>
      <c r="C177" s="159" t="str">
        <f>'1,8 NSP CONTROL'!D6</f>
        <v/>
      </c>
      <c r="D177" s="159" t="str">
        <f>'1,8 NSP CONTROL'!G6</f>
        <v/>
      </c>
      <c r="E177" s="102">
        <f>'1,8 NSP CN'!J63</f>
        <v>0</v>
      </c>
      <c r="F177" s="102">
        <f>'1,8 NSP CN'!M63</f>
        <v>0</v>
      </c>
      <c r="G177" s="102">
        <f>'1,8 NSP CN'!P63</f>
        <v>0</v>
      </c>
      <c r="H177" s="102">
        <f>'1,8 NSP CN'!S63</f>
        <v>0</v>
      </c>
      <c r="I177" s="102">
        <f>'1,8 NSP CN'!V63</f>
        <v>0</v>
      </c>
      <c r="J177" s="102">
        <f>'1,8 NSP CN'!Y63</f>
        <v>0</v>
      </c>
      <c r="K177" s="102">
        <f>'1,8 NSP CN'!AB63</f>
        <v>0</v>
      </c>
      <c r="L177" s="102">
        <f>'1,8 NSP CN'!AE63</f>
        <v>0</v>
      </c>
      <c r="M177" s="102">
        <f>'1,8 NSP CN'!AH63</f>
        <v>0</v>
      </c>
      <c r="N177" s="102">
        <f>'1,8 NSP CN'!AK63</f>
        <v>0</v>
      </c>
      <c r="O177" s="159" t="str">
        <f>'1,8 NSP CONTROL'!AN6</f>
        <v/>
      </c>
      <c r="P177" s="1"/>
      <c r="Q177" s="1"/>
    </row>
    <row r="178" spans="1:17" ht="27" x14ac:dyDescent="0.15">
      <c r="A178" s="2" t="s">
        <v>301</v>
      </c>
      <c r="B178" s="77" t="s">
        <v>92</v>
      </c>
      <c r="C178" s="159">
        <f>'1,8 NSP CONTROL'!D7</f>
        <v>0.20833333333333334</v>
      </c>
      <c r="D178" s="159">
        <f>'1,8 NSP CONTROL'!G7</f>
        <v>0.16666666666666666</v>
      </c>
      <c r="E178" s="102">
        <f>'1,8 NSP CN'!J64</f>
        <v>0</v>
      </c>
      <c r="F178" s="102">
        <f>'1,8 NSP CN'!M64</f>
        <v>0</v>
      </c>
      <c r="G178" s="102">
        <f>'1,8 NSP CN'!P64</f>
        <v>0</v>
      </c>
      <c r="H178" s="102">
        <f>'1,8 NSP CN'!S64</f>
        <v>0</v>
      </c>
      <c r="I178" s="102">
        <f>'1,8 NSP CN'!V64</f>
        <v>0</v>
      </c>
      <c r="J178" s="102">
        <f>'1,8 NSP CN'!Y64</f>
        <v>0</v>
      </c>
      <c r="K178" s="102">
        <f>'1,8 NSP CN'!AB64</f>
        <v>0</v>
      </c>
      <c r="L178" s="102">
        <f>'1,8 NSP CN'!AE64</f>
        <v>0</v>
      </c>
      <c r="M178" s="102">
        <f>'1,8 NSP CN'!AH64</f>
        <v>0</v>
      </c>
      <c r="N178" s="102">
        <f>'1,8 NSP CN'!AK64</f>
        <v>0</v>
      </c>
      <c r="O178" s="159">
        <f>'1,8 NSP CONTROL'!AN7</f>
        <v>8.4745762711864403E-2</v>
      </c>
      <c r="P178" s="1"/>
      <c r="Q178" s="1"/>
    </row>
    <row r="179" spans="1:17" ht="27" x14ac:dyDescent="0.15">
      <c r="A179" s="2" t="s">
        <v>301</v>
      </c>
      <c r="B179" s="77" t="s">
        <v>93</v>
      </c>
      <c r="C179" s="159">
        <f>'1,8 NSP CONTROL'!D8</f>
        <v>6.043956043956044E-2</v>
      </c>
      <c r="D179" s="159">
        <f>'1,8 NSP CONTROL'!G8</f>
        <v>6.7567567567567571E-3</v>
      </c>
      <c r="E179" s="102">
        <f>'1,8 NSP CN'!J65</f>
        <v>0</v>
      </c>
      <c r="F179" s="102">
        <f>'1,8 NSP CN'!M65</f>
        <v>0</v>
      </c>
      <c r="G179" s="102">
        <f>'1,8 NSP CN'!P65</f>
        <v>0</v>
      </c>
      <c r="H179" s="102">
        <f>'1,8 NSP CN'!S65</f>
        <v>0</v>
      </c>
      <c r="I179" s="102">
        <f>'1,8 NSP CN'!V65</f>
        <v>0</v>
      </c>
      <c r="J179" s="102">
        <f>'1,8 NSP CN'!Y65</f>
        <v>0</v>
      </c>
      <c r="K179" s="102">
        <f>'1,8 NSP CN'!AB65</f>
        <v>0</v>
      </c>
      <c r="L179" s="102">
        <f>'1,8 NSP CN'!AE65</f>
        <v>0</v>
      </c>
      <c r="M179" s="102">
        <f>'1,8 NSP CN'!AH65</f>
        <v>0</v>
      </c>
      <c r="N179" s="102">
        <f>'1,8 NSP CN'!AK65</f>
        <v>0</v>
      </c>
      <c r="O179" s="159">
        <f>'1,8 NSP CONTROL'!AN8</f>
        <v>4.6783625730994149E-2</v>
      </c>
      <c r="P179" s="1"/>
      <c r="Q179" s="1"/>
    </row>
    <row r="180" spans="1:17" ht="27" x14ac:dyDescent="0.15">
      <c r="A180" s="2" t="s">
        <v>301</v>
      </c>
      <c r="B180" s="77" t="s">
        <v>94</v>
      </c>
      <c r="C180" s="159">
        <f>'1,8 NSP CONTROL'!D9</f>
        <v>2.8169014084507043E-2</v>
      </c>
      <c r="D180" s="159">
        <f>'1,8 NSP CONTROL'!G9</f>
        <v>2.5974025974025976E-2</v>
      </c>
      <c r="E180" s="102">
        <f>'1,8 NSP CN'!J66</f>
        <v>0</v>
      </c>
      <c r="F180" s="102">
        <f>'1,8 NSP CN'!M66</f>
        <v>0</v>
      </c>
      <c r="G180" s="102">
        <f>'1,8 NSP CN'!P66</f>
        <v>0</v>
      </c>
      <c r="H180" s="102">
        <f>'1,8 NSP CN'!S66</f>
        <v>0</v>
      </c>
      <c r="I180" s="102">
        <f>'1,8 NSP CN'!V66</f>
        <v>0</v>
      </c>
      <c r="J180" s="102">
        <f>'1,8 NSP CN'!Y66</f>
        <v>0</v>
      </c>
      <c r="K180" s="102">
        <f>'1,8 NSP CN'!AB66</f>
        <v>0</v>
      </c>
      <c r="L180" s="102">
        <f>'1,8 NSP CN'!AE66</f>
        <v>0</v>
      </c>
      <c r="M180" s="102">
        <f>'1,8 NSP CN'!AH66</f>
        <v>0</v>
      </c>
      <c r="N180" s="102">
        <f>'1,8 NSP CN'!AK66</f>
        <v>0</v>
      </c>
      <c r="O180" s="159">
        <f>'1,8 NSP CONTROL'!AN9</f>
        <v>2.6239067055393587E-2</v>
      </c>
      <c r="P180" s="1"/>
      <c r="Q180" s="1"/>
    </row>
    <row r="181" spans="1:17" ht="27" x14ac:dyDescent="0.15">
      <c r="A181" s="2" t="s">
        <v>301</v>
      </c>
      <c r="B181" s="77" t="s">
        <v>95</v>
      </c>
      <c r="C181" s="159" t="str">
        <f>'1,8 NSP CONTROL'!D10</f>
        <v/>
      </c>
      <c r="D181" s="159" t="str">
        <f>'1,8 NSP CONTROL'!G10</f>
        <v/>
      </c>
      <c r="E181" s="102">
        <f>'1,8 NSP CN'!J67</f>
        <v>0</v>
      </c>
      <c r="F181" s="102">
        <f>'1,8 NSP CN'!M67</f>
        <v>0</v>
      </c>
      <c r="G181" s="102">
        <f>'1,8 NSP CN'!P67</f>
        <v>0</v>
      </c>
      <c r="H181" s="102">
        <f>'1,8 NSP CN'!S67</f>
        <v>0</v>
      </c>
      <c r="I181" s="102">
        <f>'1,8 NSP CN'!V67</f>
        <v>0</v>
      </c>
      <c r="J181" s="102">
        <f>'1,8 NSP CN'!Y67</f>
        <v>0</v>
      </c>
      <c r="K181" s="102">
        <f>'1,8 NSP CN'!AB67</f>
        <v>0</v>
      </c>
      <c r="L181" s="102">
        <f>'1,8 NSP CN'!AE67</f>
        <v>0</v>
      </c>
      <c r="M181" s="102">
        <f>'1,8 NSP CN'!AH67</f>
        <v>0</v>
      </c>
      <c r="N181" s="102">
        <f>'1,8 NSP CN'!AK67</f>
        <v>0</v>
      </c>
      <c r="O181" s="159" t="str">
        <f>'1,8 NSP CONTROL'!AN10</f>
        <v/>
      </c>
      <c r="P181" s="1"/>
      <c r="Q181" s="1"/>
    </row>
    <row r="182" spans="1:17" ht="27" x14ac:dyDescent="0.15">
      <c r="A182" s="2" t="s">
        <v>301</v>
      </c>
      <c r="B182" s="77" t="s">
        <v>96</v>
      </c>
      <c r="C182" s="159" t="str">
        <f>'1,8 NSP CONTROL'!D11</f>
        <v/>
      </c>
      <c r="D182" s="159" t="str">
        <f>'1,8 NSP CONTROL'!G11</f>
        <v/>
      </c>
      <c r="E182" s="102">
        <f>'1,8 NSP CN'!J68</f>
        <v>0</v>
      </c>
      <c r="F182" s="102">
        <f>'1,8 NSP CN'!M68</f>
        <v>0</v>
      </c>
      <c r="G182" s="102">
        <f>'1,8 NSP CN'!P68</f>
        <v>0</v>
      </c>
      <c r="H182" s="102">
        <f>'1,8 NSP CN'!S68</f>
        <v>0</v>
      </c>
      <c r="I182" s="102">
        <f>'1,8 NSP CN'!V68</f>
        <v>0</v>
      </c>
      <c r="J182" s="102">
        <f>'1,8 NSP CN'!Y68</f>
        <v>0</v>
      </c>
      <c r="K182" s="102">
        <f>'1,8 NSP CN'!AB68</f>
        <v>0</v>
      </c>
      <c r="L182" s="102">
        <f>'1,8 NSP CN'!AE68</f>
        <v>0</v>
      </c>
      <c r="M182" s="102">
        <f>'1,8 NSP CN'!AH68</f>
        <v>0</v>
      </c>
      <c r="N182" s="102">
        <f>'1,8 NSP CN'!AK68</f>
        <v>0</v>
      </c>
      <c r="O182" s="159" t="str">
        <f>'1,8 NSP CONTROL'!AN11</f>
        <v/>
      </c>
      <c r="P182" s="1"/>
      <c r="Q182" s="1"/>
    </row>
    <row r="183" spans="1:17" ht="27" x14ac:dyDescent="0.15">
      <c r="A183" s="2" t="s">
        <v>301</v>
      </c>
      <c r="B183" s="77" t="s">
        <v>97</v>
      </c>
      <c r="C183" s="159">
        <f>'1,8 NSP CONTROL'!D12</f>
        <v>0.2</v>
      </c>
      <c r="D183" s="159" t="str">
        <f>'1,8 NSP CONTROL'!G12</f>
        <v/>
      </c>
      <c r="E183" s="102">
        <f>'1,8 NSP CN'!J69</f>
        <v>0</v>
      </c>
      <c r="F183" s="102">
        <f>'1,8 NSP CN'!M69</f>
        <v>0</v>
      </c>
      <c r="G183" s="102">
        <f>'1,8 NSP CN'!P69</f>
        <v>0</v>
      </c>
      <c r="H183" s="102">
        <f>'1,8 NSP CN'!S69</f>
        <v>0</v>
      </c>
      <c r="I183" s="102">
        <f>'1,8 NSP CN'!V69</f>
        <v>0</v>
      </c>
      <c r="J183" s="102">
        <f>'1,8 NSP CN'!Y69</f>
        <v>0</v>
      </c>
      <c r="K183" s="102">
        <f>'1,8 NSP CN'!AB69</f>
        <v>0</v>
      </c>
      <c r="L183" s="102">
        <f>'1,8 NSP CN'!AE69</f>
        <v>0</v>
      </c>
      <c r="M183" s="102">
        <f>'1,8 NSP CN'!AH69</f>
        <v>0</v>
      </c>
      <c r="N183" s="102">
        <f>'1,8 NSP CN'!AK69</f>
        <v>0</v>
      </c>
      <c r="O183" s="159">
        <f>'1,8 NSP CONTROL'!AN12</f>
        <v>0.13461538461538461</v>
      </c>
      <c r="P183" s="1"/>
      <c r="Q183" s="1"/>
    </row>
    <row r="184" spans="1:17" ht="27" x14ac:dyDescent="0.15">
      <c r="A184" s="2" t="s">
        <v>301</v>
      </c>
      <c r="B184" s="77" t="s">
        <v>98</v>
      </c>
      <c r="C184" s="159" t="str">
        <f>'1,8 NSP CONTROL'!D13</f>
        <v/>
      </c>
      <c r="D184" s="159" t="str">
        <f>'1,8 NSP CONTROL'!G13</f>
        <v/>
      </c>
      <c r="E184" s="102">
        <f>'1,8 NSP CN'!J70</f>
        <v>0</v>
      </c>
      <c r="F184" s="102">
        <f>'1,8 NSP CN'!M70</f>
        <v>0</v>
      </c>
      <c r="G184" s="102">
        <f>'1,8 NSP CN'!P70</f>
        <v>0</v>
      </c>
      <c r="H184" s="102">
        <f>'1,8 NSP CN'!S70</f>
        <v>0</v>
      </c>
      <c r="I184" s="102">
        <f>'1,8 NSP CN'!V70</f>
        <v>0</v>
      </c>
      <c r="J184" s="102">
        <f>'1,8 NSP CN'!Y70</f>
        <v>0</v>
      </c>
      <c r="K184" s="102">
        <f>'1,8 NSP CN'!AB70</f>
        <v>0</v>
      </c>
      <c r="L184" s="102">
        <f>'1,8 NSP CN'!AE70</f>
        <v>0</v>
      </c>
      <c r="M184" s="102">
        <f>'1,8 NSP CN'!AH70</f>
        <v>0</v>
      </c>
      <c r="N184" s="102">
        <f>'1,8 NSP CN'!AK70</f>
        <v>0</v>
      </c>
      <c r="O184" s="159" t="str">
        <f>'1,8 NSP CONTROL'!AN13</f>
        <v/>
      </c>
      <c r="P184" s="1"/>
      <c r="Q184" s="1"/>
    </row>
    <row r="185" spans="1:17" ht="27" x14ac:dyDescent="0.15">
      <c r="A185" s="2" t="s">
        <v>301</v>
      </c>
      <c r="B185" s="77" t="s">
        <v>99</v>
      </c>
      <c r="C185" s="159" t="str">
        <f>'1,8 NSP CONTROL'!D14</f>
        <v/>
      </c>
      <c r="D185" s="159" t="str">
        <f>'1,8 NSP CONTROL'!G14</f>
        <v/>
      </c>
      <c r="E185" s="102">
        <f>'1,8 NSP CN'!J71</f>
        <v>0</v>
      </c>
      <c r="F185" s="102">
        <f>'1,8 NSP CN'!M71</f>
        <v>0</v>
      </c>
      <c r="G185" s="102">
        <f>'1,8 NSP CN'!P71</f>
        <v>0</v>
      </c>
      <c r="H185" s="102">
        <f>'1,8 NSP CN'!S71</f>
        <v>0</v>
      </c>
      <c r="I185" s="102">
        <f>'1,8 NSP CN'!V71</f>
        <v>0</v>
      </c>
      <c r="J185" s="102">
        <f>'1,8 NSP CN'!Y71</f>
        <v>0</v>
      </c>
      <c r="K185" s="102">
        <f>'1,8 NSP CN'!AB71</f>
        <v>0</v>
      </c>
      <c r="L185" s="102">
        <f>'1,8 NSP CN'!AE71</f>
        <v>0</v>
      </c>
      <c r="M185" s="102">
        <f>'1,8 NSP CN'!AH71</f>
        <v>0</v>
      </c>
      <c r="N185" s="102">
        <f>'1,8 NSP CN'!AK71</f>
        <v>0</v>
      </c>
      <c r="O185" s="159" t="str">
        <f>'1,8 NSP CONTROL'!AN14</f>
        <v/>
      </c>
      <c r="P185" s="1"/>
      <c r="Q185" s="1"/>
    </row>
    <row r="186" spans="1:17" ht="27" x14ac:dyDescent="0.15">
      <c r="A186" s="2" t="s">
        <v>301</v>
      </c>
      <c r="B186" s="78" t="s">
        <v>100</v>
      </c>
      <c r="C186" s="159" t="str">
        <f>'1,8 NSP CONTROL'!D15</f>
        <v/>
      </c>
      <c r="D186" s="159" t="str">
        <f>'1,8 NSP CONTROL'!G15</f>
        <v/>
      </c>
      <c r="E186" s="102">
        <f>'1,8 NSP CN'!J72</f>
        <v>0</v>
      </c>
      <c r="F186" s="102">
        <f>'1,8 NSP CN'!M72</f>
        <v>0</v>
      </c>
      <c r="G186" s="102">
        <f>'1,8 NSP CN'!P72</f>
        <v>0</v>
      </c>
      <c r="H186" s="102">
        <f>'1,8 NSP CN'!S72</f>
        <v>0</v>
      </c>
      <c r="I186" s="102">
        <f>'1,8 NSP CN'!V72</f>
        <v>0</v>
      </c>
      <c r="J186" s="102">
        <f>'1,8 NSP CN'!Y72</f>
        <v>0</v>
      </c>
      <c r="K186" s="102">
        <f>'1,8 NSP CN'!AB72</f>
        <v>0</v>
      </c>
      <c r="L186" s="102">
        <f>'1,8 NSP CN'!AE72</f>
        <v>0</v>
      </c>
      <c r="M186" s="102">
        <f>'1,8 NSP CN'!AH72</f>
        <v>0</v>
      </c>
      <c r="N186" s="102">
        <f>'1,8 NSP CN'!AK72</f>
        <v>0</v>
      </c>
      <c r="O186" s="159" t="str">
        <f>'1,8 NSP CONTROL'!AN15</f>
        <v/>
      </c>
      <c r="P186" s="1"/>
      <c r="Q186" s="1"/>
    </row>
    <row r="187" spans="1:17" ht="27" x14ac:dyDescent="0.15">
      <c r="A187" s="2" t="s">
        <v>301</v>
      </c>
      <c r="B187" s="77" t="s">
        <v>101</v>
      </c>
      <c r="C187" s="159" t="str">
        <f>'1,8 NSP CONTROL'!D16</f>
        <v/>
      </c>
      <c r="D187" s="159" t="str">
        <f>'1,8 NSP CONTROL'!G16</f>
        <v/>
      </c>
      <c r="E187" s="102">
        <f>'1,8 NSP CN'!J73</f>
        <v>0</v>
      </c>
      <c r="F187" s="102">
        <f>'1,8 NSP CN'!M73</f>
        <v>0</v>
      </c>
      <c r="G187" s="102">
        <f>'1,8 NSP CN'!P73</f>
        <v>0</v>
      </c>
      <c r="H187" s="102">
        <f>'1,8 NSP CN'!S73</f>
        <v>0</v>
      </c>
      <c r="I187" s="102">
        <f>'1,8 NSP CN'!V73</f>
        <v>0</v>
      </c>
      <c r="J187" s="102">
        <f>'1,8 NSP CN'!Y73</f>
        <v>0</v>
      </c>
      <c r="K187" s="102">
        <f>'1,8 NSP CN'!AB73</f>
        <v>0</v>
      </c>
      <c r="L187" s="102">
        <f>'1,8 NSP CN'!AE73</f>
        <v>0</v>
      </c>
      <c r="M187" s="102">
        <f>'1,8 NSP CN'!AH73</f>
        <v>0</v>
      </c>
      <c r="N187" s="102">
        <f>'1,8 NSP CN'!AK73</f>
        <v>0</v>
      </c>
      <c r="O187" s="159" t="str">
        <f>'1,8 NSP CONTROL'!AN16</f>
        <v/>
      </c>
      <c r="P187" s="1"/>
      <c r="Q187" s="1"/>
    </row>
    <row r="188" spans="1:17" ht="27" x14ac:dyDescent="0.15">
      <c r="A188" s="2" t="s">
        <v>301</v>
      </c>
      <c r="B188" s="77" t="s">
        <v>102</v>
      </c>
      <c r="C188" s="159">
        <f>'1,8 NSP CONTROL'!D17</f>
        <v>0</v>
      </c>
      <c r="D188" s="159" t="str">
        <f>'1,8 NSP CONTROL'!G17</f>
        <v/>
      </c>
      <c r="E188" s="102">
        <f>'1,8 NSP CN'!J74</f>
        <v>0</v>
      </c>
      <c r="F188" s="102">
        <f>'1,8 NSP CN'!M74</f>
        <v>0</v>
      </c>
      <c r="G188" s="102">
        <f>'1,8 NSP CN'!P74</f>
        <v>0</v>
      </c>
      <c r="H188" s="102">
        <f>'1,8 NSP CN'!S74</f>
        <v>0</v>
      </c>
      <c r="I188" s="102">
        <f>'1,8 NSP CN'!V74</f>
        <v>0</v>
      </c>
      <c r="J188" s="102">
        <f>'1,8 NSP CN'!Y74</f>
        <v>0</v>
      </c>
      <c r="K188" s="102">
        <f>'1,8 NSP CN'!AB74</f>
        <v>0</v>
      </c>
      <c r="L188" s="102">
        <f>'1,8 NSP CN'!AE74</f>
        <v>0</v>
      </c>
      <c r="M188" s="102">
        <f>'1,8 NSP CN'!AH74</f>
        <v>0</v>
      </c>
      <c r="N188" s="102">
        <f>'1,8 NSP CN'!AK74</f>
        <v>0</v>
      </c>
      <c r="O188" s="159">
        <f>'1,8 NSP CONTROL'!AN17</f>
        <v>0</v>
      </c>
      <c r="P188" s="1"/>
      <c r="Q188" s="1"/>
    </row>
    <row r="189" spans="1:17" ht="27" x14ac:dyDescent="0.15">
      <c r="A189" s="2" t="s">
        <v>301</v>
      </c>
      <c r="B189" s="77" t="s">
        <v>103</v>
      </c>
      <c r="C189" s="159" t="str">
        <f>'1,8 NSP CONTROL'!D18</f>
        <v/>
      </c>
      <c r="D189" s="159" t="str">
        <f>'1,8 NSP CONTROL'!G18</f>
        <v/>
      </c>
      <c r="E189" s="102">
        <f>'1,8 NSP CN'!J75</f>
        <v>0</v>
      </c>
      <c r="F189" s="102">
        <f>'1,8 NSP CN'!M75</f>
        <v>0</v>
      </c>
      <c r="G189" s="102">
        <f>'1,8 NSP CN'!P75</f>
        <v>0</v>
      </c>
      <c r="H189" s="102">
        <f>'1,8 NSP CN'!S75</f>
        <v>0</v>
      </c>
      <c r="I189" s="102">
        <f>'1,8 NSP CN'!V75</f>
        <v>0</v>
      </c>
      <c r="J189" s="102">
        <f>'1,8 NSP CN'!Y75</f>
        <v>0</v>
      </c>
      <c r="K189" s="102">
        <f>'1,8 NSP CN'!AB75</f>
        <v>0</v>
      </c>
      <c r="L189" s="102">
        <f>'1,8 NSP CN'!AE75</f>
        <v>0</v>
      </c>
      <c r="M189" s="102">
        <f>'1,8 NSP CN'!AH75</f>
        <v>0</v>
      </c>
      <c r="N189" s="102">
        <f>'1,8 NSP CN'!AK75</f>
        <v>0</v>
      </c>
      <c r="O189" s="159" t="str">
        <f>'1,8 NSP CONTROL'!AN18</f>
        <v/>
      </c>
      <c r="P189" s="1"/>
      <c r="Q189" s="1"/>
    </row>
    <row r="190" spans="1:17" ht="27" x14ac:dyDescent="0.15">
      <c r="A190" s="2" t="s">
        <v>301</v>
      </c>
      <c r="B190" s="77" t="s">
        <v>104</v>
      </c>
      <c r="C190" s="159" t="str">
        <f>'1,8 NSP CONTROL'!D19</f>
        <v/>
      </c>
      <c r="D190" s="159" t="str">
        <f>'1,8 NSP CONTROL'!G19</f>
        <v/>
      </c>
      <c r="E190" s="102">
        <f>'1,8 NSP CN'!J76</f>
        <v>0</v>
      </c>
      <c r="F190" s="102">
        <f>'1,8 NSP CN'!M76</f>
        <v>0</v>
      </c>
      <c r="G190" s="102">
        <f>'1,8 NSP CN'!P76</f>
        <v>0</v>
      </c>
      <c r="H190" s="102">
        <f>'1,8 NSP CN'!S76</f>
        <v>0</v>
      </c>
      <c r="I190" s="102">
        <f>'1,8 NSP CN'!V76</f>
        <v>0</v>
      </c>
      <c r="J190" s="102">
        <f>'1,8 NSP CN'!Y76</f>
        <v>0</v>
      </c>
      <c r="K190" s="102">
        <f>'1,8 NSP CN'!AB76</f>
        <v>0</v>
      </c>
      <c r="L190" s="102">
        <f>'1,8 NSP CN'!AE76</f>
        <v>0</v>
      </c>
      <c r="M190" s="102">
        <f>'1,8 NSP CN'!AH76</f>
        <v>0</v>
      </c>
      <c r="N190" s="102">
        <f>'1,8 NSP CN'!AK76</f>
        <v>0</v>
      </c>
      <c r="O190" s="159" t="str">
        <f>'1,8 NSP CONTROL'!AN19</f>
        <v/>
      </c>
      <c r="P190" s="1"/>
      <c r="Q190" s="1"/>
    </row>
    <row r="191" spans="1:17" ht="27" x14ac:dyDescent="0.15">
      <c r="A191" s="2" t="s">
        <v>301</v>
      </c>
      <c r="B191" s="77" t="s">
        <v>105</v>
      </c>
      <c r="C191" s="159" t="str">
        <f>'1,8 NSP CONTROL'!D20</f>
        <v/>
      </c>
      <c r="D191" s="159" t="str">
        <f>'1,8 NSP CONTROL'!G20</f>
        <v/>
      </c>
      <c r="E191" s="102">
        <f>'1,8 NSP CN'!J77</f>
        <v>0</v>
      </c>
      <c r="F191" s="102">
        <f>'1,8 NSP CN'!M77</f>
        <v>0</v>
      </c>
      <c r="G191" s="102">
        <f>'1,8 NSP CN'!P77</f>
        <v>0</v>
      </c>
      <c r="H191" s="102">
        <f>'1,8 NSP CN'!S77</f>
        <v>0</v>
      </c>
      <c r="I191" s="102">
        <f>'1,8 NSP CN'!V77</f>
        <v>0</v>
      </c>
      <c r="J191" s="102">
        <f>'1,8 NSP CN'!Y77</f>
        <v>0</v>
      </c>
      <c r="K191" s="102">
        <f>'1,8 NSP CN'!AB77</f>
        <v>0</v>
      </c>
      <c r="L191" s="102">
        <f>'1,8 NSP CN'!AE77</f>
        <v>0</v>
      </c>
      <c r="M191" s="102">
        <f>'1,8 NSP CN'!AH77</f>
        <v>0</v>
      </c>
      <c r="N191" s="102">
        <f>'1,8 NSP CN'!AK77</f>
        <v>0</v>
      </c>
      <c r="O191" s="159" t="str">
        <f>'1,8 NSP CONTROL'!AN20</f>
        <v/>
      </c>
      <c r="P191" s="1"/>
      <c r="Q191" s="1"/>
    </row>
    <row r="192" spans="1:17" ht="27" x14ac:dyDescent="0.2">
      <c r="A192" s="2" t="s">
        <v>301</v>
      </c>
      <c r="B192" s="79" t="s">
        <v>106</v>
      </c>
      <c r="C192" s="159" t="str">
        <f>'1,8 NSP CONTROL'!D21</f>
        <v/>
      </c>
      <c r="D192" s="159" t="str">
        <f>'1,8 NSP CONTROL'!G21</f>
        <v/>
      </c>
      <c r="E192" s="102">
        <f>'1,8 NSP CN'!J78</f>
        <v>0</v>
      </c>
      <c r="F192" s="102">
        <f>'1,8 NSP CN'!M78</f>
        <v>0</v>
      </c>
      <c r="G192" s="102">
        <f>'1,8 NSP CN'!P78</f>
        <v>0</v>
      </c>
      <c r="H192" s="102">
        <f>'1,8 NSP CN'!S78</f>
        <v>0</v>
      </c>
      <c r="I192" s="102">
        <f>'1,8 NSP CN'!V78</f>
        <v>0</v>
      </c>
      <c r="J192" s="102">
        <f>'1,8 NSP CN'!Y78</f>
        <v>0</v>
      </c>
      <c r="K192" s="102">
        <f>'1,8 NSP CN'!AB78</f>
        <v>0</v>
      </c>
      <c r="L192" s="102">
        <f>'1,8 NSP CN'!AE78</f>
        <v>0</v>
      </c>
      <c r="M192" s="102">
        <f>'1,8 NSP CN'!AH78</f>
        <v>0</v>
      </c>
      <c r="N192" s="102">
        <f>'1,8 NSP CN'!AK78</f>
        <v>0</v>
      </c>
      <c r="O192" s="159" t="str">
        <f>'1,8 NSP CONTROL'!AN21</f>
        <v/>
      </c>
      <c r="P192" s="1"/>
      <c r="Q192" s="1"/>
    </row>
    <row r="193" spans="1:17" ht="27" x14ac:dyDescent="0.15">
      <c r="A193" s="2" t="s">
        <v>301</v>
      </c>
      <c r="B193" s="77" t="s">
        <v>107</v>
      </c>
      <c r="C193" s="159">
        <f>'1,8 NSP CONTROL'!D22</f>
        <v>6.9767441860465115E-2</v>
      </c>
      <c r="D193" s="159">
        <f>'1,8 NSP CONTROL'!G22</f>
        <v>0.17142857142857143</v>
      </c>
      <c r="E193" s="102">
        <f>'1,8 NSP CN'!J79</f>
        <v>0</v>
      </c>
      <c r="F193" s="102">
        <f>'1,8 NSP CN'!M79</f>
        <v>0</v>
      </c>
      <c r="G193" s="102">
        <f>'1,8 NSP CN'!P79</f>
        <v>0</v>
      </c>
      <c r="H193" s="102">
        <f>'1,8 NSP CN'!S79</f>
        <v>0</v>
      </c>
      <c r="I193" s="102">
        <f>'1,8 NSP CN'!V79</f>
        <v>0</v>
      </c>
      <c r="J193" s="102">
        <f>'1,8 NSP CN'!Y79</f>
        <v>0</v>
      </c>
      <c r="K193" s="102">
        <f>'1,8 NSP CN'!AB79</f>
        <v>0</v>
      </c>
      <c r="L193" s="102">
        <f>'1,8 NSP CN'!AE79</f>
        <v>0</v>
      </c>
      <c r="M193" s="102">
        <f>'1,8 NSP CN'!AH79</f>
        <v>0</v>
      </c>
      <c r="N193" s="102">
        <f>'1,8 NSP CN'!AK79</f>
        <v>0</v>
      </c>
      <c r="O193" s="159">
        <f>'1,8 NSP CONTROL'!AN22</f>
        <v>0.19780219780219779</v>
      </c>
      <c r="P193" s="1"/>
      <c r="Q193" s="1"/>
    </row>
    <row r="194" spans="1:17" ht="27" x14ac:dyDescent="0.15">
      <c r="A194" s="2" t="s">
        <v>301</v>
      </c>
      <c r="B194" s="77" t="s">
        <v>108</v>
      </c>
      <c r="C194" s="159" t="str">
        <f>'1,8 NSP CONTROL'!D23</f>
        <v/>
      </c>
      <c r="D194" s="159" t="str">
        <f>'1,8 NSP CONTROL'!G23</f>
        <v/>
      </c>
      <c r="E194" s="102">
        <f>'1,8 NSP CN'!J80</f>
        <v>0</v>
      </c>
      <c r="F194" s="102">
        <f>'1,8 NSP CN'!M80</f>
        <v>0</v>
      </c>
      <c r="G194" s="102">
        <f>'1,8 NSP CN'!P80</f>
        <v>0</v>
      </c>
      <c r="H194" s="102">
        <f>'1,8 NSP CN'!S80</f>
        <v>0</v>
      </c>
      <c r="I194" s="102">
        <f>'1,8 NSP CN'!V80</f>
        <v>0</v>
      </c>
      <c r="J194" s="102">
        <f>'1,8 NSP CN'!Y80</f>
        <v>0</v>
      </c>
      <c r="K194" s="102">
        <f>'1,8 NSP CN'!AB80</f>
        <v>0</v>
      </c>
      <c r="L194" s="102">
        <f>'1,8 NSP CN'!AE80</f>
        <v>0</v>
      </c>
      <c r="M194" s="102">
        <f>'1,8 NSP CN'!AH80</f>
        <v>0</v>
      </c>
      <c r="N194" s="102">
        <f>'1,8 NSP CN'!AK80</f>
        <v>0</v>
      </c>
      <c r="O194" s="159" t="str">
        <f>'1,8 NSP CONTROL'!AN23</f>
        <v/>
      </c>
      <c r="P194" s="1"/>
      <c r="Q194" s="1"/>
    </row>
    <row r="195" spans="1:17" ht="27" x14ac:dyDescent="0.15">
      <c r="A195" s="2" t="s">
        <v>301</v>
      </c>
      <c r="B195" s="77" t="s">
        <v>109</v>
      </c>
      <c r="C195" s="159">
        <f>'1,8 NSP CONTROL'!D24</f>
        <v>0.14457831325301204</v>
      </c>
      <c r="D195" s="159">
        <f>'1,8 NSP CONTROL'!G24</f>
        <v>7.0588235294117646E-2</v>
      </c>
      <c r="E195" s="102">
        <f>'1,8 NSP CN'!J81</f>
        <v>0</v>
      </c>
      <c r="F195" s="102">
        <f>'1,8 NSP CN'!M81</f>
        <v>0</v>
      </c>
      <c r="G195" s="102">
        <f>'1,8 NSP CN'!P81</f>
        <v>0</v>
      </c>
      <c r="H195" s="102">
        <f>'1,8 NSP CN'!S81</f>
        <v>0</v>
      </c>
      <c r="I195" s="102">
        <f>'1,8 NSP CN'!V81</f>
        <v>0</v>
      </c>
      <c r="J195" s="102">
        <f>'1,8 NSP CN'!Y81</f>
        <v>0</v>
      </c>
      <c r="K195" s="102">
        <f>'1,8 NSP CN'!AB81</f>
        <v>0</v>
      </c>
      <c r="L195" s="102">
        <f>'1,8 NSP CN'!AE81</f>
        <v>0</v>
      </c>
      <c r="M195" s="102">
        <f>'1,8 NSP CN'!AH81</f>
        <v>0</v>
      </c>
      <c r="N195" s="102">
        <f>'1,8 NSP CN'!AK81</f>
        <v>0</v>
      </c>
      <c r="O195" s="159">
        <f>'1,8 NSP CONTROL'!AN24</f>
        <v>9.6456692913385822E-2</v>
      </c>
      <c r="P195" s="1"/>
      <c r="Q195" s="1"/>
    </row>
    <row r="196" spans="1:17" ht="27" x14ac:dyDescent="0.15">
      <c r="A196" s="2" t="s">
        <v>301</v>
      </c>
      <c r="B196" s="77" t="s">
        <v>110</v>
      </c>
      <c r="C196" s="159" t="str">
        <f>'1,8 NSP CONTROL'!D25</f>
        <v/>
      </c>
      <c r="D196" s="159" t="str">
        <f>'1,8 NSP CONTROL'!G25</f>
        <v/>
      </c>
      <c r="E196" s="102">
        <f>'1,8 NSP CN'!J82</f>
        <v>0</v>
      </c>
      <c r="F196" s="102">
        <f>'1,8 NSP CN'!M82</f>
        <v>0</v>
      </c>
      <c r="G196" s="102">
        <f>'1,8 NSP CN'!P82</f>
        <v>0</v>
      </c>
      <c r="H196" s="102">
        <f>'1,8 NSP CN'!S82</f>
        <v>0</v>
      </c>
      <c r="I196" s="102">
        <f>'1,8 NSP CN'!V82</f>
        <v>0</v>
      </c>
      <c r="J196" s="102">
        <f>'1,8 NSP CN'!Y82</f>
        <v>0</v>
      </c>
      <c r="K196" s="102">
        <f>'1,8 NSP CN'!AB82</f>
        <v>0</v>
      </c>
      <c r="L196" s="102">
        <f>'1,8 NSP CN'!AE82</f>
        <v>0</v>
      </c>
      <c r="M196" s="102">
        <f>'1,8 NSP CN'!AH82</f>
        <v>0</v>
      </c>
      <c r="N196" s="102">
        <f>'1,8 NSP CN'!AK82</f>
        <v>0</v>
      </c>
      <c r="O196" s="159" t="str">
        <f>'1,8 NSP CONTROL'!AN25</f>
        <v/>
      </c>
      <c r="P196" s="1"/>
      <c r="Q196" s="1"/>
    </row>
    <row r="197" spans="1:17" ht="27" x14ac:dyDescent="0.15">
      <c r="A197" s="2" t="s">
        <v>301</v>
      </c>
      <c r="B197" s="77" t="s">
        <v>111</v>
      </c>
      <c r="C197" s="159" t="str">
        <f>'1,8 NSP CONTROL'!D26</f>
        <v/>
      </c>
      <c r="D197" s="159" t="str">
        <f>'1,8 NSP CONTROL'!G26</f>
        <v/>
      </c>
      <c r="E197" s="102">
        <f>'1,8 NSP CN'!J83</f>
        <v>0</v>
      </c>
      <c r="F197" s="102">
        <f>'1,8 NSP CN'!M83</f>
        <v>0</v>
      </c>
      <c r="G197" s="102">
        <f>'1,8 NSP CN'!P83</f>
        <v>0</v>
      </c>
      <c r="H197" s="102">
        <f>'1,8 NSP CN'!S83</f>
        <v>0</v>
      </c>
      <c r="I197" s="102">
        <f>'1,8 NSP CN'!V83</f>
        <v>0</v>
      </c>
      <c r="J197" s="102">
        <f>'1,8 NSP CN'!Y83</f>
        <v>0</v>
      </c>
      <c r="K197" s="102">
        <f>'1,8 NSP CN'!AB83</f>
        <v>0</v>
      </c>
      <c r="L197" s="102">
        <f>'1,8 NSP CN'!AE83</f>
        <v>0</v>
      </c>
      <c r="M197" s="102">
        <f>'1,8 NSP CN'!AH83</f>
        <v>0</v>
      </c>
      <c r="N197" s="102">
        <f>'1,8 NSP CN'!AK83</f>
        <v>0</v>
      </c>
      <c r="O197" s="159" t="str">
        <f>'1,8 NSP CONTROL'!AN26</f>
        <v/>
      </c>
      <c r="P197" s="1"/>
      <c r="Q197" s="1"/>
    </row>
    <row r="198" spans="1:17" ht="27" x14ac:dyDescent="0.2">
      <c r="A198" s="2" t="s">
        <v>301</v>
      </c>
      <c r="B198" s="79" t="s">
        <v>112</v>
      </c>
      <c r="C198" s="159" t="str">
        <f>'1,8 NSP CONTROL'!D27</f>
        <v/>
      </c>
      <c r="D198" s="159" t="str">
        <f>'1,8 NSP CONTROL'!G27</f>
        <v/>
      </c>
      <c r="E198" s="102">
        <f>'1,8 NSP CN'!J84</f>
        <v>0</v>
      </c>
      <c r="F198" s="102">
        <f>'1,8 NSP CN'!M84</f>
        <v>0</v>
      </c>
      <c r="G198" s="102">
        <f>'1,8 NSP CN'!P84</f>
        <v>0</v>
      </c>
      <c r="H198" s="102">
        <f>'1,8 NSP CN'!S84</f>
        <v>0</v>
      </c>
      <c r="I198" s="102">
        <f>'1,8 NSP CN'!V84</f>
        <v>0</v>
      </c>
      <c r="J198" s="102">
        <f>'1,8 NSP CN'!Y84</f>
        <v>0</v>
      </c>
      <c r="K198" s="102">
        <f>'1,8 NSP CN'!AB84</f>
        <v>0</v>
      </c>
      <c r="L198" s="102">
        <f>'1,8 NSP CN'!AE84</f>
        <v>0</v>
      </c>
      <c r="M198" s="102">
        <f>'1,8 NSP CN'!AH84</f>
        <v>0</v>
      </c>
      <c r="N198" s="102">
        <f>'1,8 NSP CN'!AK84</f>
        <v>0</v>
      </c>
      <c r="O198" s="159" t="str">
        <f>'1,8 NSP CONTROL'!AN27</f>
        <v/>
      </c>
      <c r="P198" s="1"/>
      <c r="Q198" s="1"/>
    </row>
    <row r="199" spans="1:17" ht="27" x14ac:dyDescent="0.15">
      <c r="A199" s="2" t="s">
        <v>301</v>
      </c>
      <c r="B199" s="77" t="s">
        <v>113</v>
      </c>
      <c r="C199" s="159">
        <f>'1,8 NSP CONTROL'!D28</f>
        <v>6.9767441860465115E-2</v>
      </c>
      <c r="D199" s="159">
        <f>'1,8 NSP CONTROL'!G28</f>
        <v>2.1276595744680851E-2</v>
      </c>
      <c r="E199" s="102">
        <f>'1,8 NSP CN'!J85</f>
        <v>0</v>
      </c>
      <c r="F199" s="102">
        <f>'1,8 NSP CN'!M85</f>
        <v>0</v>
      </c>
      <c r="G199" s="102">
        <f>'1,8 NSP CN'!P85</f>
        <v>0</v>
      </c>
      <c r="H199" s="102">
        <f>'1,8 NSP CN'!S85</f>
        <v>0</v>
      </c>
      <c r="I199" s="102">
        <f>'1,8 NSP CN'!V85</f>
        <v>0</v>
      </c>
      <c r="J199" s="102">
        <f>'1,8 NSP CN'!Y85</f>
        <v>0</v>
      </c>
      <c r="K199" s="102">
        <f>'1,8 NSP CN'!AB85</f>
        <v>0</v>
      </c>
      <c r="L199" s="102">
        <f>'1,8 NSP CN'!AE85</f>
        <v>0</v>
      </c>
      <c r="M199" s="102">
        <f>'1,8 NSP CN'!AH85</f>
        <v>0</v>
      </c>
      <c r="N199" s="102">
        <f>'1,8 NSP CN'!AK85</f>
        <v>0</v>
      </c>
      <c r="O199" s="159">
        <f>'1,8 NSP CONTROL'!AN28</f>
        <v>5.9278350515463915E-2</v>
      </c>
      <c r="P199" s="1"/>
      <c r="Q199" s="1"/>
    </row>
    <row r="200" spans="1:17" ht="27" x14ac:dyDescent="0.15">
      <c r="A200" s="2" t="s">
        <v>301</v>
      </c>
      <c r="B200" s="77" t="s">
        <v>114</v>
      </c>
      <c r="C200" s="159">
        <f>'1,8 NSP CONTROL'!D29</f>
        <v>9.8445595854922283E-2</v>
      </c>
      <c r="D200" s="159">
        <f>'1,8 NSP CONTROL'!G29</f>
        <v>0.12658227848101267</v>
      </c>
      <c r="E200" s="102">
        <f>'1,8 NSP CN'!J86</f>
        <v>0</v>
      </c>
      <c r="F200" s="102">
        <f>'1,8 NSP CN'!M86</f>
        <v>0</v>
      </c>
      <c r="G200" s="102">
        <f>'1,8 NSP CN'!P86</f>
        <v>0</v>
      </c>
      <c r="H200" s="102">
        <f>'1,8 NSP CN'!S86</f>
        <v>0</v>
      </c>
      <c r="I200" s="102">
        <f>'1,8 NSP CN'!V86</f>
        <v>0</v>
      </c>
      <c r="J200" s="102">
        <f>'1,8 NSP CN'!Y86</f>
        <v>0</v>
      </c>
      <c r="K200" s="102">
        <f>'1,8 NSP CN'!AB86</f>
        <v>0</v>
      </c>
      <c r="L200" s="102">
        <f>'1,8 NSP CN'!AE86</f>
        <v>0</v>
      </c>
      <c r="M200" s="102">
        <f>'1,8 NSP CN'!AH86</f>
        <v>0</v>
      </c>
      <c r="N200" s="102">
        <f>'1,8 NSP CN'!AK86</f>
        <v>0</v>
      </c>
      <c r="O200" s="159">
        <f>'1,8 NSP CONTROL'!AN29</f>
        <v>9.4221105527638196E-2</v>
      </c>
      <c r="P200" s="1"/>
      <c r="Q200" s="1"/>
    </row>
    <row r="201" spans="1:17" ht="27" x14ac:dyDescent="0.15">
      <c r="A201" s="2" t="s">
        <v>301</v>
      </c>
      <c r="B201" s="77" t="s">
        <v>115</v>
      </c>
      <c r="C201" s="159" t="str">
        <f>'1,8 NSP CONTROL'!D30</f>
        <v/>
      </c>
      <c r="D201" s="159" t="str">
        <f>'1,8 NSP CONTROL'!G30</f>
        <v/>
      </c>
      <c r="E201" s="102">
        <f>'1,8 NSP CN'!J87</f>
        <v>0</v>
      </c>
      <c r="F201" s="102">
        <f>'1,8 NSP CN'!M87</f>
        <v>0</v>
      </c>
      <c r="G201" s="102">
        <f>'1,8 NSP CN'!P87</f>
        <v>0</v>
      </c>
      <c r="H201" s="102">
        <f>'1,8 NSP CN'!S87</f>
        <v>0</v>
      </c>
      <c r="I201" s="102">
        <f>'1,8 NSP CN'!V87</f>
        <v>0</v>
      </c>
      <c r="J201" s="102">
        <f>'1,8 NSP CN'!Y87</f>
        <v>0</v>
      </c>
      <c r="K201" s="102">
        <f>'1,8 NSP CN'!AB87</f>
        <v>0</v>
      </c>
      <c r="L201" s="102">
        <f>'1,8 NSP CN'!AE87</f>
        <v>0</v>
      </c>
      <c r="M201" s="102">
        <f>'1,8 NSP CN'!AH87</f>
        <v>0</v>
      </c>
      <c r="N201" s="102">
        <f>'1,8 NSP CN'!AK87</f>
        <v>0</v>
      </c>
      <c r="O201" s="159" t="str">
        <f>'1,8 NSP CONTROL'!AN30</f>
        <v/>
      </c>
      <c r="P201" s="1"/>
      <c r="Q201" s="1"/>
    </row>
    <row r="202" spans="1:17" ht="27" x14ac:dyDescent="0.15">
      <c r="A202" s="2" t="s">
        <v>301</v>
      </c>
      <c r="B202" s="77" t="s">
        <v>116</v>
      </c>
      <c r="C202" s="159">
        <f>'1,8 NSP CONTROL'!D31</f>
        <v>0.18296529968454259</v>
      </c>
      <c r="D202" s="159">
        <f>'1,8 NSP CONTROL'!G31</f>
        <v>0.22105263157894736</v>
      </c>
      <c r="E202" s="102">
        <f>'1,8 NSP CN'!J88</f>
        <v>0</v>
      </c>
      <c r="F202" s="102">
        <f>'1,8 NSP CN'!M88</f>
        <v>0</v>
      </c>
      <c r="G202" s="102">
        <f>'1,8 NSP CN'!P88</f>
        <v>0</v>
      </c>
      <c r="H202" s="102">
        <f>'1,8 NSP CN'!S88</f>
        <v>0</v>
      </c>
      <c r="I202" s="102">
        <f>'1,8 NSP CN'!V88</f>
        <v>0</v>
      </c>
      <c r="J202" s="102">
        <f>'1,8 NSP CN'!Y88</f>
        <v>0</v>
      </c>
      <c r="K202" s="102">
        <f>'1,8 NSP CN'!AB88</f>
        <v>0</v>
      </c>
      <c r="L202" s="102">
        <f>'1,8 NSP CN'!AE88</f>
        <v>0</v>
      </c>
      <c r="M202" s="102">
        <f>'1,8 NSP CN'!AH88</f>
        <v>0</v>
      </c>
      <c r="N202" s="102">
        <f>'1,8 NSP CN'!AK88</f>
        <v>0</v>
      </c>
      <c r="O202" s="159">
        <f>'1,8 NSP CONTROL'!AN31</f>
        <v>0.15243004418262152</v>
      </c>
      <c r="P202" s="1"/>
      <c r="Q202" s="1"/>
    </row>
    <row r="203" spans="1:17" ht="27" x14ac:dyDescent="0.15">
      <c r="A203" s="2" t="s">
        <v>301</v>
      </c>
      <c r="B203" s="77" t="s">
        <v>117</v>
      </c>
      <c r="C203" s="159">
        <f>'1,8 NSP CONTROL'!D32</f>
        <v>0.19572953736654805</v>
      </c>
      <c r="D203" s="159">
        <f>'1,8 NSP CONTROL'!G32</f>
        <v>0.24479166666666666</v>
      </c>
      <c r="E203" s="102">
        <f>'1,8 NSP CN'!J89</f>
        <v>0</v>
      </c>
      <c r="F203" s="102">
        <f>'1,8 NSP CN'!M89</f>
        <v>0</v>
      </c>
      <c r="G203" s="102">
        <f>'1,8 NSP CN'!P89</f>
        <v>0</v>
      </c>
      <c r="H203" s="102">
        <f>'1,8 NSP CN'!S89</f>
        <v>0</v>
      </c>
      <c r="I203" s="102">
        <f>'1,8 NSP CN'!V89</f>
        <v>0</v>
      </c>
      <c r="J203" s="102">
        <f>'1,8 NSP CN'!Y89</f>
        <v>0</v>
      </c>
      <c r="K203" s="102">
        <f>'1,8 NSP CN'!AB89</f>
        <v>0</v>
      </c>
      <c r="L203" s="102">
        <f>'1,8 NSP CN'!AE89</f>
        <v>0</v>
      </c>
      <c r="M203" s="102">
        <f>'1,8 NSP CN'!AH89</f>
        <v>0</v>
      </c>
      <c r="N203" s="102">
        <f>'1,8 NSP CN'!AK89</f>
        <v>0</v>
      </c>
      <c r="O203" s="159">
        <f>'1,8 NSP CONTROL'!AN32</f>
        <v>0.16793893129770993</v>
      </c>
      <c r="P203" s="1"/>
      <c r="Q203" s="1"/>
    </row>
    <row r="204" spans="1:17" ht="27" x14ac:dyDescent="0.15">
      <c r="A204" s="2" t="s">
        <v>301</v>
      </c>
      <c r="B204" s="80" t="s">
        <v>118</v>
      </c>
      <c r="C204" s="159">
        <f>'1,8 NSP CONTROL'!D33</f>
        <v>0.33980582524271846</v>
      </c>
      <c r="D204" s="159">
        <f>'1,8 NSP CONTROL'!G33</f>
        <v>0.22115384615384615</v>
      </c>
      <c r="E204" s="102">
        <f>'1,8 NSP CN'!J90</f>
        <v>0</v>
      </c>
      <c r="F204" s="102">
        <f>'1,8 NSP CN'!M90</f>
        <v>0</v>
      </c>
      <c r="G204" s="102">
        <f>'1,8 NSP CN'!P90</f>
        <v>0</v>
      </c>
      <c r="H204" s="102">
        <f>'1,8 NSP CN'!S90</f>
        <v>0</v>
      </c>
      <c r="I204" s="102">
        <f>'1,8 NSP CN'!V90</f>
        <v>0</v>
      </c>
      <c r="J204" s="102">
        <f>'1,8 NSP CN'!Y90</f>
        <v>0</v>
      </c>
      <c r="K204" s="102">
        <f>'1,8 NSP CN'!AB90</f>
        <v>0</v>
      </c>
      <c r="L204" s="102">
        <f>'1,8 NSP CN'!AE90</f>
        <v>0</v>
      </c>
      <c r="M204" s="102">
        <f>'1,8 NSP CN'!AH90</f>
        <v>0</v>
      </c>
      <c r="N204" s="102">
        <f>'1,8 NSP CN'!AK90</f>
        <v>0</v>
      </c>
      <c r="O204" s="159">
        <f>'1,8 NSP CONTROL'!AN33</f>
        <v>0.23376623376623376</v>
      </c>
      <c r="P204" s="1"/>
      <c r="Q204" s="1"/>
    </row>
    <row r="205" spans="1:17" ht="27" x14ac:dyDescent="0.15">
      <c r="A205" s="2" t="s">
        <v>301</v>
      </c>
      <c r="B205" s="77" t="s">
        <v>119</v>
      </c>
      <c r="C205" s="159">
        <f>'1,8 NSP CONTROL'!D34</f>
        <v>0.11038961038961038</v>
      </c>
      <c r="D205" s="159">
        <f>'1,8 NSP CONTROL'!G34</f>
        <v>0.10126582278481013</v>
      </c>
      <c r="E205" s="102">
        <f>'1,8 NSP CN'!J91</f>
        <v>0</v>
      </c>
      <c r="F205" s="102">
        <f>'1,8 NSP CN'!M91</f>
        <v>0</v>
      </c>
      <c r="G205" s="102">
        <f>'1,8 NSP CN'!P91</f>
        <v>0</v>
      </c>
      <c r="H205" s="102">
        <f>'1,8 NSP CN'!S91</f>
        <v>0</v>
      </c>
      <c r="I205" s="102">
        <f>'1,8 NSP CN'!V91</f>
        <v>0</v>
      </c>
      <c r="J205" s="102">
        <f>'1,8 NSP CN'!Y91</f>
        <v>0</v>
      </c>
      <c r="K205" s="102">
        <f>'1,8 NSP CN'!AB91</f>
        <v>0</v>
      </c>
      <c r="L205" s="102">
        <f>'1,8 NSP CN'!AE91</f>
        <v>0</v>
      </c>
      <c r="M205" s="102">
        <f>'1,8 NSP CN'!AH91</f>
        <v>0</v>
      </c>
      <c r="N205" s="102">
        <f>'1,8 NSP CN'!AK91</f>
        <v>0</v>
      </c>
      <c r="O205" s="159">
        <f>'1,8 NSP CONTROL'!AN34</f>
        <v>0.12590299277605779</v>
      </c>
      <c r="P205" s="1"/>
      <c r="Q205" s="1"/>
    </row>
    <row r="206" spans="1:17" ht="27" x14ac:dyDescent="0.15">
      <c r="A206" s="2" t="s">
        <v>301</v>
      </c>
      <c r="B206" s="81" t="s">
        <v>120</v>
      </c>
      <c r="C206" s="159" t="str">
        <f>'1,8 NSP CONTROL'!D35</f>
        <v/>
      </c>
      <c r="D206" s="159">
        <f>'1,8 NSP CONTROL'!G35</f>
        <v>6.25E-2</v>
      </c>
      <c r="E206" s="102">
        <f>'1,8 NSP CN'!J92</f>
        <v>0</v>
      </c>
      <c r="F206" s="102">
        <f>'1,8 NSP CN'!M92</f>
        <v>0</v>
      </c>
      <c r="G206" s="102">
        <f>'1,8 NSP CN'!P92</f>
        <v>0</v>
      </c>
      <c r="H206" s="102">
        <f>'1,8 NSP CN'!S92</f>
        <v>0</v>
      </c>
      <c r="I206" s="102">
        <f>'1,8 NSP CN'!V92</f>
        <v>0</v>
      </c>
      <c r="J206" s="102">
        <f>'1,8 NSP CN'!Y92</f>
        <v>0</v>
      </c>
      <c r="K206" s="102">
        <f>'1,8 NSP CN'!AB92</f>
        <v>0</v>
      </c>
      <c r="L206" s="102">
        <f>'1,8 NSP CN'!AE92</f>
        <v>0</v>
      </c>
      <c r="M206" s="102">
        <f>'1,8 NSP CN'!AH92</f>
        <v>0</v>
      </c>
      <c r="N206" s="102">
        <f>'1,8 NSP CN'!AK92</f>
        <v>0</v>
      </c>
      <c r="O206" s="159">
        <f>'1,8 NSP CONTROL'!AN35</f>
        <v>9.0909090909090912E-2</v>
      </c>
      <c r="P206" s="1"/>
      <c r="Q206" s="1"/>
    </row>
    <row r="207" spans="1:17" ht="27" x14ac:dyDescent="0.15">
      <c r="A207" s="2" t="s">
        <v>301</v>
      </c>
      <c r="B207" s="82" t="s">
        <v>121</v>
      </c>
      <c r="C207" s="159" t="str">
        <f>'1,8 NSP CONTROL'!D36</f>
        <v/>
      </c>
      <c r="D207" s="159" t="str">
        <f>'1,8 NSP CONTROL'!G36</f>
        <v/>
      </c>
      <c r="E207" s="102">
        <f>'1,8 NSP CN'!J93</f>
        <v>0</v>
      </c>
      <c r="F207" s="102">
        <f>'1,8 NSP CN'!M93</f>
        <v>0</v>
      </c>
      <c r="G207" s="102">
        <f>'1,8 NSP CN'!P93</f>
        <v>0</v>
      </c>
      <c r="H207" s="102">
        <f>'1,8 NSP CN'!S93</f>
        <v>0</v>
      </c>
      <c r="I207" s="102">
        <f>'1,8 NSP CN'!V93</f>
        <v>0</v>
      </c>
      <c r="J207" s="102">
        <f>'1,8 NSP CN'!Y93</f>
        <v>0</v>
      </c>
      <c r="K207" s="102">
        <f>'1,8 NSP CN'!AB93</f>
        <v>0</v>
      </c>
      <c r="L207" s="102">
        <f>'1,8 NSP CN'!AE93</f>
        <v>0</v>
      </c>
      <c r="M207" s="102">
        <f>'1,8 NSP CN'!AH93</f>
        <v>0</v>
      </c>
      <c r="N207" s="102">
        <f>'1,8 NSP CN'!AK93</f>
        <v>0</v>
      </c>
      <c r="O207" s="159" t="str">
        <f>'1,8 NSP CONTROL'!AN36</f>
        <v/>
      </c>
      <c r="P207" s="1"/>
      <c r="Q207" s="1"/>
    </row>
    <row r="208" spans="1:17" ht="27" x14ac:dyDescent="0.15">
      <c r="A208" s="2" t="s">
        <v>301</v>
      </c>
      <c r="B208" s="77" t="s">
        <v>122</v>
      </c>
      <c r="C208" s="159" t="str">
        <f>'1,8 NSP CONTROL'!D37</f>
        <v/>
      </c>
      <c r="D208" s="159" t="str">
        <f>'1,8 NSP CONTROL'!G37</f>
        <v/>
      </c>
      <c r="E208" s="102">
        <f>'1,8 NSP CN'!J94</f>
        <v>0</v>
      </c>
      <c r="F208" s="102">
        <f>'1,8 NSP CN'!M94</f>
        <v>0</v>
      </c>
      <c r="G208" s="102">
        <f>'1,8 NSP CN'!P94</f>
        <v>0</v>
      </c>
      <c r="H208" s="102">
        <f>'1,8 NSP CN'!S94</f>
        <v>0</v>
      </c>
      <c r="I208" s="102">
        <f>'1,8 NSP CN'!V94</f>
        <v>0</v>
      </c>
      <c r="J208" s="102">
        <f>'1,8 NSP CN'!Y94</f>
        <v>0</v>
      </c>
      <c r="K208" s="102">
        <f>'1,8 NSP CN'!AB94</f>
        <v>0</v>
      </c>
      <c r="L208" s="102">
        <f>'1,8 NSP CN'!AE94</f>
        <v>0</v>
      </c>
      <c r="M208" s="102">
        <f>'1,8 NSP CN'!AH94</f>
        <v>0</v>
      </c>
      <c r="N208" s="102">
        <f>'1,8 NSP CN'!AK94</f>
        <v>0</v>
      </c>
      <c r="O208" s="159" t="str">
        <f>'1,8 NSP CONTROL'!AN37</f>
        <v/>
      </c>
      <c r="P208" s="1"/>
      <c r="Q208" s="1"/>
    </row>
    <row r="209" spans="1:17" ht="27" x14ac:dyDescent="0.15">
      <c r="A209" s="2" t="s">
        <v>301</v>
      </c>
      <c r="B209" s="77" t="s">
        <v>123</v>
      </c>
      <c r="C209" s="159" t="str">
        <f>'1,8 NSP CONTROL'!D38</f>
        <v/>
      </c>
      <c r="D209" s="159" t="str">
        <f>'1,8 NSP CONTROL'!G38</f>
        <v/>
      </c>
      <c r="E209" s="102">
        <f>'1,8 NSP CN'!J95</f>
        <v>0</v>
      </c>
      <c r="F209" s="102">
        <f>'1,8 NSP CN'!M95</f>
        <v>0</v>
      </c>
      <c r="G209" s="102">
        <f>'1,8 NSP CN'!P95</f>
        <v>0</v>
      </c>
      <c r="H209" s="102">
        <f>'1,8 NSP CN'!S95</f>
        <v>0</v>
      </c>
      <c r="I209" s="102">
        <f>'1,8 NSP CN'!V95</f>
        <v>0</v>
      </c>
      <c r="J209" s="102">
        <f>'1,8 NSP CN'!Y95</f>
        <v>0</v>
      </c>
      <c r="K209" s="102">
        <f>'1,8 NSP CN'!AB95</f>
        <v>0</v>
      </c>
      <c r="L209" s="102">
        <f>'1,8 NSP CN'!AE95</f>
        <v>0</v>
      </c>
      <c r="M209" s="102">
        <f>'1,8 NSP CN'!AH95</f>
        <v>0</v>
      </c>
      <c r="N209" s="102">
        <f>'1,8 NSP CN'!AK95</f>
        <v>0</v>
      </c>
      <c r="O209" s="159" t="str">
        <f>'1,8 NSP CONTROL'!AN38</f>
        <v/>
      </c>
      <c r="P209" s="1"/>
      <c r="Q209" s="1"/>
    </row>
    <row r="210" spans="1:17" ht="27" x14ac:dyDescent="0.15">
      <c r="A210" s="2" t="s">
        <v>301</v>
      </c>
      <c r="B210" s="77" t="s">
        <v>124</v>
      </c>
      <c r="C210" s="159">
        <f>'1,8 NSP CONTROL'!D39</f>
        <v>0.16666666666666666</v>
      </c>
      <c r="D210" s="159">
        <f>'1,8 NSP CONTROL'!G39</f>
        <v>0</v>
      </c>
      <c r="E210" s="102">
        <f>'1,8 NSP CN'!J96</f>
        <v>0</v>
      </c>
      <c r="F210" s="102">
        <f>'1,8 NSP CN'!M96</f>
        <v>0</v>
      </c>
      <c r="G210" s="102">
        <f>'1,8 NSP CN'!P96</f>
        <v>0</v>
      </c>
      <c r="H210" s="102">
        <f>'1,8 NSP CN'!S96</f>
        <v>0</v>
      </c>
      <c r="I210" s="102">
        <f>'1,8 NSP CN'!V96</f>
        <v>0</v>
      </c>
      <c r="J210" s="102">
        <f>'1,8 NSP CN'!Y96</f>
        <v>0</v>
      </c>
      <c r="K210" s="102">
        <f>'1,8 NSP CN'!AB96</f>
        <v>0</v>
      </c>
      <c r="L210" s="102">
        <f>'1,8 NSP CN'!AE96</f>
        <v>0</v>
      </c>
      <c r="M210" s="102">
        <f>'1,8 NSP CN'!AH96</f>
        <v>0</v>
      </c>
      <c r="N210" s="102">
        <f>'1,8 NSP CN'!AK96</f>
        <v>0</v>
      </c>
      <c r="O210" s="159">
        <f>'1,8 NSP CONTROL'!AN39</f>
        <v>2.6548672566371681E-2</v>
      </c>
      <c r="P210" s="1"/>
      <c r="Q210" s="1"/>
    </row>
    <row r="211" spans="1:17" ht="27" x14ac:dyDescent="0.15">
      <c r="A211" s="2" t="s">
        <v>301</v>
      </c>
      <c r="B211" s="77" t="s">
        <v>125</v>
      </c>
      <c r="C211" s="159" t="str">
        <f>'1,8 NSP CONTROL'!D40</f>
        <v/>
      </c>
      <c r="D211" s="159" t="str">
        <f>'1,8 NSP CONTROL'!G40</f>
        <v/>
      </c>
      <c r="E211" s="102">
        <f>'1,8 NSP CN'!J97</f>
        <v>0</v>
      </c>
      <c r="F211" s="102">
        <f>'1,8 NSP CN'!M97</f>
        <v>0</v>
      </c>
      <c r="G211" s="102">
        <f>'1,8 NSP CN'!P97</f>
        <v>0</v>
      </c>
      <c r="H211" s="102">
        <f>'1,8 NSP CN'!S97</f>
        <v>0</v>
      </c>
      <c r="I211" s="102">
        <f>'1,8 NSP CN'!V97</f>
        <v>0</v>
      </c>
      <c r="J211" s="102">
        <f>'1,8 NSP CN'!Y97</f>
        <v>0</v>
      </c>
      <c r="K211" s="102">
        <f>'1,8 NSP CN'!AB97</f>
        <v>0</v>
      </c>
      <c r="L211" s="102">
        <f>'1,8 NSP CN'!AE97</f>
        <v>0</v>
      </c>
      <c r="M211" s="102">
        <f>'1,8 NSP CN'!AH97</f>
        <v>0</v>
      </c>
      <c r="N211" s="102">
        <f>'1,8 NSP CN'!AK97</f>
        <v>0</v>
      </c>
      <c r="O211" s="159" t="str">
        <f>'1,8 NSP CONTROL'!AN40</f>
        <v/>
      </c>
      <c r="P211" s="1"/>
      <c r="Q211" s="1"/>
    </row>
    <row r="212" spans="1:17" ht="27" x14ac:dyDescent="0.15">
      <c r="A212" s="2" t="s">
        <v>301</v>
      </c>
      <c r="B212" s="77" t="s">
        <v>126</v>
      </c>
      <c r="C212" s="159" t="str">
        <f>'1,8 NSP CONTROL'!D41</f>
        <v/>
      </c>
      <c r="D212" s="159" t="str">
        <f>'1,8 NSP CONTROL'!G41</f>
        <v/>
      </c>
      <c r="E212" s="102">
        <f>'1,8 NSP CN'!J98</f>
        <v>0</v>
      </c>
      <c r="F212" s="102">
        <f>'1,8 NSP CN'!M98</f>
        <v>0</v>
      </c>
      <c r="G212" s="102">
        <f>'1,8 NSP CN'!P98</f>
        <v>0</v>
      </c>
      <c r="H212" s="102">
        <f>'1,8 NSP CN'!S98</f>
        <v>0</v>
      </c>
      <c r="I212" s="102">
        <f>'1,8 NSP CN'!V98</f>
        <v>0</v>
      </c>
      <c r="J212" s="102">
        <f>'1,8 NSP CN'!Y98</f>
        <v>0</v>
      </c>
      <c r="K212" s="102">
        <f>'1,8 NSP CN'!AB98</f>
        <v>0</v>
      </c>
      <c r="L212" s="102">
        <f>'1,8 NSP CN'!AE98</f>
        <v>0</v>
      </c>
      <c r="M212" s="102">
        <f>'1,8 NSP CN'!AH98</f>
        <v>0</v>
      </c>
      <c r="N212" s="102">
        <f>'1,8 NSP CN'!AK98</f>
        <v>0</v>
      </c>
      <c r="O212" s="159" t="str">
        <f>'1,8 NSP CONTROL'!AN41</f>
        <v/>
      </c>
      <c r="P212" s="1"/>
      <c r="Q212" s="1"/>
    </row>
    <row r="213" spans="1:17" ht="27" x14ac:dyDescent="0.15">
      <c r="A213" s="2" t="s">
        <v>301</v>
      </c>
      <c r="B213" s="77" t="s">
        <v>127</v>
      </c>
      <c r="C213" s="159" t="str">
        <f>'1,8 NSP CONTROL'!D42</f>
        <v/>
      </c>
      <c r="D213" s="159" t="str">
        <f>'1,8 NSP CONTROL'!G42</f>
        <v/>
      </c>
      <c r="E213" s="102">
        <f>'1,8 NSP CN'!J99</f>
        <v>0</v>
      </c>
      <c r="F213" s="102">
        <f>'1,8 NSP CN'!M99</f>
        <v>0</v>
      </c>
      <c r="G213" s="102">
        <f>'1,8 NSP CN'!P99</f>
        <v>0</v>
      </c>
      <c r="H213" s="102">
        <f>'1,8 NSP CN'!S99</f>
        <v>0</v>
      </c>
      <c r="I213" s="102">
        <f>'1,8 NSP CN'!V99</f>
        <v>0</v>
      </c>
      <c r="J213" s="102">
        <f>'1,8 NSP CN'!Y99</f>
        <v>0</v>
      </c>
      <c r="K213" s="102">
        <f>'1,8 NSP CN'!AB99</f>
        <v>0</v>
      </c>
      <c r="L213" s="102">
        <f>'1,8 NSP CN'!AE99</f>
        <v>0</v>
      </c>
      <c r="M213" s="102">
        <f>'1,8 NSP CN'!AH99</f>
        <v>0</v>
      </c>
      <c r="N213" s="102">
        <f>'1,8 NSP CN'!AK99</f>
        <v>0</v>
      </c>
      <c r="O213" s="159" t="str">
        <f>'1,8 NSP CONTROL'!AN42</f>
        <v/>
      </c>
      <c r="P213" s="1"/>
      <c r="Q213" s="1"/>
    </row>
    <row r="214" spans="1:17" ht="27" x14ac:dyDescent="0.15">
      <c r="A214" s="2" t="s">
        <v>301</v>
      </c>
      <c r="B214" s="77" t="s">
        <v>128</v>
      </c>
      <c r="C214" s="159" t="str">
        <f>'1,8 NSP CONTROL'!D43</f>
        <v/>
      </c>
      <c r="D214" s="159" t="str">
        <f>'1,8 NSP CONTROL'!G43</f>
        <v/>
      </c>
      <c r="E214" s="102">
        <f>'1,8 NSP CN'!J100</f>
        <v>0</v>
      </c>
      <c r="F214" s="102">
        <f>'1,8 NSP CN'!M100</f>
        <v>0</v>
      </c>
      <c r="G214" s="102">
        <f>'1,8 NSP CN'!P100</f>
        <v>0</v>
      </c>
      <c r="H214" s="102">
        <f>'1,8 NSP CN'!S100</f>
        <v>0</v>
      </c>
      <c r="I214" s="102">
        <f>'1,8 NSP CN'!V100</f>
        <v>0</v>
      </c>
      <c r="J214" s="102">
        <f>'1,8 NSP CN'!Y100</f>
        <v>0</v>
      </c>
      <c r="K214" s="102">
        <f>'1,8 NSP CN'!AB100</f>
        <v>0</v>
      </c>
      <c r="L214" s="102">
        <f>'1,8 NSP CN'!AE100</f>
        <v>0</v>
      </c>
      <c r="M214" s="102">
        <f>'1,8 NSP CN'!AH100</f>
        <v>0</v>
      </c>
      <c r="N214" s="102">
        <f>'1,8 NSP CN'!AK100</f>
        <v>0</v>
      </c>
      <c r="O214" s="159" t="str">
        <f>'1,8 NSP CONTROL'!AN43</f>
        <v/>
      </c>
      <c r="P214" s="1"/>
      <c r="Q214" s="1"/>
    </row>
    <row r="215" spans="1:17" ht="27" x14ac:dyDescent="0.15">
      <c r="A215" s="2" t="s">
        <v>301</v>
      </c>
      <c r="B215" s="76" t="s">
        <v>129</v>
      </c>
      <c r="C215" s="159">
        <f>'1,8 NSP CONTROL'!D44</f>
        <v>7.6923076923076927E-2</v>
      </c>
      <c r="D215" s="159">
        <f>'1,8 NSP CONTROL'!G44</f>
        <v>3.4482758620689655E-2</v>
      </c>
      <c r="E215" s="102">
        <f>'1,8 NSP CN'!J101</f>
        <v>0</v>
      </c>
      <c r="F215" s="102">
        <f>'1,8 NSP CN'!M101</f>
        <v>0</v>
      </c>
      <c r="G215" s="102">
        <f>'1,8 NSP CN'!P101</f>
        <v>0</v>
      </c>
      <c r="H215" s="102">
        <f>'1,8 NSP CN'!S101</f>
        <v>0</v>
      </c>
      <c r="I215" s="102">
        <f>'1,8 NSP CN'!V101</f>
        <v>0</v>
      </c>
      <c r="J215" s="102">
        <f>'1,8 NSP CN'!Y101</f>
        <v>0</v>
      </c>
      <c r="K215" s="102">
        <f>'1,8 NSP CN'!AB101</f>
        <v>0</v>
      </c>
      <c r="L215" s="102">
        <f>'1,8 NSP CN'!AE101</f>
        <v>0</v>
      </c>
      <c r="M215" s="102">
        <f>'1,8 NSP CN'!AH101</f>
        <v>0</v>
      </c>
      <c r="N215" s="102">
        <f>'1,8 NSP CN'!AK101</f>
        <v>0</v>
      </c>
      <c r="O215" s="159">
        <f>'1,8 NSP CONTROL'!AN44</f>
        <v>6.6666666666666666E-2</v>
      </c>
      <c r="P215" s="1"/>
      <c r="Q215" s="1"/>
    </row>
    <row r="216" spans="1:17" ht="27" x14ac:dyDescent="0.15">
      <c r="A216" s="2" t="s">
        <v>301</v>
      </c>
      <c r="B216" s="82" t="s">
        <v>130</v>
      </c>
      <c r="C216" s="159">
        <f>'1,8 NSP CONTROL'!D45</f>
        <v>0.10714285714285714</v>
      </c>
      <c r="D216" s="159">
        <f>'1,8 NSP CONTROL'!G45</f>
        <v>0.13005780346820808</v>
      </c>
      <c r="E216" s="102">
        <f>'1,8 NSP CN'!J102</f>
        <v>0</v>
      </c>
      <c r="F216" s="102">
        <f>'1,8 NSP CN'!M102</f>
        <v>0</v>
      </c>
      <c r="G216" s="102">
        <f>'1,8 NSP CN'!P102</f>
        <v>0</v>
      </c>
      <c r="H216" s="102">
        <f>'1,8 NSP CN'!S102</f>
        <v>0</v>
      </c>
      <c r="I216" s="102">
        <f>'1,8 NSP CN'!V102</f>
        <v>0</v>
      </c>
      <c r="J216" s="102">
        <f>'1,8 NSP CN'!Y102</f>
        <v>0</v>
      </c>
      <c r="K216" s="102">
        <f>'1,8 NSP CN'!AB102</f>
        <v>0</v>
      </c>
      <c r="L216" s="102">
        <f>'1,8 NSP CN'!AE102</f>
        <v>0</v>
      </c>
      <c r="M216" s="102">
        <f>'1,8 NSP CN'!AH102</f>
        <v>0</v>
      </c>
      <c r="N216" s="102">
        <f>'1,8 NSP CN'!AK102</f>
        <v>0</v>
      </c>
      <c r="O216" s="159">
        <f>'1,8 NSP CONTROL'!AN45</f>
        <v>0.10934579439252337</v>
      </c>
      <c r="P216" s="1"/>
      <c r="Q216" s="1"/>
    </row>
    <row r="217" spans="1:17" ht="27" x14ac:dyDescent="0.15">
      <c r="A217" s="2" t="s">
        <v>301</v>
      </c>
      <c r="B217" s="82" t="s">
        <v>131</v>
      </c>
      <c r="C217" s="159" t="str">
        <f>'1,8 NSP CONTROL'!D46</f>
        <v/>
      </c>
      <c r="D217" s="159" t="str">
        <f>'1,8 NSP CONTROL'!G46</f>
        <v/>
      </c>
      <c r="E217" s="102">
        <f>'1,8 NSP CN'!J103</f>
        <v>0</v>
      </c>
      <c r="F217" s="102">
        <f>'1,8 NSP CN'!M103</f>
        <v>0</v>
      </c>
      <c r="G217" s="102">
        <f>'1,8 NSP CN'!P103</f>
        <v>0</v>
      </c>
      <c r="H217" s="102">
        <f>'1,8 NSP CN'!S103</f>
        <v>0</v>
      </c>
      <c r="I217" s="102">
        <f>'1,8 NSP CN'!V103</f>
        <v>0</v>
      </c>
      <c r="J217" s="102">
        <f>'1,8 NSP CN'!Y103</f>
        <v>0</v>
      </c>
      <c r="K217" s="102">
        <f>'1,8 NSP CN'!AB103</f>
        <v>0</v>
      </c>
      <c r="L217" s="102">
        <f>'1,8 NSP CN'!AE103</f>
        <v>0</v>
      </c>
      <c r="M217" s="102">
        <f>'1,8 NSP CN'!AH103</f>
        <v>0</v>
      </c>
      <c r="N217" s="102">
        <f>'1,8 NSP CN'!AK103</f>
        <v>0</v>
      </c>
      <c r="O217" s="159" t="str">
        <f>'1,8 NSP CONTROL'!AN46</f>
        <v/>
      </c>
      <c r="P217" s="1"/>
      <c r="Q217" s="1"/>
    </row>
    <row r="218" spans="1:17" ht="27" x14ac:dyDescent="0.2">
      <c r="A218" s="2" t="s">
        <v>301</v>
      </c>
      <c r="B218" s="79" t="s">
        <v>132</v>
      </c>
      <c r="C218" s="159" t="str">
        <f>'1,8 NSP CONTROL'!D47</f>
        <v/>
      </c>
      <c r="D218" s="159" t="str">
        <f>'1,8 NSP CONTROL'!G47</f>
        <v/>
      </c>
      <c r="E218" s="102">
        <f>'1,8 NSP CN'!J104</f>
        <v>0</v>
      </c>
      <c r="F218" s="102">
        <f>'1,8 NSP CN'!M104</f>
        <v>0</v>
      </c>
      <c r="G218" s="102">
        <f>'1,8 NSP CN'!P104</f>
        <v>0</v>
      </c>
      <c r="H218" s="102">
        <f>'1,8 NSP CN'!S104</f>
        <v>0</v>
      </c>
      <c r="I218" s="102">
        <f>'1,8 NSP CN'!V104</f>
        <v>0</v>
      </c>
      <c r="J218" s="102">
        <f>'1,8 NSP CN'!Y104</f>
        <v>0</v>
      </c>
      <c r="K218" s="102">
        <f>'1,8 NSP CN'!AB104</f>
        <v>0</v>
      </c>
      <c r="L218" s="102">
        <f>'1,8 NSP CN'!AE104</f>
        <v>0</v>
      </c>
      <c r="M218" s="102">
        <f>'1,8 NSP CN'!AH104</f>
        <v>0</v>
      </c>
      <c r="N218" s="102">
        <f>'1,8 NSP CN'!AK104</f>
        <v>0</v>
      </c>
      <c r="O218" s="159" t="str">
        <f>'1,8 NSP CONTROL'!AN47</f>
        <v/>
      </c>
      <c r="P218" s="1"/>
      <c r="Q218" s="1"/>
    </row>
    <row r="219" spans="1:17" ht="27" x14ac:dyDescent="0.15">
      <c r="A219" s="2" t="s">
        <v>301</v>
      </c>
      <c r="B219" s="77" t="s">
        <v>133</v>
      </c>
      <c r="C219" s="159">
        <f>'1,8 NSP CONTROL'!D48</f>
        <v>5.737704918032787E-2</v>
      </c>
      <c r="D219" s="159">
        <f>'1,8 NSP CONTROL'!G48</f>
        <v>5.5374592833876218E-2</v>
      </c>
      <c r="E219" s="102">
        <f>'1,8 NSP CN'!J105</f>
        <v>0</v>
      </c>
      <c r="F219" s="102">
        <f>'1,8 NSP CN'!M105</f>
        <v>0</v>
      </c>
      <c r="G219" s="102">
        <f>'1,8 NSP CN'!P105</f>
        <v>0</v>
      </c>
      <c r="H219" s="102">
        <f>'1,8 NSP CN'!S105</f>
        <v>0</v>
      </c>
      <c r="I219" s="102">
        <f>'1,8 NSP CN'!V105</f>
        <v>0</v>
      </c>
      <c r="J219" s="102">
        <f>'1,8 NSP CN'!Y105</f>
        <v>0</v>
      </c>
      <c r="K219" s="102">
        <f>'1,8 NSP CN'!AB105</f>
        <v>0</v>
      </c>
      <c r="L219" s="102">
        <f>'1,8 NSP CN'!AE105</f>
        <v>0</v>
      </c>
      <c r="M219" s="102">
        <f>'1,8 NSP CN'!AH105</f>
        <v>0</v>
      </c>
      <c r="N219" s="102">
        <f>'1,8 NSP CN'!AK105</f>
        <v>0</v>
      </c>
      <c r="O219" s="159">
        <f>'1,8 NSP CONTROL'!AN48</f>
        <v>5.1054384017758046E-2</v>
      </c>
      <c r="P219" s="1"/>
      <c r="Q219" s="1"/>
    </row>
    <row r="220" spans="1:17" ht="27" x14ac:dyDescent="0.15">
      <c r="A220" s="2" t="s">
        <v>301</v>
      </c>
      <c r="B220" s="77" t="s">
        <v>134</v>
      </c>
      <c r="C220" s="159">
        <f>'1,8 NSP CONTROL'!D49</f>
        <v>8.8888888888888892E-2</v>
      </c>
      <c r="D220" s="159">
        <f>'1,8 NSP CONTROL'!G49</f>
        <v>2.3529411764705882E-2</v>
      </c>
      <c r="E220" s="102">
        <f>'1,8 NSP CN'!J106</f>
        <v>0</v>
      </c>
      <c r="F220" s="102">
        <f>'1,8 NSP CN'!M106</f>
        <v>0</v>
      </c>
      <c r="G220" s="102">
        <f>'1,8 NSP CN'!P106</f>
        <v>0</v>
      </c>
      <c r="H220" s="102">
        <f>'1,8 NSP CN'!S106</f>
        <v>0</v>
      </c>
      <c r="I220" s="102">
        <f>'1,8 NSP CN'!V106</f>
        <v>0</v>
      </c>
      <c r="J220" s="102">
        <f>'1,8 NSP CN'!Y106</f>
        <v>0</v>
      </c>
      <c r="K220" s="102">
        <f>'1,8 NSP CN'!AB106</f>
        <v>0</v>
      </c>
      <c r="L220" s="102">
        <f>'1,8 NSP CN'!AE106</f>
        <v>0</v>
      </c>
      <c r="M220" s="102">
        <f>'1,8 NSP CN'!AH106</f>
        <v>0</v>
      </c>
      <c r="N220" s="102">
        <f>'1,8 NSP CN'!AK106</f>
        <v>0</v>
      </c>
      <c r="O220" s="159">
        <f>'1,8 NSP CONTROL'!AN49</f>
        <v>5.0251256281407038E-2</v>
      </c>
      <c r="P220" s="1"/>
      <c r="Q220" s="1"/>
    </row>
    <row r="221" spans="1:17" ht="27" x14ac:dyDescent="0.15">
      <c r="A221" s="2" t="s">
        <v>301</v>
      </c>
      <c r="B221" s="77" t="s">
        <v>135</v>
      </c>
      <c r="C221" s="159">
        <f>'1,8 NSP CONTROL'!D50</f>
        <v>0.14587737843551796</v>
      </c>
      <c r="D221" s="159">
        <f>'1,8 NSP CONTROL'!G50</f>
        <v>0.11792452830188679</v>
      </c>
      <c r="E221" s="102">
        <f>'1,8 NSP CN'!J107</f>
        <v>0</v>
      </c>
      <c r="F221" s="102">
        <f>'1,8 NSP CN'!M107</f>
        <v>0</v>
      </c>
      <c r="G221" s="102">
        <f>'1,8 NSP CN'!P107</f>
        <v>0</v>
      </c>
      <c r="H221" s="102">
        <f>'1,8 NSP CN'!S107</f>
        <v>0</v>
      </c>
      <c r="I221" s="102">
        <f>'1,8 NSP CN'!V107</f>
        <v>0</v>
      </c>
      <c r="J221" s="102">
        <f>'1,8 NSP CN'!Y107</f>
        <v>0</v>
      </c>
      <c r="K221" s="102">
        <f>'1,8 NSP CN'!AB107</f>
        <v>0</v>
      </c>
      <c r="L221" s="102">
        <f>'1,8 NSP CN'!AE107</f>
        <v>0</v>
      </c>
      <c r="M221" s="102">
        <f>'1,8 NSP CN'!AH107</f>
        <v>0</v>
      </c>
      <c r="N221" s="102">
        <f>'1,8 NSP CN'!AK107</f>
        <v>0</v>
      </c>
      <c r="O221" s="159">
        <f>'1,8 NSP CONTROL'!AN50</f>
        <v>0.10647957078002476</v>
      </c>
      <c r="P221" s="1"/>
      <c r="Q221" s="1"/>
    </row>
    <row r="222" spans="1:17" ht="27" x14ac:dyDescent="0.15">
      <c r="A222" s="2" t="s">
        <v>301</v>
      </c>
      <c r="B222" s="77" t="s">
        <v>136</v>
      </c>
      <c r="C222" s="159">
        <f>'1,8 NSP CONTROL'!D51</f>
        <v>6.030150753768844E-2</v>
      </c>
      <c r="D222" s="159">
        <f>'1,8 NSP CONTROL'!G51</f>
        <v>7.1999999999999995E-2</v>
      </c>
      <c r="E222" s="102">
        <f>'1,8 NSP CN'!J108</f>
        <v>0</v>
      </c>
      <c r="F222" s="102">
        <f>'1,8 NSP CN'!M108</f>
        <v>0</v>
      </c>
      <c r="G222" s="102">
        <f>'1,8 NSP CN'!P108</f>
        <v>0</v>
      </c>
      <c r="H222" s="102">
        <f>'1,8 NSP CN'!S108</f>
        <v>0</v>
      </c>
      <c r="I222" s="102">
        <f>'1,8 NSP CN'!V108</f>
        <v>0</v>
      </c>
      <c r="J222" s="102">
        <f>'1,8 NSP CN'!Y108</f>
        <v>0</v>
      </c>
      <c r="K222" s="102">
        <f>'1,8 NSP CN'!AB108</f>
        <v>0</v>
      </c>
      <c r="L222" s="102">
        <f>'1,8 NSP CN'!AE108</f>
        <v>0</v>
      </c>
      <c r="M222" s="102">
        <f>'1,8 NSP CN'!AH108</f>
        <v>0</v>
      </c>
      <c r="N222" s="102">
        <f>'1,8 NSP CN'!AK108</f>
        <v>0</v>
      </c>
      <c r="O222" s="159">
        <f>'1,8 NSP CONTROL'!AN51</f>
        <v>5.5307760927743088E-2</v>
      </c>
      <c r="P222" s="1"/>
      <c r="Q222" s="1"/>
    </row>
    <row r="223" spans="1:17" ht="27" x14ac:dyDescent="0.15">
      <c r="A223" s="2" t="s">
        <v>301</v>
      </c>
      <c r="B223" s="77" t="s">
        <v>137</v>
      </c>
      <c r="C223" s="159" t="str">
        <f>'1,8 NSP CONTROL'!D52</f>
        <v/>
      </c>
      <c r="D223" s="159">
        <f>'1,8 NSP CONTROL'!G52</f>
        <v>0.15625</v>
      </c>
      <c r="E223" s="102">
        <f>'1,8 NSP CN'!J109</f>
        <v>0</v>
      </c>
      <c r="F223" s="102">
        <f>'1,8 NSP CN'!M109</f>
        <v>0</v>
      </c>
      <c r="G223" s="102">
        <f>'1,8 NSP CN'!P109</f>
        <v>0</v>
      </c>
      <c r="H223" s="102">
        <f>'1,8 NSP CN'!S109</f>
        <v>0</v>
      </c>
      <c r="I223" s="102">
        <f>'1,8 NSP CN'!V109</f>
        <v>0</v>
      </c>
      <c r="J223" s="102">
        <f>'1,8 NSP CN'!Y109</f>
        <v>0</v>
      </c>
      <c r="K223" s="102">
        <f>'1,8 NSP CN'!AB109</f>
        <v>0</v>
      </c>
      <c r="L223" s="102">
        <f>'1,8 NSP CN'!AE109</f>
        <v>0</v>
      </c>
      <c r="M223" s="102">
        <f>'1,8 NSP CN'!AH109</f>
        <v>0</v>
      </c>
      <c r="N223" s="102">
        <f>'1,8 NSP CN'!AK109</f>
        <v>0</v>
      </c>
      <c r="O223" s="159">
        <f>'1,8 NSP CONTROL'!AN52</f>
        <v>0.16071428571428573</v>
      </c>
      <c r="P223" s="1"/>
      <c r="Q223" s="1"/>
    </row>
    <row r="224" spans="1:17" ht="27" x14ac:dyDescent="0.15">
      <c r="A224" s="2" t="s">
        <v>301</v>
      </c>
      <c r="B224" s="77" t="s">
        <v>138</v>
      </c>
      <c r="C224" s="159" t="str">
        <f>'1,8 NSP CONTROL'!D53</f>
        <v/>
      </c>
      <c r="D224" s="159" t="str">
        <f>'1,8 NSP CONTROL'!G53</f>
        <v/>
      </c>
      <c r="E224" s="102">
        <f>'1,8 NSP CN'!J110</f>
        <v>0</v>
      </c>
      <c r="F224" s="102">
        <f>'1,8 NSP CN'!M110</f>
        <v>0</v>
      </c>
      <c r="G224" s="102">
        <f>'1,8 NSP CN'!P110</f>
        <v>0</v>
      </c>
      <c r="H224" s="102">
        <f>'1,8 NSP CN'!S110</f>
        <v>0</v>
      </c>
      <c r="I224" s="102">
        <f>'1,8 NSP CN'!V110</f>
        <v>0</v>
      </c>
      <c r="J224" s="102">
        <f>'1,8 NSP CN'!Y110</f>
        <v>0</v>
      </c>
      <c r="K224" s="102">
        <f>'1,8 NSP CN'!AB110</f>
        <v>0</v>
      </c>
      <c r="L224" s="102">
        <f>'1,8 NSP CN'!AE110</f>
        <v>0</v>
      </c>
      <c r="M224" s="102">
        <f>'1,8 NSP CN'!AH110</f>
        <v>0</v>
      </c>
      <c r="N224" s="102">
        <f>'1,8 NSP CN'!AK110</f>
        <v>0</v>
      </c>
      <c r="O224" s="159" t="str">
        <f>'1,8 NSP CONTROL'!AN53</f>
        <v/>
      </c>
      <c r="P224" s="1"/>
      <c r="Q224" s="1"/>
    </row>
    <row r="225" spans="1:17" ht="27" x14ac:dyDescent="0.15">
      <c r="A225" s="2" t="s">
        <v>301</v>
      </c>
      <c r="B225" s="77" t="s">
        <v>139</v>
      </c>
      <c r="C225" s="159" t="str">
        <f>'1,8 NSP CONTROL'!D54</f>
        <v/>
      </c>
      <c r="D225" s="159" t="str">
        <f>'1,8 NSP CONTROL'!G54</f>
        <v/>
      </c>
      <c r="E225" s="102">
        <f>'1,8 NSP CN'!J111</f>
        <v>0</v>
      </c>
      <c r="F225" s="102">
        <f>'1,8 NSP CN'!M111</f>
        <v>0</v>
      </c>
      <c r="G225" s="102">
        <f>'1,8 NSP CN'!P111</f>
        <v>0</v>
      </c>
      <c r="H225" s="102">
        <f>'1,8 NSP CN'!S111</f>
        <v>0</v>
      </c>
      <c r="I225" s="102">
        <f>'1,8 NSP CN'!V111</f>
        <v>0</v>
      </c>
      <c r="J225" s="102">
        <f>'1,8 NSP CN'!Y111</f>
        <v>0</v>
      </c>
      <c r="K225" s="102">
        <f>'1,8 NSP CN'!AB111</f>
        <v>0</v>
      </c>
      <c r="L225" s="102">
        <f>'1,8 NSP CN'!AE111</f>
        <v>0</v>
      </c>
      <c r="M225" s="102">
        <f>'1,8 NSP CN'!AH111</f>
        <v>0</v>
      </c>
      <c r="N225" s="102">
        <f>'1,8 NSP CN'!AK111</f>
        <v>0</v>
      </c>
      <c r="O225" s="159" t="str">
        <f>'1,8 NSP CONTROL'!AN54</f>
        <v/>
      </c>
      <c r="P225" s="1"/>
      <c r="Q225" s="1"/>
    </row>
    <row r="226" spans="1:17" ht="27" x14ac:dyDescent="0.15">
      <c r="A226" s="2" t="s">
        <v>301</v>
      </c>
      <c r="B226" s="76" t="s">
        <v>140</v>
      </c>
      <c r="C226" s="159" t="str">
        <f>'1,8 NSP CONTROL'!D55</f>
        <v/>
      </c>
      <c r="D226" s="159" t="str">
        <f>'1,8 NSP CONTROL'!G55</f>
        <v/>
      </c>
      <c r="E226" s="102">
        <f>'1,8 NSP CN'!J112</f>
        <v>0</v>
      </c>
      <c r="F226" s="102">
        <f>'1,8 NSP CN'!M112</f>
        <v>0</v>
      </c>
      <c r="G226" s="102">
        <f>'1,8 NSP CN'!P112</f>
        <v>0</v>
      </c>
      <c r="H226" s="102">
        <f>'1,8 NSP CN'!S112</f>
        <v>0</v>
      </c>
      <c r="I226" s="102">
        <f>'1,8 NSP CN'!V112</f>
        <v>0</v>
      </c>
      <c r="J226" s="102">
        <f>'1,8 NSP CN'!Y112</f>
        <v>0</v>
      </c>
      <c r="K226" s="102">
        <f>'1,8 NSP CN'!AB112</f>
        <v>0</v>
      </c>
      <c r="L226" s="102">
        <f>'1,8 NSP CN'!AE112</f>
        <v>0</v>
      </c>
      <c r="M226" s="102">
        <f>'1,8 NSP CN'!AH112</f>
        <v>0</v>
      </c>
      <c r="N226" s="102">
        <f>'1,8 NSP CN'!AK112</f>
        <v>0</v>
      </c>
      <c r="O226" s="159" t="str">
        <f>'1,8 NSP CONTROL'!AN55</f>
        <v/>
      </c>
      <c r="P226" s="1"/>
      <c r="Q226" s="1"/>
    </row>
    <row r="227" spans="1:17" ht="27" x14ac:dyDescent="0.15">
      <c r="A227" s="2" t="s">
        <v>301</v>
      </c>
      <c r="B227" s="78" t="s">
        <v>141</v>
      </c>
      <c r="C227" s="159" t="str">
        <f>'1,8 NSP CONTROL'!D56</f>
        <v/>
      </c>
      <c r="D227" s="159" t="str">
        <f>'1,8 NSP CONTROL'!G56</f>
        <v/>
      </c>
      <c r="E227" s="102">
        <f>'1,8 NSP CN'!J113</f>
        <v>0</v>
      </c>
      <c r="F227" s="102">
        <f>'1,8 NSP CN'!M113</f>
        <v>0</v>
      </c>
      <c r="G227" s="102">
        <f>'1,8 NSP CN'!P113</f>
        <v>0</v>
      </c>
      <c r="H227" s="102">
        <f>'1,8 NSP CN'!S113</f>
        <v>0</v>
      </c>
      <c r="I227" s="102">
        <f>'1,8 NSP CN'!V113</f>
        <v>0</v>
      </c>
      <c r="J227" s="102">
        <f>'1,8 NSP CN'!Y113</f>
        <v>0</v>
      </c>
      <c r="K227" s="102">
        <f>'1,8 NSP CN'!AB113</f>
        <v>0</v>
      </c>
      <c r="L227" s="102">
        <f>'1,8 NSP CN'!AE113</f>
        <v>0</v>
      </c>
      <c r="M227" s="102">
        <f>'1,8 NSP CN'!AH113</f>
        <v>0</v>
      </c>
      <c r="N227" s="102">
        <f>'1,8 NSP CN'!AK113</f>
        <v>0</v>
      </c>
      <c r="O227" s="159" t="str">
        <f>'1,8 NSP CONTROL'!AN56</f>
        <v/>
      </c>
      <c r="P227" s="1"/>
      <c r="Q227" s="1"/>
    </row>
    <row r="228" spans="1:17" ht="27" x14ac:dyDescent="0.25">
      <c r="A228" s="2" t="s">
        <v>301</v>
      </c>
      <c r="B228" s="2" t="s">
        <v>200</v>
      </c>
      <c r="C228" s="159">
        <f>'1,8 NSP CONTROL'!D57</f>
        <v>0.12473002159827214</v>
      </c>
      <c r="D228" s="159">
        <f>'1,8 NSP CONTROL'!G57</f>
        <v>0.11365079365079366</v>
      </c>
      <c r="E228" s="102">
        <f>'1,8 NSP CN'!J114</f>
        <v>0</v>
      </c>
      <c r="F228" s="102">
        <f>'1,8 NSP CN'!M114</f>
        <v>0</v>
      </c>
      <c r="G228" s="102">
        <f>'1,8 NSP CN'!P114</f>
        <v>0</v>
      </c>
      <c r="H228" s="102">
        <f>'1,8 NSP CN'!S114</f>
        <v>0</v>
      </c>
      <c r="I228" s="102">
        <f>'1,8 NSP CN'!V114</f>
        <v>0</v>
      </c>
      <c r="J228" s="102">
        <f>'1,8 NSP CN'!Y114</f>
        <v>0</v>
      </c>
      <c r="K228" s="102">
        <f>'1,8 NSP CN'!AB114</f>
        <v>0</v>
      </c>
      <c r="L228" s="102">
        <f>'1,8 NSP CN'!AE114</f>
        <v>0</v>
      </c>
      <c r="M228" s="102">
        <f>'1,8 NSP CN'!AH114</f>
        <v>0</v>
      </c>
      <c r="N228" s="102">
        <f>'1,8 NSP CN'!AK114</f>
        <v>0</v>
      </c>
      <c r="O228" s="159">
        <f>'1,8 NSP CONTROL'!AN57</f>
        <v>0.10732032170483069</v>
      </c>
      <c r="P228" s="1"/>
      <c r="Q228" s="1"/>
    </row>
  </sheetData>
  <phoneticPr fontId="22" type="noConversion"/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"/>
  <sheetViews>
    <sheetView workbookViewId="0">
      <selection activeCell="L12" sqref="L12"/>
    </sheetView>
  </sheetViews>
  <sheetFormatPr baseColWidth="10" defaultColWidth="11.5703125" defaultRowHeight="30" customHeight="1" x14ac:dyDescent="0.3"/>
  <cols>
    <col min="1" max="3" width="11.5703125" style="13"/>
    <col min="4" max="4" width="15.7109375" style="13" customWidth="1"/>
    <col min="5" max="5" width="18.5703125" style="13" customWidth="1"/>
    <col min="6" max="7" width="14" style="13" customWidth="1"/>
    <col min="8" max="8" width="12.5703125" style="13" customWidth="1"/>
    <col min="9" max="9" width="14" style="13" customWidth="1"/>
    <col min="10" max="16384" width="11.5703125" style="13"/>
  </cols>
  <sheetData>
    <row r="1" spans="1:9" s="14" customFormat="1" ht="69" customHeight="1" x14ac:dyDescent="0.3">
      <c r="A1" s="25" t="s">
        <v>11</v>
      </c>
      <c r="B1" s="25" t="s">
        <v>12</v>
      </c>
      <c r="C1" s="25" t="s">
        <v>13</v>
      </c>
      <c r="D1" s="7" t="s">
        <v>6</v>
      </c>
      <c r="E1" s="56" t="s">
        <v>18</v>
      </c>
      <c r="F1" s="56" t="s">
        <v>149</v>
      </c>
      <c r="G1" s="56" t="s">
        <v>16</v>
      </c>
      <c r="H1" s="57" t="s">
        <v>15</v>
      </c>
      <c r="I1" s="7" t="s">
        <v>10</v>
      </c>
    </row>
    <row r="2" spans="1:9" ht="19.899999999999999" customHeight="1" x14ac:dyDescent="0.3">
      <c r="A2" s="86" t="s">
        <v>142</v>
      </c>
      <c r="B2" s="25" t="s">
        <v>144</v>
      </c>
      <c r="C2" s="24" t="s">
        <v>145</v>
      </c>
      <c r="D2" s="71">
        <v>46023</v>
      </c>
      <c r="E2" s="85">
        <f>[4]A21!$H$102+[4]A21!$I$102</f>
        <v>18</v>
      </c>
      <c r="F2" s="87">
        <f>[4]A21!$F$102+[4]A21!$G$102</f>
        <v>318</v>
      </c>
      <c r="G2" s="59" t="s">
        <v>17</v>
      </c>
      <c r="H2" s="60">
        <f>IFERROR(E2/F2,"")</f>
        <v>5.6603773584905662E-2</v>
      </c>
      <c r="I2" s="20"/>
    </row>
    <row r="3" spans="1:9" ht="19.899999999999999" customHeight="1" x14ac:dyDescent="0.3">
      <c r="A3" s="86" t="s">
        <v>142</v>
      </c>
      <c r="B3" s="25" t="s">
        <v>144</v>
      </c>
      <c r="C3" s="24" t="s">
        <v>145</v>
      </c>
      <c r="D3" s="71">
        <v>46054</v>
      </c>
      <c r="E3" s="85">
        <f>[5]A21!$H$102+[5]A21!$I$102</f>
        <v>18</v>
      </c>
      <c r="F3" s="87">
        <f>[5]A21!$F$102+[5]A21!$G$102</f>
        <v>284</v>
      </c>
      <c r="G3" s="59" t="s">
        <v>17</v>
      </c>
      <c r="H3" s="60">
        <f t="shared" ref="H3:H13" si="0">IFERROR(E3/F3,"")</f>
        <v>6.3380281690140844E-2</v>
      </c>
      <c r="I3" s="15"/>
    </row>
    <row r="4" spans="1:9" ht="19.899999999999999" customHeight="1" x14ac:dyDescent="0.3">
      <c r="A4" s="86" t="s">
        <v>142</v>
      </c>
      <c r="B4" s="25" t="s">
        <v>144</v>
      </c>
      <c r="C4" s="24" t="s">
        <v>145</v>
      </c>
      <c r="D4" s="71">
        <v>46082</v>
      </c>
      <c r="E4" s="85">
        <f>[6]A21!$H$102+[6]A21!$I$102</f>
        <v>25</v>
      </c>
      <c r="F4" s="87">
        <f>[6]A21!$F$102+[6]A21!$G$102</f>
        <v>292</v>
      </c>
      <c r="G4" s="59" t="s">
        <v>17</v>
      </c>
      <c r="H4" s="60">
        <f t="shared" si="0"/>
        <v>8.5616438356164379E-2</v>
      </c>
      <c r="I4" s="15"/>
    </row>
    <row r="5" spans="1:9" ht="19.899999999999999" customHeight="1" x14ac:dyDescent="0.3">
      <c r="A5" s="86" t="s">
        <v>142</v>
      </c>
      <c r="B5" s="25" t="s">
        <v>144</v>
      </c>
      <c r="C5" s="24" t="s">
        <v>145</v>
      </c>
      <c r="D5" s="71">
        <v>46113</v>
      </c>
      <c r="E5" s="85">
        <f>[7]A21!$H$102+[7]A21!$I$102</f>
        <v>28</v>
      </c>
      <c r="F5" s="87">
        <f>[7]A21!$F$102+[7]A21!$G$102</f>
        <v>331</v>
      </c>
      <c r="G5" s="59" t="s">
        <v>17</v>
      </c>
      <c r="H5" s="60">
        <f t="shared" si="0"/>
        <v>8.4592145015105744E-2</v>
      </c>
      <c r="I5" s="15"/>
    </row>
    <row r="6" spans="1:9" ht="19.899999999999999" customHeight="1" x14ac:dyDescent="0.3">
      <c r="A6" s="86" t="s">
        <v>142</v>
      </c>
      <c r="B6" s="25" t="s">
        <v>144</v>
      </c>
      <c r="C6" s="24" t="s">
        <v>145</v>
      </c>
      <c r="D6" s="71">
        <v>46143</v>
      </c>
      <c r="E6" s="85">
        <f>[8]A21!$H$102+[8]A21!$I$102</f>
        <v>16</v>
      </c>
      <c r="F6" s="87">
        <f>[8]A21!$F$102+[8]A21!$G$102</f>
        <v>310</v>
      </c>
      <c r="G6" s="59" t="s">
        <v>17</v>
      </c>
      <c r="H6" s="60">
        <f t="shared" si="0"/>
        <v>5.1612903225806452E-2</v>
      </c>
      <c r="I6" s="15"/>
    </row>
    <row r="7" spans="1:9" ht="19.899999999999999" customHeight="1" x14ac:dyDescent="0.3">
      <c r="A7" s="86" t="s">
        <v>142</v>
      </c>
      <c r="B7" s="25" t="s">
        <v>144</v>
      </c>
      <c r="C7" s="24" t="s">
        <v>145</v>
      </c>
      <c r="D7" s="71">
        <v>46174</v>
      </c>
      <c r="E7" s="85">
        <f>[9]A21!$H$102+[9]A21!$I$102</f>
        <v>26</v>
      </c>
      <c r="F7" s="87">
        <f>[9]A21!$F$102+[9]A21!$G$102</f>
        <v>318</v>
      </c>
      <c r="G7" s="59" t="s">
        <v>17</v>
      </c>
      <c r="H7" s="60">
        <f t="shared" si="0"/>
        <v>8.1761006289308172E-2</v>
      </c>
      <c r="I7" s="15"/>
    </row>
    <row r="8" spans="1:9" ht="19.899999999999999" customHeight="1" x14ac:dyDescent="0.3">
      <c r="A8" s="86" t="s">
        <v>142</v>
      </c>
      <c r="B8" s="25" t="s">
        <v>144</v>
      </c>
      <c r="C8" s="24" t="s">
        <v>145</v>
      </c>
      <c r="D8" s="71">
        <v>46204</v>
      </c>
      <c r="E8" s="85"/>
      <c r="F8" s="87"/>
      <c r="G8" s="59" t="s">
        <v>17</v>
      </c>
      <c r="H8" s="60" t="str">
        <f t="shared" si="0"/>
        <v/>
      </c>
      <c r="I8" s="15"/>
    </row>
    <row r="9" spans="1:9" ht="19.899999999999999" customHeight="1" x14ac:dyDescent="0.3">
      <c r="A9" s="86" t="s">
        <v>142</v>
      </c>
      <c r="B9" s="25" t="s">
        <v>144</v>
      </c>
      <c r="C9" s="24" t="s">
        <v>145</v>
      </c>
      <c r="D9" s="71">
        <v>46235</v>
      </c>
      <c r="E9" s="85"/>
      <c r="F9" s="87"/>
      <c r="G9" s="59" t="s">
        <v>17</v>
      </c>
      <c r="H9" s="60" t="str">
        <f t="shared" si="0"/>
        <v/>
      </c>
      <c r="I9" s="15"/>
    </row>
    <row r="10" spans="1:9" ht="19.899999999999999" customHeight="1" x14ac:dyDescent="0.3">
      <c r="A10" s="86" t="s">
        <v>142</v>
      </c>
      <c r="B10" s="25" t="s">
        <v>144</v>
      </c>
      <c r="C10" s="24" t="s">
        <v>145</v>
      </c>
      <c r="D10" s="71">
        <v>46266</v>
      </c>
      <c r="E10" s="85"/>
      <c r="F10" s="87"/>
      <c r="G10" s="59" t="s">
        <v>17</v>
      </c>
      <c r="H10" s="60" t="str">
        <f t="shared" si="0"/>
        <v/>
      </c>
      <c r="I10" s="15"/>
    </row>
    <row r="11" spans="1:9" ht="19.899999999999999" customHeight="1" x14ac:dyDescent="0.3">
      <c r="A11" s="86" t="s">
        <v>142</v>
      </c>
      <c r="B11" s="25" t="s">
        <v>144</v>
      </c>
      <c r="C11" s="24" t="s">
        <v>145</v>
      </c>
      <c r="D11" s="71">
        <v>46296</v>
      </c>
      <c r="E11" s="85"/>
      <c r="F11" s="87"/>
      <c r="G11" s="59" t="s">
        <v>17</v>
      </c>
      <c r="H11" s="60" t="str">
        <f t="shared" si="0"/>
        <v/>
      </c>
      <c r="I11" s="15"/>
    </row>
    <row r="12" spans="1:9" ht="19.899999999999999" customHeight="1" x14ac:dyDescent="0.3">
      <c r="A12" s="86" t="s">
        <v>142</v>
      </c>
      <c r="B12" s="25" t="s">
        <v>144</v>
      </c>
      <c r="C12" s="24" t="s">
        <v>145</v>
      </c>
      <c r="D12" s="71">
        <v>46327</v>
      </c>
      <c r="E12" s="85"/>
      <c r="F12" s="87"/>
      <c r="G12" s="59" t="s">
        <v>17</v>
      </c>
      <c r="H12" s="60" t="str">
        <f t="shared" si="0"/>
        <v/>
      </c>
      <c r="I12" s="15"/>
    </row>
    <row r="13" spans="1:9" ht="19.899999999999999" customHeight="1" x14ac:dyDescent="0.3">
      <c r="A13" s="86" t="s">
        <v>142</v>
      </c>
      <c r="B13" s="25" t="s">
        <v>144</v>
      </c>
      <c r="C13" s="24" t="s">
        <v>145</v>
      </c>
      <c r="D13" s="71">
        <v>46357</v>
      </c>
      <c r="E13" s="85"/>
      <c r="F13" s="87"/>
      <c r="G13" s="59" t="s">
        <v>17</v>
      </c>
      <c r="H13" s="60" t="str">
        <f t="shared" si="0"/>
        <v/>
      </c>
      <c r="I13" s="15"/>
    </row>
    <row r="14" spans="1:9" ht="19.899999999999999" customHeight="1" x14ac:dyDescent="0.3">
      <c r="A14" s="86" t="s">
        <v>142</v>
      </c>
      <c r="B14" s="25" t="s">
        <v>144</v>
      </c>
      <c r="C14" s="24" t="s">
        <v>145</v>
      </c>
      <c r="D14" s="10" t="s">
        <v>4</v>
      </c>
      <c r="E14" s="61">
        <f>SUM(E2:E13)</f>
        <v>131</v>
      </c>
      <c r="F14" s="62">
        <f>SUM(F2:F13)</f>
        <v>1853</v>
      </c>
      <c r="G14" s="59" t="s">
        <v>17</v>
      </c>
      <c r="H14" s="60">
        <f t="shared" ref="H14" si="1">E14/F14</f>
        <v>7.0696168375607119E-2</v>
      </c>
      <c r="I14" s="16"/>
    </row>
  </sheetData>
  <phoneticPr fontId="22" type="noConversion"/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0"/>
  <sheetViews>
    <sheetView workbookViewId="0">
      <selection activeCell="D14" sqref="D14"/>
    </sheetView>
  </sheetViews>
  <sheetFormatPr baseColWidth="10" defaultColWidth="11.5703125" defaultRowHeight="30" customHeight="1" x14ac:dyDescent="0.3"/>
  <cols>
    <col min="1" max="1" width="15.28515625" style="13" customWidth="1"/>
    <col min="2" max="2" width="30.28515625" style="13" customWidth="1"/>
    <col min="3" max="4" width="11.5703125" style="13"/>
    <col min="5" max="5" width="16" style="13" customWidth="1"/>
    <col min="6" max="6" width="13.28515625" style="13" customWidth="1"/>
    <col min="7" max="7" width="14.85546875" style="13" customWidth="1"/>
    <col min="8" max="8" width="11.5703125" style="13"/>
    <col min="9" max="9" width="21" style="13" customWidth="1"/>
    <col min="10" max="16384" width="11.5703125" style="13"/>
  </cols>
  <sheetData>
    <row r="1" spans="1:12" s="14" customFormat="1" ht="69" customHeight="1" x14ac:dyDescent="0.3">
      <c r="A1" s="8" t="s">
        <v>11</v>
      </c>
      <c r="B1" s="8" t="s">
        <v>12</v>
      </c>
      <c r="C1" s="8" t="s">
        <v>13</v>
      </c>
      <c r="D1" s="7" t="s">
        <v>5</v>
      </c>
      <c r="E1" s="7" t="s">
        <v>6</v>
      </c>
      <c r="F1" s="7" t="s">
        <v>8</v>
      </c>
      <c r="G1" s="7" t="s">
        <v>9</v>
      </c>
      <c r="H1" s="7" t="s">
        <v>7</v>
      </c>
      <c r="I1" s="7" t="s">
        <v>0</v>
      </c>
    </row>
    <row r="2" spans="1:12" ht="19.899999999999999" customHeight="1" x14ac:dyDescent="0.3">
      <c r="A2" s="19" t="s">
        <v>142</v>
      </c>
      <c r="B2" s="23" t="s">
        <v>143</v>
      </c>
      <c r="C2" s="21" t="s">
        <v>21</v>
      </c>
      <c r="D2" s="22">
        <v>0.5</v>
      </c>
      <c r="E2" s="71">
        <v>46023</v>
      </c>
      <c r="F2" s="85">
        <f>[17]B17!$C$199</f>
        <v>315</v>
      </c>
      <c r="G2" s="85">
        <f>[17]B17!$C$198</f>
        <v>122</v>
      </c>
      <c r="H2" s="15">
        <f>F2/(F2+G2)</f>
        <v>0.7208237986270023</v>
      </c>
      <c r="I2" s="9">
        <v>1</v>
      </c>
      <c r="K2" s="107">
        <v>169</v>
      </c>
      <c r="L2" s="107">
        <f>[18]A08!$C$107+[18]A08!$C$108+[18]A08!$C$109+[18]A08!$C$112</f>
        <v>261</v>
      </c>
    </row>
    <row r="3" spans="1:12" ht="19.899999999999999" customHeight="1" x14ac:dyDescent="0.3">
      <c r="A3" s="19" t="s">
        <v>142</v>
      </c>
      <c r="B3" s="23" t="s">
        <v>143</v>
      </c>
      <c r="C3" s="21" t="s">
        <v>21</v>
      </c>
      <c r="D3" s="22">
        <v>0.5</v>
      </c>
      <c r="E3" s="71">
        <v>46054</v>
      </c>
      <c r="F3" s="85">
        <f>[19]B17!$C$199</f>
        <v>257</v>
      </c>
      <c r="G3" s="85">
        <f>[19]B17!$C$198</f>
        <v>143</v>
      </c>
      <c r="H3" s="15">
        <f t="shared" ref="H3:H14" si="0">F3/(F3+G3)</f>
        <v>0.64249999999999996</v>
      </c>
      <c r="I3" s="9">
        <v>1</v>
      </c>
    </row>
    <row r="4" spans="1:12" ht="19.899999999999999" customHeight="1" x14ac:dyDescent="0.3">
      <c r="A4" s="19" t="s">
        <v>142</v>
      </c>
      <c r="B4" s="23" t="s">
        <v>143</v>
      </c>
      <c r="C4" s="21" t="s">
        <v>21</v>
      </c>
      <c r="D4" s="22">
        <v>0.5</v>
      </c>
      <c r="E4" s="71">
        <v>46082</v>
      </c>
      <c r="F4" s="85">
        <f>[20]B17!$C$199</f>
        <v>313</v>
      </c>
      <c r="G4" s="85">
        <f>[20]B17!$C$198</f>
        <v>158</v>
      </c>
      <c r="H4" s="15">
        <f t="shared" si="0"/>
        <v>0.66454352441613584</v>
      </c>
      <c r="I4" s="9">
        <v>1</v>
      </c>
    </row>
    <row r="5" spans="1:12" ht="19.899999999999999" customHeight="1" x14ac:dyDescent="0.3">
      <c r="A5" s="19" t="s">
        <v>142</v>
      </c>
      <c r="B5" s="23" t="s">
        <v>143</v>
      </c>
      <c r="C5" s="21" t="s">
        <v>21</v>
      </c>
      <c r="D5" s="22">
        <v>0.5</v>
      </c>
      <c r="E5" s="71">
        <v>46113</v>
      </c>
      <c r="F5" s="85">
        <f>[21]B17!$C$199</f>
        <v>354</v>
      </c>
      <c r="G5" s="85">
        <f>[21]B17!$C$198</f>
        <v>139</v>
      </c>
      <c r="H5" s="15">
        <f t="shared" si="0"/>
        <v>0.71805273833671401</v>
      </c>
      <c r="I5" s="9">
        <v>1</v>
      </c>
    </row>
    <row r="6" spans="1:12" ht="19.899999999999999" customHeight="1" x14ac:dyDescent="0.3">
      <c r="A6" s="19" t="s">
        <v>142</v>
      </c>
      <c r="B6" s="23" t="s">
        <v>143</v>
      </c>
      <c r="C6" s="21" t="s">
        <v>21</v>
      </c>
      <c r="D6" s="22">
        <v>0.5</v>
      </c>
      <c r="E6" s="71">
        <v>46143</v>
      </c>
      <c r="F6" s="85">
        <f>[22]B17!$C$199</f>
        <v>395</v>
      </c>
      <c r="G6" s="85">
        <f>[22]B17!$C$198</f>
        <v>147</v>
      </c>
      <c r="H6" s="15">
        <f t="shared" si="0"/>
        <v>0.72878228782287824</v>
      </c>
      <c r="I6" s="9">
        <v>1</v>
      </c>
    </row>
    <row r="7" spans="1:12" ht="19.899999999999999" customHeight="1" x14ac:dyDescent="0.3">
      <c r="A7" s="19" t="s">
        <v>142</v>
      </c>
      <c r="B7" s="23" t="s">
        <v>143</v>
      </c>
      <c r="C7" s="21" t="s">
        <v>21</v>
      </c>
      <c r="D7" s="22">
        <v>0.5</v>
      </c>
      <c r="E7" s="71">
        <v>46174</v>
      </c>
      <c r="F7" s="85">
        <f>[23]B17!$C$165</f>
        <v>356</v>
      </c>
      <c r="G7" s="85">
        <f>[23]B17!$C$164</f>
        <v>148</v>
      </c>
      <c r="H7" s="15">
        <f t="shared" si="0"/>
        <v>0.70634920634920639</v>
      </c>
      <c r="I7" s="9"/>
    </row>
    <row r="8" spans="1:12" ht="19.899999999999999" customHeight="1" x14ac:dyDescent="0.3">
      <c r="A8" s="19" t="s">
        <v>142</v>
      </c>
      <c r="B8" s="23" t="s">
        <v>143</v>
      </c>
      <c r="C8" s="21" t="s">
        <v>21</v>
      </c>
      <c r="D8" s="22">
        <v>0.5</v>
      </c>
      <c r="E8" s="71">
        <v>46204</v>
      </c>
      <c r="F8" s="85"/>
      <c r="G8" s="85"/>
      <c r="H8" s="15" t="e">
        <f t="shared" si="0"/>
        <v>#DIV/0!</v>
      </c>
      <c r="I8" s="9"/>
    </row>
    <row r="9" spans="1:12" ht="19.899999999999999" customHeight="1" x14ac:dyDescent="0.3">
      <c r="A9" s="19" t="s">
        <v>142</v>
      </c>
      <c r="B9" s="23" t="s">
        <v>143</v>
      </c>
      <c r="C9" s="21" t="s">
        <v>21</v>
      </c>
      <c r="D9" s="22">
        <v>0.5</v>
      </c>
      <c r="E9" s="71">
        <v>46235</v>
      </c>
      <c r="F9" s="85"/>
      <c r="G9" s="85"/>
      <c r="H9" s="15" t="e">
        <f t="shared" si="0"/>
        <v>#DIV/0!</v>
      </c>
      <c r="I9" s="9"/>
    </row>
    <row r="10" spans="1:12" ht="19.899999999999999" customHeight="1" x14ac:dyDescent="0.3">
      <c r="A10" s="19" t="s">
        <v>142</v>
      </c>
      <c r="B10" s="23" t="s">
        <v>143</v>
      </c>
      <c r="C10" s="21" t="s">
        <v>21</v>
      </c>
      <c r="D10" s="22">
        <v>0.5</v>
      </c>
      <c r="E10" s="71">
        <v>46266</v>
      </c>
      <c r="F10" s="85"/>
      <c r="G10" s="85"/>
      <c r="H10" s="15" t="e">
        <f t="shared" si="0"/>
        <v>#DIV/0!</v>
      </c>
      <c r="I10" s="9"/>
    </row>
    <row r="11" spans="1:12" ht="19.899999999999999" customHeight="1" x14ac:dyDescent="0.3">
      <c r="A11" s="19" t="s">
        <v>142</v>
      </c>
      <c r="B11" s="23" t="s">
        <v>143</v>
      </c>
      <c r="C11" s="21" t="s">
        <v>21</v>
      </c>
      <c r="D11" s="22">
        <v>0.5</v>
      </c>
      <c r="E11" s="71">
        <v>46296</v>
      </c>
      <c r="F11" s="85"/>
      <c r="G11" s="85"/>
      <c r="H11" s="15" t="e">
        <f t="shared" si="0"/>
        <v>#DIV/0!</v>
      </c>
      <c r="I11" s="9"/>
    </row>
    <row r="12" spans="1:12" ht="19.899999999999999" customHeight="1" x14ac:dyDescent="0.3">
      <c r="A12" s="19" t="s">
        <v>142</v>
      </c>
      <c r="B12" s="23" t="s">
        <v>143</v>
      </c>
      <c r="C12" s="21" t="s">
        <v>21</v>
      </c>
      <c r="D12" s="22">
        <v>0.5</v>
      </c>
      <c r="E12" s="71">
        <v>46327</v>
      </c>
      <c r="F12" s="85"/>
      <c r="G12" s="85"/>
      <c r="H12" s="15" t="e">
        <f t="shared" si="0"/>
        <v>#DIV/0!</v>
      </c>
      <c r="I12" s="9"/>
    </row>
    <row r="13" spans="1:12" ht="19.899999999999999" customHeight="1" x14ac:dyDescent="0.3">
      <c r="A13" s="19" t="s">
        <v>142</v>
      </c>
      <c r="B13" s="23" t="s">
        <v>143</v>
      </c>
      <c r="C13" s="21" t="s">
        <v>21</v>
      </c>
      <c r="D13" s="22">
        <v>0.5</v>
      </c>
      <c r="E13" s="71">
        <v>46357</v>
      </c>
      <c r="F13" s="85"/>
      <c r="G13" s="85"/>
      <c r="H13" s="15" t="e">
        <f t="shared" si="0"/>
        <v>#DIV/0!</v>
      </c>
      <c r="I13" s="9"/>
    </row>
    <row r="14" spans="1:12" ht="19.899999999999999" customHeight="1" x14ac:dyDescent="0.3">
      <c r="A14" s="19" t="s">
        <v>142</v>
      </c>
      <c r="B14" s="23" t="s">
        <v>143</v>
      </c>
      <c r="C14" s="21" t="s">
        <v>21</v>
      </c>
      <c r="D14" s="22">
        <v>0.5</v>
      </c>
      <c r="E14" s="10" t="s">
        <v>4</v>
      </c>
      <c r="F14" s="11">
        <f>SUM(F2:F13)</f>
        <v>1990</v>
      </c>
      <c r="G14" s="11">
        <f>SUM(G2:G13)</f>
        <v>857</v>
      </c>
      <c r="H14" s="16">
        <f t="shared" si="0"/>
        <v>0.69898138391289077</v>
      </c>
      <c r="I14" s="12">
        <v>1</v>
      </c>
      <c r="J14" s="108">
        <f>SUM(F14+G14)</f>
        <v>2847</v>
      </c>
    </row>
    <row r="20" spans="10:10" ht="30" customHeight="1" x14ac:dyDescent="0.3">
      <c r="J20" s="13">
        <v>0.95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6828D-A9CC-4D12-9AF9-F9AE986A2715}">
  <dimension ref="A1:AN28"/>
  <sheetViews>
    <sheetView workbookViewId="0">
      <selection activeCell="F1" sqref="F1:I1"/>
    </sheetView>
  </sheetViews>
  <sheetFormatPr baseColWidth="10" defaultRowHeight="15" x14ac:dyDescent="0.25"/>
  <cols>
    <col min="3" max="3" width="17.28515625" customWidth="1"/>
    <col min="4" max="4" width="16.28515625" customWidth="1"/>
    <col min="5" max="5" width="18.42578125" customWidth="1"/>
    <col min="6" max="6" width="13.28515625" customWidth="1"/>
    <col min="7" max="7" width="15.140625" customWidth="1"/>
    <col min="8" max="8" width="17.5703125" customWidth="1"/>
    <col min="9" max="9" width="15.5703125" customWidth="1"/>
    <col min="10" max="11" width="17.7109375" customWidth="1"/>
    <col min="37" max="37" width="14.7109375" customWidth="1"/>
  </cols>
  <sheetData>
    <row r="1" spans="1:40" ht="111" customHeight="1" x14ac:dyDescent="0.3">
      <c r="A1" s="7" t="s">
        <v>6</v>
      </c>
      <c r="B1" s="169" t="s">
        <v>312</v>
      </c>
      <c r="C1" s="169" t="s">
        <v>305</v>
      </c>
      <c r="D1" s="169" t="s">
        <v>308</v>
      </c>
      <c r="E1" s="169" t="s">
        <v>306</v>
      </c>
      <c r="F1" s="56" t="s">
        <v>311</v>
      </c>
      <c r="G1" s="56" t="s">
        <v>307</v>
      </c>
      <c r="H1" s="56" t="s">
        <v>309</v>
      </c>
      <c r="I1" s="56" t="s">
        <v>310</v>
      </c>
      <c r="J1" s="170" t="s">
        <v>317</v>
      </c>
      <c r="K1" s="170" t="s">
        <v>315</v>
      </c>
      <c r="L1" s="170" t="s">
        <v>314</v>
      </c>
      <c r="M1" s="170" t="s">
        <v>316</v>
      </c>
      <c r="N1" s="170" t="s">
        <v>313</v>
      </c>
      <c r="O1" s="171" t="s">
        <v>318</v>
      </c>
      <c r="P1" s="171" t="s">
        <v>342</v>
      </c>
      <c r="Q1" s="171" t="s">
        <v>343</v>
      </c>
      <c r="R1" s="171" t="s">
        <v>344</v>
      </c>
      <c r="S1" s="171" t="s">
        <v>345</v>
      </c>
      <c r="T1" s="185" t="s">
        <v>346</v>
      </c>
      <c r="U1" s="185" t="s">
        <v>347</v>
      </c>
      <c r="V1" s="185" t="s">
        <v>348</v>
      </c>
      <c r="W1" s="185" t="s">
        <v>349</v>
      </c>
      <c r="X1" s="172" t="s">
        <v>319</v>
      </c>
      <c r="Y1" s="172" t="s">
        <v>320</v>
      </c>
      <c r="Z1" s="172" t="s">
        <v>321</v>
      </c>
      <c r="AA1" s="172" t="s">
        <v>322</v>
      </c>
      <c r="AB1" s="172" t="s">
        <v>323</v>
      </c>
      <c r="AC1" s="173" t="s">
        <v>324</v>
      </c>
      <c r="AD1" s="173" t="s">
        <v>325</v>
      </c>
      <c r="AE1" s="173" t="s">
        <v>326</v>
      </c>
      <c r="AF1" s="173" t="s">
        <v>327</v>
      </c>
      <c r="AG1" s="174" t="s">
        <v>328</v>
      </c>
      <c r="AH1" s="174" t="s">
        <v>329</v>
      </c>
      <c r="AI1" s="174" t="s">
        <v>330</v>
      </c>
      <c r="AJ1" s="174" t="s">
        <v>331</v>
      </c>
      <c r="AK1" s="191" t="s">
        <v>350</v>
      </c>
      <c r="AL1" s="191" t="s">
        <v>352</v>
      </c>
      <c r="AM1" s="191" t="s">
        <v>353</v>
      </c>
      <c r="AN1" s="191" t="s">
        <v>351</v>
      </c>
    </row>
    <row r="2" spans="1:40" ht="16.5" x14ac:dyDescent="0.3">
      <c r="A2" s="71">
        <v>46023</v>
      </c>
      <c r="B2" s="178">
        <v>6.5000000000000002E-2</v>
      </c>
      <c r="C2" s="176">
        <f>'1,2 SUSP CX'!E2</f>
        <v>18</v>
      </c>
      <c r="D2" s="176">
        <f>'1,2 SUSP CX'!F2</f>
        <v>318</v>
      </c>
      <c r="E2" s="177">
        <f>'1,2 SUSP CX'!H2</f>
        <v>5.6603773584905662E-2</v>
      </c>
      <c r="F2" s="179">
        <v>0.995</v>
      </c>
      <c r="G2" s="176">
        <f>'3,1 CUMPLIMIENTO GES'!E2</f>
        <v>2259</v>
      </c>
      <c r="H2" s="176">
        <f>'3,1 CUMPLIMIENTO GES'!F2</f>
        <v>2377</v>
      </c>
      <c r="I2" s="177">
        <f>'3,1 CUMPLIMIENTO GES'!H2</f>
        <v>0.95035759360538496</v>
      </c>
      <c r="J2" s="190">
        <v>0.95</v>
      </c>
      <c r="K2" s="182"/>
      <c r="L2" s="183"/>
      <c r="M2" s="183"/>
      <c r="N2" s="183"/>
      <c r="O2" s="190">
        <v>0.95</v>
      </c>
      <c r="P2" s="182"/>
      <c r="Q2" s="183"/>
      <c r="R2" s="183"/>
      <c r="S2" s="183"/>
      <c r="T2" s="183"/>
      <c r="U2" s="183"/>
      <c r="V2" s="183"/>
      <c r="W2" s="183"/>
      <c r="X2" s="190">
        <v>0.95</v>
      </c>
      <c r="Y2" s="183"/>
      <c r="Z2" s="183"/>
      <c r="AA2" s="183"/>
      <c r="AB2" s="183"/>
      <c r="AC2" s="179">
        <v>0.995</v>
      </c>
      <c r="AD2" s="176">
        <f>'6,1 CUMPLIMIENTO GES ONCO'!E2</f>
        <v>152</v>
      </c>
      <c r="AE2" s="176">
        <f>'6,1 CUMPLIMIENTO GES ONCO'!F2</f>
        <v>160</v>
      </c>
      <c r="AF2" s="177">
        <f>'6,1 CUMPLIMIENTO GES ONCO'!G2</f>
        <v>0.95</v>
      </c>
      <c r="AG2" s="190">
        <v>0.95</v>
      </c>
      <c r="AH2" s="175"/>
      <c r="AI2" s="175"/>
      <c r="AJ2" s="175"/>
      <c r="AK2" s="194">
        <v>1</v>
      </c>
      <c r="AL2" s="183"/>
      <c r="AM2" s="183"/>
      <c r="AN2" s="183"/>
    </row>
    <row r="3" spans="1:40" ht="16.5" x14ac:dyDescent="0.3">
      <c r="A3" s="71">
        <v>46054</v>
      </c>
      <c r="B3" s="178">
        <v>6.5000000000000002E-2</v>
      </c>
      <c r="C3" s="176">
        <f>'1,2 SUSP CX'!E3</f>
        <v>18</v>
      </c>
      <c r="D3" s="176">
        <f>'1,2 SUSP CX'!F3</f>
        <v>284</v>
      </c>
      <c r="E3" s="177">
        <f>'1,2 SUSP CX'!H3</f>
        <v>6.3380281690140844E-2</v>
      </c>
      <c r="F3" s="179">
        <v>0.995</v>
      </c>
      <c r="G3" s="176">
        <f>'3,1 CUMPLIMIENTO GES'!E3</f>
        <v>2920</v>
      </c>
      <c r="H3" s="176">
        <f>'3,1 CUMPLIMIENTO GES'!F3</f>
        <v>3095</v>
      </c>
      <c r="I3" s="177">
        <f>'3,1 CUMPLIMIENTO GES'!H3</f>
        <v>0.94345718901453957</v>
      </c>
      <c r="J3" s="190">
        <v>0.95</v>
      </c>
      <c r="K3" s="183"/>
      <c r="L3" s="183"/>
      <c r="M3" s="183"/>
      <c r="N3" s="183"/>
      <c r="O3" s="190">
        <v>0.95</v>
      </c>
      <c r="P3" s="183"/>
      <c r="Q3" s="183"/>
      <c r="R3" s="183"/>
      <c r="S3" s="183"/>
      <c r="T3" s="183"/>
      <c r="U3" s="183"/>
      <c r="V3" s="183"/>
      <c r="W3" s="183"/>
      <c r="X3" s="190">
        <v>0.95</v>
      </c>
      <c r="Y3" s="183"/>
      <c r="Z3" s="183"/>
      <c r="AA3" s="183"/>
      <c r="AB3" s="183"/>
      <c r="AC3" s="179">
        <v>0.995</v>
      </c>
      <c r="AD3" s="176">
        <f>'6,1 CUMPLIMIENTO GES ONCO'!E3</f>
        <v>187</v>
      </c>
      <c r="AE3" s="176">
        <f>'6,1 CUMPLIMIENTO GES ONCO'!F3</f>
        <v>199</v>
      </c>
      <c r="AF3" s="177">
        <f>'6,1 CUMPLIMIENTO GES ONCO'!G3</f>
        <v>0.93969849246231152</v>
      </c>
      <c r="AG3" s="190">
        <v>0.95</v>
      </c>
      <c r="AH3" s="175"/>
      <c r="AI3" s="175"/>
      <c r="AJ3" s="175"/>
      <c r="AK3" s="194">
        <v>1</v>
      </c>
      <c r="AL3" s="183"/>
      <c r="AM3" s="183"/>
      <c r="AN3" s="183"/>
    </row>
    <row r="4" spans="1:40" ht="16.5" x14ac:dyDescent="0.3">
      <c r="A4" s="71">
        <v>46082</v>
      </c>
      <c r="B4" s="178">
        <v>6.5000000000000002E-2</v>
      </c>
      <c r="C4" s="176">
        <f>'1,2 SUSP CX'!E4</f>
        <v>25</v>
      </c>
      <c r="D4" s="176">
        <f>'1,2 SUSP CX'!F4</f>
        <v>292</v>
      </c>
      <c r="E4" s="177">
        <f>'1,2 SUSP CX'!H4</f>
        <v>8.5616438356164379E-2</v>
      </c>
      <c r="F4" s="179">
        <v>0.995</v>
      </c>
      <c r="G4" s="176">
        <f>'3,1 CUMPLIMIENTO GES'!E4</f>
        <v>3387</v>
      </c>
      <c r="H4" s="176">
        <f>'3,1 CUMPLIMIENTO GES'!F4</f>
        <v>3758</v>
      </c>
      <c r="I4" s="177">
        <f>'3,1 CUMPLIMIENTO GES'!H4</f>
        <v>0.90127727514635447</v>
      </c>
      <c r="J4" s="190">
        <v>0.95</v>
      </c>
      <c r="K4" s="184"/>
      <c r="L4" s="184"/>
      <c r="M4" s="184"/>
      <c r="N4" s="184"/>
      <c r="O4" s="190">
        <v>0.95</v>
      </c>
      <c r="P4" s="183"/>
      <c r="Q4" s="183"/>
      <c r="R4" s="183"/>
      <c r="S4" s="183"/>
      <c r="T4" s="183"/>
      <c r="U4" s="183"/>
      <c r="V4" s="183"/>
      <c r="W4" s="183"/>
      <c r="X4" s="190">
        <v>0.95</v>
      </c>
      <c r="Y4" s="176">
        <f>'LISTAS DE ESPERA'!G149</f>
        <v>367</v>
      </c>
      <c r="Z4" s="176">
        <f>'LISTAS DE ESPERA'!H149</f>
        <v>289</v>
      </c>
      <c r="AA4" s="176">
        <f>'LISTAS DE ESPERA'!I149</f>
        <v>78</v>
      </c>
      <c r="AB4" s="177">
        <f>'LISTAS DE ESPERA'!J149</f>
        <v>0.21253405994550409</v>
      </c>
      <c r="AC4" s="179">
        <v>0.995</v>
      </c>
      <c r="AD4" s="176">
        <f>'6,1 CUMPLIMIENTO GES ONCO'!E4</f>
        <v>208</v>
      </c>
      <c r="AE4" s="176">
        <f>'6,1 CUMPLIMIENTO GES ONCO'!F4</f>
        <v>258</v>
      </c>
      <c r="AF4" s="177">
        <f>'6,1 CUMPLIMIENTO GES ONCO'!G4</f>
        <v>0.80620155038759689</v>
      </c>
      <c r="AG4" s="190">
        <v>0.95</v>
      </c>
      <c r="AH4" s="175"/>
      <c r="AI4" s="175"/>
      <c r="AJ4" s="175"/>
      <c r="AK4" s="194">
        <v>1</v>
      </c>
      <c r="AL4" s="192">
        <f>'4,5 GASTO PERSONAS NATURALES '!B4</f>
        <v>3223649</v>
      </c>
      <c r="AM4" s="192">
        <f>'4,5 GASTO PERSONAS NATURALES '!C4</f>
        <v>3876000</v>
      </c>
      <c r="AN4" s="195">
        <f>'4,5 GASTO PERSONAS NATURALES '!E4</f>
        <v>0.83169478844169242</v>
      </c>
    </row>
    <row r="5" spans="1:40" ht="16.5" x14ac:dyDescent="0.3">
      <c r="A5" s="71">
        <v>46113</v>
      </c>
      <c r="B5" s="178">
        <v>6.5000000000000002E-2</v>
      </c>
      <c r="C5" s="176">
        <f>'1,2 SUSP CX'!E5</f>
        <v>28</v>
      </c>
      <c r="D5" s="176">
        <f>'1,2 SUSP CX'!F5</f>
        <v>331</v>
      </c>
      <c r="E5" s="177">
        <f>'1,2 SUSP CX'!H5</f>
        <v>8.4592145015105744E-2</v>
      </c>
      <c r="F5" s="179">
        <v>0.995</v>
      </c>
      <c r="G5" s="176">
        <f>'3,1 CUMPLIMIENTO GES'!E5</f>
        <v>4820</v>
      </c>
      <c r="H5" s="176">
        <f>'3,1 CUMPLIMIENTO GES'!F5</f>
        <v>5273</v>
      </c>
      <c r="I5" s="177">
        <f>'3,1 CUMPLIMIENTO GES'!H5</f>
        <v>0.91409065048359572</v>
      </c>
      <c r="J5" s="190">
        <v>0.95</v>
      </c>
      <c r="K5" s="176">
        <f>'LISTAS DE ESPERA'!G92</f>
        <v>2048</v>
      </c>
      <c r="L5" s="176">
        <f>'LISTAS DE ESPERA'!H92</f>
        <v>1559</v>
      </c>
      <c r="M5" s="176">
        <f>'LISTAS DE ESPERA'!I92</f>
        <v>489</v>
      </c>
      <c r="N5" s="186">
        <f>'LISTAS DE ESPERA'!J92</f>
        <v>0.23876953125</v>
      </c>
      <c r="O5" s="190">
        <v>0.95</v>
      </c>
      <c r="P5" s="176">
        <f>'LISTAS DE ESPERA'!G115</f>
        <v>1353</v>
      </c>
      <c r="Q5" s="176">
        <f>'LISTAS DE ESPERA'!H115</f>
        <v>791</v>
      </c>
      <c r="R5" s="176">
        <f>'LISTAS DE ESPERA'!I115</f>
        <v>562</v>
      </c>
      <c r="S5" s="177">
        <f>'LISTAS DE ESPERA'!J115</f>
        <v>0.4153732446415373</v>
      </c>
      <c r="T5" s="176">
        <f>'LISTAS DE ESPERA'!G132</f>
        <v>610</v>
      </c>
      <c r="U5" s="176">
        <f>'LISTAS DE ESPERA'!H132</f>
        <v>559</v>
      </c>
      <c r="V5" s="176">
        <f>'LISTAS DE ESPERA'!I132</f>
        <v>51</v>
      </c>
      <c r="W5" s="177">
        <f>'LISTAS DE ESPERA'!J132</f>
        <v>8.3606557377049182E-2</v>
      </c>
      <c r="X5" s="190">
        <v>0.95</v>
      </c>
      <c r="Y5" s="176">
        <f>'LISTAS DE ESPERA'!G151</f>
        <v>368</v>
      </c>
      <c r="Z5" s="176">
        <f>'LISTAS DE ESPERA'!H151</f>
        <v>261</v>
      </c>
      <c r="AA5" s="176">
        <f>'LISTAS DE ESPERA'!I151</f>
        <v>107</v>
      </c>
      <c r="AB5" s="177">
        <f>'LISTAS DE ESPERA'!J151</f>
        <v>0.29076086956521741</v>
      </c>
      <c r="AC5" s="179">
        <v>0.995</v>
      </c>
      <c r="AD5" s="176">
        <f>'6,1 CUMPLIMIENTO GES ONCO'!E5</f>
        <v>208</v>
      </c>
      <c r="AE5" s="176">
        <f>'6,1 CUMPLIMIENTO GES ONCO'!F5</f>
        <v>285</v>
      </c>
      <c r="AF5" s="177">
        <f>'6,1 CUMPLIMIENTO GES ONCO'!G5</f>
        <v>0.72982456140350882</v>
      </c>
      <c r="AG5" s="190">
        <v>0.95</v>
      </c>
      <c r="AH5" s="175"/>
      <c r="AI5" s="175"/>
      <c r="AJ5" s="175"/>
      <c r="AK5" s="194">
        <v>1</v>
      </c>
      <c r="AL5" s="192">
        <f>'4,5 GASTO PERSONAS NATURALES '!B5</f>
        <v>0</v>
      </c>
      <c r="AM5" s="192">
        <f>'4,5 GASTO PERSONAS NATURALES '!C5</f>
        <v>0</v>
      </c>
      <c r="AN5" s="195" t="str">
        <f>'4,5 GASTO PERSONAS NATURALES '!E5</f>
        <v/>
      </c>
    </row>
    <row r="6" spans="1:40" ht="16.5" x14ac:dyDescent="0.3">
      <c r="A6" s="71">
        <v>46143</v>
      </c>
      <c r="B6" s="178">
        <v>6.5000000000000002E-2</v>
      </c>
      <c r="C6" s="176">
        <f>'1,2 SUSP CX'!E6</f>
        <v>16</v>
      </c>
      <c r="D6" s="176">
        <f>'1,2 SUSP CX'!F6</f>
        <v>310</v>
      </c>
      <c r="E6" s="177">
        <f>'1,2 SUSP CX'!H6</f>
        <v>5.1612903225806452E-2</v>
      </c>
      <c r="F6" s="179">
        <v>0.995</v>
      </c>
      <c r="G6" s="176">
        <f>'3,1 CUMPLIMIENTO GES'!E6</f>
        <v>5821</v>
      </c>
      <c r="H6" s="176">
        <f>'3,1 CUMPLIMIENTO GES'!F6</f>
        <v>6299</v>
      </c>
      <c r="I6" s="177">
        <f>'3,1 CUMPLIMIENTO GES'!H6</f>
        <v>0.92411493887918716</v>
      </c>
      <c r="J6" s="190">
        <v>0.95</v>
      </c>
      <c r="K6" s="187">
        <f>'LISTAS DE ESPERA'!G94</f>
        <v>2075</v>
      </c>
      <c r="L6" s="187">
        <f>'LISTAS DE ESPERA'!H94</f>
        <v>1110</v>
      </c>
      <c r="M6" s="187">
        <f>'LISTAS DE ESPERA'!I94</f>
        <v>965</v>
      </c>
      <c r="N6" s="188">
        <f>'LISTAS DE ESPERA'!J94</f>
        <v>0.4650602409638554</v>
      </c>
      <c r="O6" s="190">
        <v>0.95</v>
      </c>
      <c r="P6" s="176">
        <f>'LISTAS DE ESPERA'!G117</f>
        <v>1353</v>
      </c>
      <c r="Q6" s="176">
        <f>'LISTAS DE ESPERA'!H117</f>
        <v>596</v>
      </c>
      <c r="R6" s="176">
        <f>'LISTAS DE ESPERA'!I117</f>
        <v>757</v>
      </c>
      <c r="S6" s="177">
        <f>'LISTAS DE ESPERA'!J117</f>
        <v>0.5594974131559497</v>
      </c>
      <c r="T6" s="176">
        <f>'LISTAS DE ESPERA'!G134</f>
        <v>611</v>
      </c>
      <c r="U6" s="176">
        <f>'LISTAS DE ESPERA'!H134</f>
        <v>487</v>
      </c>
      <c r="V6" s="176">
        <f>'LISTAS DE ESPERA'!I134</f>
        <v>124</v>
      </c>
      <c r="W6" s="177">
        <f>'LISTAS DE ESPERA'!J134</f>
        <v>0.20294599018003273</v>
      </c>
      <c r="X6" s="190">
        <v>0.95</v>
      </c>
      <c r="Y6" s="176">
        <f>'LISTAS DE ESPERA'!G153</f>
        <v>376</v>
      </c>
      <c r="Z6" s="176">
        <f>'LISTAS DE ESPERA'!H153</f>
        <v>223</v>
      </c>
      <c r="AA6" s="176">
        <f>'LISTAS DE ESPERA'!I153</f>
        <v>153</v>
      </c>
      <c r="AB6" s="177">
        <f>'LISTAS DE ESPERA'!J153</f>
        <v>0.40691489361702127</v>
      </c>
      <c r="AC6" s="179">
        <v>0.995</v>
      </c>
      <c r="AD6" s="176">
        <f>'6,1 CUMPLIMIENTO GES ONCO'!E6</f>
        <v>361</v>
      </c>
      <c r="AE6" s="176">
        <f>'6,1 CUMPLIMIENTO GES ONCO'!F6</f>
        <v>431</v>
      </c>
      <c r="AF6" s="177">
        <f>'6,1 CUMPLIMIENTO GES ONCO'!G6</f>
        <v>0.83758700696055688</v>
      </c>
      <c r="AG6" s="190">
        <v>0.95</v>
      </c>
      <c r="AH6" s="175"/>
      <c r="AI6" s="175"/>
      <c r="AJ6" s="175"/>
      <c r="AK6" s="194">
        <v>1</v>
      </c>
      <c r="AL6" s="192">
        <f>'4,5 GASTO PERSONAS NATURALES '!B6</f>
        <v>0</v>
      </c>
      <c r="AM6" s="192">
        <f>'4,5 GASTO PERSONAS NATURALES '!C6</f>
        <v>0</v>
      </c>
      <c r="AN6" s="195" t="str">
        <f>'4,5 GASTO PERSONAS NATURALES '!E6</f>
        <v/>
      </c>
    </row>
    <row r="7" spans="1:40" ht="16.5" x14ac:dyDescent="0.3">
      <c r="A7" s="71">
        <v>46174</v>
      </c>
      <c r="B7" s="178">
        <v>6.5000000000000002E-2</v>
      </c>
      <c r="C7" s="176">
        <f>'1,2 SUSP CX'!E7</f>
        <v>26</v>
      </c>
      <c r="D7" s="176">
        <f>'1,2 SUSP CX'!F7</f>
        <v>318</v>
      </c>
      <c r="E7" s="177">
        <f>'1,2 SUSP CX'!H7</f>
        <v>8.1761006289308172E-2</v>
      </c>
      <c r="F7" s="179">
        <v>0.995</v>
      </c>
      <c r="G7" s="176">
        <f>'3,1 CUMPLIMIENTO GES'!E7</f>
        <v>6399</v>
      </c>
      <c r="H7" s="176">
        <f>'3,1 CUMPLIMIENTO GES'!F7</f>
        <v>6979</v>
      </c>
      <c r="I7" s="177">
        <f>'3,1 CUMPLIMIENTO GES'!H7</f>
        <v>0.91689353775612548</v>
      </c>
      <c r="J7" s="190">
        <v>0.95</v>
      </c>
      <c r="K7" s="187">
        <f>'LISTAS DE ESPERA'!G95</f>
        <v>2077</v>
      </c>
      <c r="L7" s="187">
        <f>'LISTAS DE ESPERA'!H95</f>
        <v>973</v>
      </c>
      <c r="M7" s="187">
        <f>'LISTAS DE ESPERA'!I95</f>
        <v>1104</v>
      </c>
      <c r="N7" s="188">
        <f>'LISTAS DE ESPERA'!J95</f>
        <v>0.53153586904188732</v>
      </c>
      <c r="O7" s="190">
        <v>0.95</v>
      </c>
      <c r="P7" s="176">
        <f>'LISTAS DE ESPERA'!G118</f>
        <v>1353</v>
      </c>
      <c r="Q7" s="176">
        <f>'LISTAS DE ESPERA'!H118</f>
        <v>475</v>
      </c>
      <c r="R7" s="176">
        <f>'LISTAS DE ESPERA'!I118</f>
        <v>878</v>
      </c>
      <c r="S7" s="177">
        <f>'LISTAS DE ESPERA'!J118</f>
        <v>0.64892830746489283</v>
      </c>
      <c r="T7" s="176">
        <f>'LISTAS DE ESPERA'!G135</f>
        <v>611</v>
      </c>
      <c r="U7" s="176">
        <f>'LISTAS DE ESPERA'!H135</f>
        <v>421</v>
      </c>
      <c r="V7" s="176">
        <f>'LISTAS DE ESPERA'!I135</f>
        <v>190</v>
      </c>
      <c r="W7" s="177">
        <f>'LISTAS DE ESPERA'!J135</f>
        <v>0.31096563011456629</v>
      </c>
      <c r="X7" s="190">
        <v>0.95</v>
      </c>
      <c r="Y7" s="176">
        <f>'LISTAS DE ESPERA'!G155</f>
        <v>381</v>
      </c>
      <c r="Z7" s="176">
        <f>'LISTAS DE ESPERA'!H155</f>
        <v>185</v>
      </c>
      <c r="AA7" s="176">
        <f>'LISTAS DE ESPERA'!I155</f>
        <v>196</v>
      </c>
      <c r="AB7" s="177">
        <f>'LISTAS DE ESPERA'!J155</f>
        <v>0.51443569553805779</v>
      </c>
      <c r="AC7" s="179">
        <v>0.995</v>
      </c>
      <c r="AD7" s="176">
        <f>'6,1 CUMPLIMIENTO GES ONCO'!E7</f>
        <v>354</v>
      </c>
      <c r="AE7" s="176">
        <f>'6,1 CUMPLIMIENTO GES ONCO'!F7</f>
        <v>452</v>
      </c>
      <c r="AF7" s="177">
        <f>'6,1 CUMPLIMIENTO GES ONCO'!G7</f>
        <v>0.7831858407079646</v>
      </c>
      <c r="AG7" s="190">
        <v>0.95</v>
      </c>
      <c r="AH7" s="175"/>
      <c r="AI7" s="175"/>
      <c r="AJ7" s="175"/>
      <c r="AK7" s="194">
        <v>1</v>
      </c>
      <c r="AL7" s="192">
        <f>'4,5 GASTO PERSONAS NATURALES '!B7</f>
        <v>0</v>
      </c>
      <c r="AM7" s="192">
        <f>'4,5 GASTO PERSONAS NATURALES '!C7</f>
        <v>0</v>
      </c>
      <c r="AN7" s="195" t="str">
        <f>'4,5 GASTO PERSONAS NATURALES '!E7</f>
        <v/>
      </c>
    </row>
    <row r="8" spans="1:40" ht="16.5" x14ac:dyDescent="0.3">
      <c r="A8" s="71">
        <v>46204</v>
      </c>
      <c r="B8" s="178">
        <v>6.5000000000000002E-2</v>
      </c>
      <c r="C8" s="176">
        <f>'1,2 SUSP CX'!E8</f>
        <v>0</v>
      </c>
      <c r="D8" s="176">
        <f>'1,2 SUSP CX'!F8</f>
        <v>0</v>
      </c>
      <c r="E8" s="177" t="str">
        <f>'1,2 SUSP CX'!H8</f>
        <v/>
      </c>
      <c r="F8" s="179">
        <v>0.995</v>
      </c>
      <c r="G8" s="176">
        <f>'3,1 CUMPLIMIENTO GES'!E8</f>
        <v>0</v>
      </c>
      <c r="H8" s="176">
        <f>'3,1 CUMPLIMIENTO GES'!F8</f>
        <v>0</v>
      </c>
      <c r="I8" s="177" t="str">
        <f>'3,1 CUMPLIMIENTO GES'!H8</f>
        <v/>
      </c>
      <c r="J8" s="190">
        <v>0.95</v>
      </c>
      <c r="K8" s="175"/>
      <c r="L8" s="175"/>
      <c r="M8" s="175"/>
      <c r="N8" s="186"/>
      <c r="O8" s="190">
        <v>0.95</v>
      </c>
      <c r="P8" s="175"/>
      <c r="Q8" s="175"/>
      <c r="R8" s="175"/>
      <c r="S8" s="177"/>
      <c r="T8" s="175"/>
      <c r="U8" s="175"/>
      <c r="V8" s="175"/>
      <c r="W8" s="175"/>
      <c r="X8" s="190">
        <v>0.95</v>
      </c>
      <c r="Y8" s="175"/>
      <c r="Z8" s="175"/>
      <c r="AA8" s="175"/>
      <c r="AB8" s="177"/>
      <c r="AC8" s="179">
        <v>0.995</v>
      </c>
      <c r="AD8" s="176">
        <f>'6,1 CUMPLIMIENTO GES ONCO'!E8</f>
        <v>0</v>
      </c>
      <c r="AE8" s="176">
        <f>'6,1 CUMPLIMIENTO GES ONCO'!F8</f>
        <v>0</v>
      </c>
      <c r="AF8" s="177" t="str">
        <f>'6,1 CUMPLIMIENTO GES ONCO'!G8</f>
        <v/>
      </c>
      <c r="AG8" s="190">
        <v>0.95</v>
      </c>
      <c r="AH8" s="175"/>
      <c r="AI8" s="175"/>
      <c r="AJ8" s="175"/>
      <c r="AK8" s="194">
        <v>1</v>
      </c>
      <c r="AL8" s="192">
        <f>'4,5 GASTO PERSONAS NATURALES '!B8</f>
        <v>0</v>
      </c>
      <c r="AM8" s="192">
        <f>'4,5 GASTO PERSONAS NATURALES '!C8</f>
        <v>0</v>
      </c>
      <c r="AN8" s="195" t="str">
        <f>'4,5 GASTO PERSONAS NATURALES '!E8</f>
        <v/>
      </c>
    </row>
    <row r="9" spans="1:40" ht="16.5" x14ac:dyDescent="0.3">
      <c r="A9" s="71">
        <v>46235</v>
      </c>
      <c r="B9" s="178">
        <v>6.5000000000000002E-2</v>
      </c>
      <c r="C9" s="176">
        <f>'1,2 SUSP CX'!E9</f>
        <v>0</v>
      </c>
      <c r="D9" s="176">
        <f>'1,2 SUSP CX'!F9</f>
        <v>0</v>
      </c>
      <c r="E9" s="177" t="str">
        <f>'1,2 SUSP CX'!H9</f>
        <v/>
      </c>
      <c r="F9" s="179">
        <v>0.995</v>
      </c>
      <c r="G9" s="176">
        <f>'3,1 CUMPLIMIENTO GES'!E9</f>
        <v>0</v>
      </c>
      <c r="H9" s="176">
        <f>'3,1 CUMPLIMIENTO GES'!F9</f>
        <v>0</v>
      </c>
      <c r="I9" s="177" t="str">
        <f>'3,1 CUMPLIMIENTO GES'!H9</f>
        <v/>
      </c>
      <c r="J9" s="190">
        <v>0.95</v>
      </c>
      <c r="K9" s="175"/>
      <c r="L9" s="175"/>
      <c r="M9" s="175"/>
      <c r="N9" s="186"/>
      <c r="O9" s="190">
        <v>0.95</v>
      </c>
      <c r="P9" s="175"/>
      <c r="Q9" s="175"/>
      <c r="R9" s="175"/>
      <c r="S9" s="177"/>
      <c r="T9" s="175"/>
      <c r="U9" s="175"/>
      <c r="V9" s="175"/>
      <c r="W9" s="175"/>
      <c r="X9" s="190">
        <v>0.95</v>
      </c>
      <c r="Y9" s="175"/>
      <c r="Z9" s="175"/>
      <c r="AA9" s="175"/>
      <c r="AB9" s="177"/>
      <c r="AC9" s="179">
        <v>0.995</v>
      </c>
      <c r="AD9" s="176">
        <f>'6,1 CUMPLIMIENTO GES ONCO'!E9</f>
        <v>0</v>
      </c>
      <c r="AE9" s="176">
        <f>'6,1 CUMPLIMIENTO GES ONCO'!F9</f>
        <v>0</v>
      </c>
      <c r="AF9" s="177" t="str">
        <f>'6,1 CUMPLIMIENTO GES ONCO'!G9</f>
        <v/>
      </c>
      <c r="AG9" s="190">
        <v>0.95</v>
      </c>
      <c r="AH9" s="175"/>
      <c r="AI9" s="175"/>
      <c r="AJ9" s="175"/>
      <c r="AK9" s="194">
        <v>1</v>
      </c>
      <c r="AL9" s="192">
        <f>'4,5 GASTO PERSONAS NATURALES '!B9</f>
        <v>0</v>
      </c>
      <c r="AM9" s="192">
        <f>'4,5 GASTO PERSONAS NATURALES '!C9</f>
        <v>0</v>
      </c>
      <c r="AN9" s="195" t="str">
        <f>'4,5 GASTO PERSONAS NATURALES '!E9</f>
        <v/>
      </c>
    </row>
    <row r="10" spans="1:40" ht="16.5" x14ac:dyDescent="0.3">
      <c r="A10" s="71">
        <v>46266</v>
      </c>
      <c r="B10" s="178">
        <v>6.5000000000000002E-2</v>
      </c>
      <c r="C10" s="176">
        <f>'1,2 SUSP CX'!E10</f>
        <v>0</v>
      </c>
      <c r="D10" s="176">
        <f>'1,2 SUSP CX'!F10</f>
        <v>0</v>
      </c>
      <c r="E10" s="177" t="str">
        <f>'1,2 SUSP CX'!H10</f>
        <v/>
      </c>
      <c r="F10" s="179">
        <v>0.995</v>
      </c>
      <c r="G10" s="176">
        <f>'3,1 CUMPLIMIENTO GES'!E10</f>
        <v>0</v>
      </c>
      <c r="H10" s="176">
        <f>'3,1 CUMPLIMIENTO GES'!F10</f>
        <v>0</v>
      </c>
      <c r="I10" s="177" t="str">
        <f>'3,1 CUMPLIMIENTO GES'!H10</f>
        <v/>
      </c>
      <c r="J10" s="190">
        <v>0.95</v>
      </c>
      <c r="K10" s="175"/>
      <c r="L10" s="175"/>
      <c r="M10" s="175"/>
      <c r="N10" s="186"/>
      <c r="O10" s="190">
        <v>0.95</v>
      </c>
      <c r="P10" s="175"/>
      <c r="Q10" s="175"/>
      <c r="R10" s="175"/>
      <c r="S10" s="177"/>
      <c r="T10" s="175"/>
      <c r="U10" s="175"/>
      <c r="V10" s="175"/>
      <c r="W10" s="175"/>
      <c r="X10" s="190">
        <v>0.95</v>
      </c>
      <c r="Y10" s="175"/>
      <c r="Z10" s="175"/>
      <c r="AA10" s="175"/>
      <c r="AB10" s="177"/>
      <c r="AC10" s="179">
        <v>0.995</v>
      </c>
      <c r="AD10" s="176">
        <f>'6,1 CUMPLIMIENTO GES ONCO'!E10</f>
        <v>0</v>
      </c>
      <c r="AE10" s="176">
        <f>'6,1 CUMPLIMIENTO GES ONCO'!F10</f>
        <v>0</v>
      </c>
      <c r="AF10" s="177" t="str">
        <f>'6,1 CUMPLIMIENTO GES ONCO'!G10</f>
        <v/>
      </c>
      <c r="AG10" s="190">
        <v>0.95</v>
      </c>
      <c r="AH10" s="175"/>
      <c r="AI10" s="175"/>
      <c r="AJ10" s="175"/>
      <c r="AK10" s="194">
        <v>1</v>
      </c>
      <c r="AL10" s="192">
        <f>'4,5 GASTO PERSONAS NATURALES '!B10</f>
        <v>0</v>
      </c>
      <c r="AM10" s="192">
        <f>'4,5 GASTO PERSONAS NATURALES '!C10</f>
        <v>0</v>
      </c>
      <c r="AN10" s="195" t="str">
        <f>'4,5 GASTO PERSONAS NATURALES '!E10</f>
        <v/>
      </c>
    </row>
    <row r="11" spans="1:40" ht="16.5" x14ac:dyDescent="0.3">
      <c r="A11" s="71">
        <v>46296</v>
      </c>
      <c r="B11" s="178">
        <v>6.5000000000000002E-2</v>
      </c>
      <c r="C11" s="176">
        <f>'1,2 SUSP CX'!E11</f>
        <v>0</v>
      </c>
      <c r="D11" s="176">
        <f>'1,2 SUSP CX'!F11</f>
        <v>0</v>
      </c>
      <c r="E11" s="177" t="str">
        <f>'1,2 SUSP CX'!H11</f>
        <v/>
      </c>
      <c r="F11" s="179">
        <v>0.995</v>
      </c>
      <c r="G11" s="176">
        <f>'3,1 CUMPLIMIENTO GES'!E11</f>
        <v>0</v>
      </c>
      <c r="H11" s="176">
        <f>'3,1 CUMPLIMIENTO GES'!F11</f>
        <v>0</v>
      </c>
      <c r="I11" s="177" t="str">
        <f>'3,1 CUMPLIMIENTO GES'!H11</f>
        <v/>
      </c>
      <c r="J11" s="190">
        <v>0.95</v>
      </c>
      <c r="K11" s="175"/>
      <c r="L11" s="175"/>
      <c r="M11" s="175"/>
      <c r="N11" s="186"/>
      <c r="O11" s="190">
        <v>0.95</v>
      </c>
      <c r="P11" s="175"/>
      <c r="Q11" s="175"/>
      <c r="R11" s="175"/>
      <c r="S11" s="177"/>
      <c r="T11" s="175"/>
      <c r="U11" s="175"/>
      <c r="V11" s="175"/>
      <c r="W11" s="175"/>
      <c r="X11" s="190">
        <v>0.95</v>
      </c>
      <c r="Y11" s="175"/>
      <c r="Z11" s="175"/>
      <c r="AA11" s="175"/>
      <c r="AB11" s="177"/>
      <c r="AC11" s="179">
        <v>0.995</v>
      </c>
      <c r="AD11" s="176">
        <f>'6,1 CUMPLIMIENTO GES ONCO'!E11</f>
        <v>0</v>
      </c>
      <c r="AE11" s="176">
        <f>'6,1 CUMPLIMIENTO GES ONCO'!F11</f>
        <v>0</v>
      </c>
      <c r="AF11" s="177" t="str">
        <f>'6,1 CUMPLIMIENTO GES ONCO'!G11</f>
        <v/>
      </c>
      <c r="AG11" s="190">
        <v>0.95</v>
      </c>
      <c r="AH11" s="175"/>
      <c r="AI11" s="175"/>
      <c r="AJ11" s="175"/>
      <c r="AK11" s="194">
        <v>1</v>
      </c>
      <c r="AL11" s="192">
        <f>'4,5 GASTO PERSONAS NATURALES '!B11</f>
        <v>0</v>
      </c>
      <c r="AM11" s="192">
        <f>'4,5 GASTO PERSONAS NATURALES '!C11</f>
        <v>0</v>
      </c>
      <c r="AN11" s="195" t="str">
        <f>'4,5 GASTO PERSONAS NATURALES '!E11</f>
        <v/>
      </c>
    </row>
    <row r="12" spans="1:40" ht="16.5" x14ac:dyDescent="0.3">
      <c r="A12" s="71">
        <v>46327</v>
      </c>
      <c r="B12" s="178">
        <v>6.5000000000000002E-2</v>
      </c>
      <c r="C12" s="176">
        <f>'1,2 SUSP CX'!E12</f>
        <v>0</v>
      </c>
      <c r="D12" s="176">
        <f>'1,2 SUSP CX'!F12</f>
        <v>0</v>
      </c>
      <c r="E12" s="177" t="str">
        <f>'1,2 SUSP CX'!H12</f>
        <v/>
      </c>
      <c r="F12" s="179">
        <v>0.995</v>
      </c>
      <c r="G12" s="176">
        <f>'3,1 CUMPLIMIENTO GES'!E12</f>
        <v>0</v>
      </c>
      <c r="H12" s="176">
        <f>'3,1 CUMPLIMIENTO GES'!F12</f>
        <v>0</v>
      </c>
      <c r="I12" s="177" t="str">
        <f>'3,1 CUMPLIMIENTO GES'!H12</f>
        <v/>
      </c>
      <c r="J12" s="190">
        <v>0.95</v>
      </c>
      <c r="K12" s="175"/>
      <c r="L12" s="175"/>
      <c r="M12" s="175"/>
      <c r="N12" s="186"/>
      <c r="O12" s="190">
        <v>0.95</v>
      </c>
      <c r="P12" s="175"/>
      <c r="Q12" s="175"/>
      <c r="R12" s="175"/>
      <c r="S12" s="177"/>
      <c r="T12" s="175"/>
      <c r="U12" s="175"/>
      <c r="V12" s="175"/>
      <c r="W12" s="175"/>
      <c r="X12" s="190">
        <v>0.95</v>
      </c>
      <c r="Y12" s="175"/>
      <c r="Z12" s="175"/>
      <c r="AA12" s="175"/>
      <c r="AB12" s="177"/>
      <c r="AC12" s="179">
        <v>0.995</v>
      </c>
      <c r="AD12" s="176">
        <f>'6,1 CUMPLIMIENTO GES ONCO'!E12</f>
        <v>0</v>
      </c>
      <c r="AE12" s="176">
        <f>'6,1 CUMPLIMIENTO GES ONCO'!F12</f>
        <v>0</v>
      </c>
      <c r="AF12" s="177" t="str">
        <f>'6,1 CUMPLIMIENTO GES ONCO'!G12</f>
        <v/>
      </c>
      <c r="AG12" s="190">
        <v>0.95</v>
      </c>
      <c r="AH12" s="175"/>
      <c r="AI12" s="175"/>
      <c r="AJ12" s="175"/>
      <c r="AK12" s="194">
        <v>1</v>
      </c>
      <c r="AL12" s="192">
        <f>'4,5 GASTO PERSONAS NATURALES '!B12</f>
        <v>0</v>
      </c>
      <c r="AM12" s="192">
        <f>'4,5 GASTO PERSONAS NATURALES '!C12</f>
        <v>0</v>
      </c>
      <c r="AN12" s="195" t="str">
        <f>'4,5 GASTO PERSONAS NATURALES '!E12</f>
        <v/>
      </c>
    </row>
    <row r="13" spans="1:40" ht="16.5" x14ac:dyDescent="0.3">
      <c r="A13" s="71">
        <v>46357</v>
      </c>
      <c r="B13" s="178">
        <v>6.5000000000000002E-2</v>
      </c>
      <c r="C13" s="176">
        <f>'1,2 SUSP CX'!E13</f>
        <v>0</v>
      </c>
      <c r="D13" s="176">
        <f>'1,2 SUSP CX'!F13</f>
        <v>0</v>
      </c>
      <c r="E13" s="177" t="str">
        <f>'1,2 SUSP CX'!H13</f>
        <v/>
      </c>
      <c r="F13" s="179">
        <v>0.995</v>
      </c>
      <c r="G13" s="176">
        <f>'3,1 CUMPLIMIENTO GES'!E13</f>
        <v>0</v>
      </c>
      <c r="H13" s="176">
        <f>'3,1 CUMPLIMIENTO GES'!F13</f>
        <v>0</v>
      </c>
      <c r="I13" s="177" t="str">
        <f>'3,1 CUMPLIMIENTO GES'!H13</f>
        <v/>
      </c>
      <c r="J13" s="190">
        <v>0.95</v>
      </c>
      <c r="K13" s="175"/>
      <c r="L13" s="175"/>
      <c r="M13" s="175"/>
      <c r="N13" s="177"/>
      <c r="O13" s="190">
        <v>0.95</v>
      </c>
      <c r="P13" s="175"/>
      <c r="Q13" s="175"/>
      <c r="R13" s="175"/>
      <c r="S13" s="177"/>
      <c r="T13" s="175"/>
      <c r="U13" s="175"/>
      <c r="V13" s="175"/>
      <c r="W13" s="175"/>
      <c r="X13" s="190">
        <v>0.95</v>
      </c>
      <c r="Y13" s="175"/>
      <c r="Z13" s="175"/>
      <c r="AA13" s="175"/>
      <c r="AB13" s="177"/>
      <c r="AC13" s="179">
        <v>0.995</v>
      </c>
      <c r="AD13" s="176">
        <f>'6,1 CUMPLIMIENTO GES ONCO'!E13</f>
        <v>0</v>
      </c>
      <c r="AE13" s="176">
        <f>'6,1 CUMPLIMIENTO GES ONCO'!F13</f>
        <v>0</v>
      </c>
      <c r="AF13" s="177" t="str">
        <f>'6,1 CUMPLIMIENTO GES ONCO'!G13</f>
        <v/>
      </c>
      <c r="AG13" s="190">
        <v>0.95</v>
      </c>
      <c r="AH13" s="175"/>
      <c r="AI13" s="175"/>
      <c r="AJ13" s="175"/>
      <c r="AK13" s="194">
        <v>1</v>
      </c>
      <c r="AL13" s="192">
        <f>'4,5 GASTO PERSONAS NATURALES '!B13</f>
        <v>0</v>
      </c>
      <c r="AM13" s="192">
        <f>'4,5 GASTO PERSONAS NATURALES '!C13</f>
        <v>0</v>
      </c>
      <c r="AN13" s="195" t="str">
        <f>'4,5 GASTO PERSONAS NATURALES '!E13</f>
        <v/>
      </c>
    </row>
    <row r="14" spans="1:40" ht="16.5" x14ac:dyDescent="0.3">
      <c r="A14" s="10" t="s">
        <v>4</v>
      </c>
      <c r="B14" s="178">
        <v>6.5000000000000002E-2</v>
      </c>
      <c r="C14" s="176">
        <f>'1,2 SUSP CX'!E14</f>
        <v>131</v>
      </c>
      <c r="D14" s="176">
        <f>'1,2 SUSP CX'!F14</f>
        <v>1853</v>
      </c>
      <c r="E14" s="177">
        <f>'1,2 SUSP CX'!H14</f>
        <v>7.0696168375607119E-2</v>
      </c>
      <c r="F14" s="179">
        <v>0.995</v>
      </c>
      <c r="G14" s="176">
        <f>'3,1 CUMPLIMIENTO GES'!E14</f>
        <v>6399</v>
      </c>
      <c r="H14" s="176">
        <f>'3,1 CUMPLIMIENTO GES'!F14</f>
        <v>6979</v>
      </c>
      <c r="I14" s="177">
        <f>'3,1 CUMPLIMIENTO GES'!H14</f>
        <v>0.92411493887918716</v>
      </c>
      <c r="J14" s="190">
        <v>0.95</v>
      </c>
      <c r="K14" s="180">
        <f>K7</f>
        <v>2077</v>
      </c>
      <c r="L14" s="180">
        <f t="shared" ref="L14:N14" si="0">L7</f>
        <v>973</v>
      </c>
      <c r="M14" s="180">
        <f t="shared" si="0"/>
        <v>1104</v>
      </c>
      <c r="N14" s="181">
        <f t="shared" si="0"/>
        <v>0.53153586904188732</v>
      </c>
      <c r="O14" s="190">
        <v>0.95</v>
      </c>
      <c r="P14" s="180">
        <f>P7</f>
        <v>1353</v>
      </c>
      <c r="Q14" s="180">
        <f t="shared" ref="Q14:W14" si="1">Q7</f>
        <v>475</v>
      </c>
      <c r="R14" s="180">
        <f t="shared" si="1"/>
        <v>878</v>
      </c>
      <c r="S14" s="181">
        <f t="shared" si="1"/>
        <v>0.64892830746489283</v>
      </c>
      <c r="T14" s="180">
        <f t="shared" si="1"/>
        <v>611</v>
      </c>
      <c r="U14" s="180">
        <f t="shared" si="1"/>
        <v>421</v>
      </c>
      <c r="V14" s="180">
        <f t="shared" si="1"/>
        <v>190</v>
      </c>
      <c r="W14" s="181">
        <f t="shared" si="1"/>
        <v>0.31096563011456629</v>
      </c>
      <c r="X14" s="190">
        <v>0.95</v>
      </c>
      <c r="Y14" s="180">
        <f>Y7</f>
        <v>381</v>
      </c>
      <c r="Z14" s="180">
        <f t="shared" ref="Z14:AB14" si="2">Z7</f>
        <v>185</v>
      </c>
      <c r="AA14" s="180">
        <f t="shared" si="2"/>
        <v>196</v>
      </c>
      <c r="AB14" s="181">
        <f t="shared" si="2"/>
        <v>0.51443569553805779</v>
      </c>
      <c r="AC14" s="179">
        <v>0.995</v>
      </c>
      <c r="AD14" s="180">
        <f>AD7</f>
        <v>354</v>
      </c>
      <c r="AE14" s="180">
        <f t="shared" ref="AE14:AF14" si="3">AE7</f>
        <v>452</v>
      </c>
      <c r="AF14" s="181">
        <f t="shared" si="3"/>
        <v>0.7831858407079646</v>
      </c>
      <c r="AG14" s="190">
        <v>0.95</v>
      </c>
      <c r="AH14" s="175"/>
      <c r="AI14" s="175"/>
      <c r="AJ14" s="175"/>
      <c r="AK14" s="194">
        <v>1</v>
      </c>
      <c r="AL14" s="192">
        <f>'4,5 GASTO PERSONAS NATURALES '!B14</f>
        <v>3223649</v>
      </c>
      <c r="AM14" s="192">
        <f>'4,5 GASTO PERSONAS NATURALES '!C14</f>
        <v>3876000</v>
      </c>
      <c r="AN14" s="195">
        <f>'4,5 GASTO PERSONAS NATURALES '!E14</f>
        <v>0.83169478844169242</v>
      </c>
    </row>
    <row r="18" spans="2:18" ht="30" customHeight="1" x14ac:dyDescent="0.25">
      <c r="B18" s="200" t="s">
        <v>332</v>
      </c>
      <c r="C18" s="200"/>
      <c r="D18" s="200"/>
      <c r="E18" s="200"/>
      <c r="F18" s="200"/>
      <c r="G18" s="200"/>
      <c r="H18" s="200"/>
    </row>
    <row r="19" spans="2:18" ht="30" customHeight="1" x14ac:dyDescent="0.25">
      <c r="B19" s="199" t="s">
        <v>333</v>
      </c>
      <c r="C19" s="199"/>
      <c r="D19" s="199"/>
      <c r="E19" s="199"/>
      <c r="F19" s="199"/>
      <c r="G19" s="199"/>
      <c r="H19" s="199"/>
      <c r="R19">
        <f>+R5/P5</f>
        <v>0.4153732446415373</v>
      </c>
    </row>
    <row r="20" spans="2:18" ht="30" customHeight="1" x14ac:dyDescent="0.25">
      <c r="B20" s="200" t="s">
        <v>334</v>
      </c>
      <c r="C20" s="200"/>
      <c r="D20" s="200"/>
      <c r="E20" s="200"/>
      <c r="F20" s="200"/>
      <c r="G20" s="200"/>
      <c r="H20" s="200"/>
      <c r="R20">
        <f>+R6/P6</f>
        <v>0.5594974131559497</v>
      </c>
    </row>
    <row r="21" spans="2:18" ht="30" customHeight="1" x14ac:dyDescent="0.25">
      <c r="B21" s="200" t="s">
        <v>335</v>
      </c>
      <c r="C21" s="200"/>
      <c r="D21" s="200"/>
      <c r="E21" s="200"/>
      <c r="F21" s="200"/>
      <c r="G21" s="200"/>
      <c r="H21" s="200"/>
      <c r="R21">
        <f>+R7/P7</f>
        <v>0.64892830746489283</v>
      </c>
    </row>
    <row r="22" spans="2:18" ht="30" customHeight="1" x14ac:dyDescent="0.25">
      <c r="B22" s="199" t="s">
        <v>336</v>
      </c>
      <c r="C22" s="199"/>
      <c r="D22" s="199"/>
      <c r="E22" s="199"/>
      <c r="F22" s="199"/>
      <c r="G22" s="199"/>
      <c r="H22" s="199"/>
    </row>
    <row r="23" spans="2:18" ht="30" customHeight="1" x14ac:dyDescent="0.25">
      <c r="B23" s="200" t="s">
        <v>337</v>
      </c>
      <c r="C23" s="200"/>
      <c r="D23" s="200"/>
      <c r="E23" s="200"/>
      <c r="F23" s="200"/>
      <c r="G23" s="200"/>
      <c r="H23" s="200"/>
    </row>
    <row r="24" spans="2:18" ht="30" customHeight="1" x14ac:dyDescent="0.25">
      <c r="B24" s="199" t="s">
        <v>338</v>
      </c>
      <c r="C24" s="199"/>
      <c r="D24" s="199"/>
      <c r="E24" s="199"/>
      <c r="F24" s="199"/>
      <c r="G24" s="199"/>
      <c r="H24" s="199"/>
    </row>
    <row r="25" spans="2:18" ht="30" customHeight="1" x14ac:dyDescent="0.25">
      <c r="B25" s="200" t="s">
        <v>161</v>
      </c>
      <c r="C25" s="200"/>
      <c r="D25" s="200"/>
      <c r="E25" s="200"/>
      <c r="F25" s="200"/>
      <c r="G25" s="200"/>
      <c r="H25" s="200"/>
    </row>
    <row r="26" spans="2:18" ht="30" customHeight="1" x14ac:dyDescent="0.25">
      <c r="B26" s="200" t="s">
        <v>339</v>
      </c>
      <c r="C26" s="200"/>
      <c r="D26" s="200"/>
      <c r="E26" s="200"/>
      <c r="F26" s="200"/>
      <c r="G26" s="200"/>
      <c r="H26" s="200"/>
    </row>
    <row r="27" spans="2:18" ht="30" customHeight="1" x14ac:dyDescent="0.25">
      <c r="B27" s="200" t="s">
        <v>340</v>
      </c>
      <c r="C27" s="200"/>
      <c r="D27" s="200"/>
      <c r="E27" s="200"/>
      <c r="F27" s="200"/>
      <c r="G27" s="200"/>
      <c r="H27" s="200"/>
    </row>
    <row r="28" spans="2:18" ht="30" customHeight="1" x14ac:dyDescent="0.25">
      <c r="B28" s="200" t="s">
        <v>341</v>
      </c>
      <c r="C28" s="200"/>
      <c r="D28" s="200"/>
      <c r="E28" s="200"/>
      <c r="F28" s="200"/>
      <c r="G28" s="200"/>
      <c r="H28" s="200"/>
    </row>
  </sheetData>
  <mergeCells count="11">
    <mergeCell ref="B23:H23"/>
    <mergeCell ref="B18:H18"/>
    <mergeCell ref="B19:H19"/>
    <mergeCell ref="B20:H20"/>
    <mergeCell ref="B21:H21"/>
    <mergeCell ref="B22:H22"/>
    <mergeCell ref="B24:H24"/>
    <mergeCell ref="B25:H25"/>
    <mergeCell ref="B26:H26"/>
    <mergeCell ref="B27:H27"/>
    <mergeCell ref="B28:H28"/>
  </mergeCells>
  <pageMargins left="0.7" right="0.7" top="0.75" bottom="0.75" header="0.3" footer="0.3"/>
  <pageSetup orientation="portrait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P200"/>
  <sheetViews>
    <sheetView zoomScale="81" zoomScaleNormal="81" workbookViewId="0">
      <pane xSplit="1" ySplit="1" topLeftCell="B111" activePane="bottomRight" state="frozen"/>
      <selection pane="topRight" activeCell="B1" sqref="B1"/>
      <selection pane="bottomLeft" activeCell="A2" sqref="A2"/>
      <selection pane="bottomRight" activeCell="I118" sqref="I118"/>
    </sheetView>
  </sheetViews>
  <sheetFormatPr baseColWidth="10" defaultRowHeight="25.15" customHeight="1" x14ac:dyDescent="0.25"/>
  <cols>
    <col min="1" max="1" width="11.5703125" style="51"/>
    <col min="2" max="2" width="46.85546875" customWidth="1"/>
    <col min="3" max="3" width="14.5703125" customWidth="1"/>
    <col min="4" max="4" width="12.85546875" style="70" customWidth="1"/>
    <col min="5" max="5" width="54.140625" customWidth="1"/>
    <col min="6" max="6" width="31.7109375" customWidth="1"/>
    <col min="7" max="9" width="15.7109375" style="52" customWidth="1"/>
    <col min="10" max="11" width="17.85546875" style="42" customWidth="1"/>
    <col min="12" max="12" width="17.85546875" customWidth="1"/>
    <col min="13" max="13" width="15.7109375" customWidth="1"/>
    <col min="16" max="16" width="16.85546875" customWidth="1"/>
  </cols>
  <sheetData>
    <row r="1" spans="1:16" s="8" customFormat="1" ht="38.450000000000003" customHeight="1" thickBot="1" x14ac:dyDescent="0.3">
      <c r="A1" s="49" t="s">
        <v>43</v>
      </c>
      <c r="B1" s="33" t="s">
        <v>19</v>
      </c>
      <c r="C1" s="34" t="s">
        <v>36</v>
      </c>
      <c r="D1" s="67" t="s">
        <v>34</v>
      </c>
      <c r="E1" s="29" t="s">
        <v>35</v>
      </c>
      <c r="F1" s="26" t="s">
        <v>20</v>
      </c>
      <c r="G1" s="53" t="s">
        <v>14</v>
      </c>
      <c r="H1" s="53" t="s">
        <v>26</v>
      </c>
      <c r="I1" s="53" t="s">
        <v>27</v>
      </c>
      <c r="J1" s="27" t="s">
        <v>23</v>
      </c>
      <c r="K1" s="27" t="s">
        <v>0</v>
      </c>
      <c r="L1" s="27" t="s">
        <v>39</v>
      </c>
      <c r="M1" s="27" t="s">
        <v>233</v>
      </c>
      <c r="N1" s="27" t="s">
        <v>22</v>
      </c>
      <c r="O1" s="27" t="s">
        <v>40</v>
      </c>
      <c r="P1" s="27" t="s">
        <v>41</v>
      </c>
    </row>
    <row r="2" spans="1:16" s="8" customFormat="1" ht="25.15" customHeight="1" thickBot="1" x14ac:dyDescent="0.3">
      <c r="A2" s="50">
        <v>3</v>
      </c>
      <c r="B2" s="86" t="s">
        <v>209</v>
      </c>
      <c r="C2" s="35">
        <v>46112</v>
      </c>
      <c r="D2" s="104" t="s">
        <v>44</v>
      </c>
      <c r="E2" s="28" t="s">
        <v>24</v>
      </c>
      <c r="F2" s="28" t="s">
        <v>25</v>
      </c>
      <c r="G2" s="63"/>
      <c r="H2" s="63"/>
      <c r="I2" s="63"/>
      <c r="J2" s="64"/>
      <c r="K2" s="65"/>
      <c r="L2" s="43">
        <v>308</v>
      </c>
      <c r="M2" s="45">
        <v>310</v>
      </c>
      <c r="N2" s="47">
        <v>93</v>
      </c>
      <c r="O2" s="130">
        <f>(M2-L2)/N2</f>
        <v>2.1505376344086023E-2</v>
      </c>
      <c r="P2" s="196">
        <f>M2-L2</f>
        <v>2</v>
      </c>
    </row>
    <row r="3" spans="1:16" s="8" customFormat="1" ht="25.15" customHeight="1" thickBot="1" x14ac:dyDescent="0.3">
      <c r="A3" s="50">
        <v>3</v>
      </c>
      <c r="B3" s="86" t="s">
        <v>209</v>
      </c>
      <c r="C3" s="35">
        <v>46143</v>
      </c>
      <c r="D3" s="104" t="s">
        <v>44</v>
      </c>
      <c r="E3" s="28" t="s">
        <v>24</v>
      </c>
      <c r="F3" s="28" t="s">
        <v>25</v>
      </c>
      <c r="G3" s="63"/>
      <c r="H3" s="63"/>
      <c r="I3" s="63"/>
      <c r="J3" s="64"/>
      <c r="K3" s="65"/>
      <c r="L3" s="43">
        <v>321</v>
      </c>
      <c r="M3" s="45">
        <v>310</v>
      </c>
      <c r="N3" s="47">
        <v>93</v>
      </c>
      <c r="O3" s="130">
        <f>(M3-L3)/N3</f>
        <v>-0.11827956989247312</v>
      </c>
      <c r="P3" s="196">
        <f t="shared" ref="P3:P66" si="0">M3-L3</f>
        <v>-11</v>
      </c>
    </row>
    <row r="4" spans="1:16" s="8" customFormat="1" ht="25.15" customHeight="1" thickBot="1" x14ac:dyDescent="0.3">
      <c r="A4" s="50">
        <v>3</v>
      </c>
      <c r="B4" s="86" t="s">
        <v>209</v>
      </c>
      <c r="C4" s="35">
        <v>46203</v>
      </c>
      <c r="D4" s="104" t="s">
        <v>44</v>
      </c>
      <c r="E4" s="28" t="s">
        <v>24</v>
      </c>
      <c r="F4" s="28" t="s">
        <v>25</v>
      </c>
      <c r="G4" s="63"/>
      <c r="H4" s="63"/>
      <c r="I4" s="63"/>
      <c r="J4" s="64"/>
      <c r="K4" s="65"/>
      <c r="L4" s="43">
        <v>284.5</v>
      </c>
      <c r="M4" s="45">
        <v>310</v>
      </c>
      <c r="N4" s="47">
        <v>93</v>
      </c>
      <c r="O4" s="130">
        <f>(M4-L4)/N4</f>
        <v>0.27419354838709675</v>
      </c>
      <c r="P4" s="196">
        <f t="shared" si="0"/>
        <v>25.5</v>
      </c>
    </row>
    <row r="5" spans="1:16" s="8" customFormat="1" ht="25.15" customHeight="1" thickBot="1" x14ac:dyDescent="0.3">
      <c r="A5" s="50">
        <v>3</v>
      </c>
      <c r="B5" s="86" t="s">
        <v>209</v>
      </c>
      <c r="C5" s="35"/>
      <c r="D5" s="104" t="s">
        <v>44</v>
      </c>
      <c r="E5" s="28" t="s">
        <v>24</v>
      </c>
      <c r="F5" s="28" t="s">
        <v>25</v>
      </c>
      <c r="G5" s="55"/>
      <c r="H5" s="55"/>
      <c r="I5" s="55"/>
      <c r="J5" s="72"/>
      <c r="K5" s="73"/>
      <c r="L5" s="43"/>
      <c r="M5" s="45"/>
      <c r="N5" s="47"/>
      <c r="O5" s="38"/>
      <c r="P5" s="196">
        <f t="shared" si="0"/>
        <v>0</v>
      </c>
    </row>
    <row r="6" spans="1:16" s="8" customFormat="1" ht="25.15" customHeight="1" thickBot="1" x14ac:dyDescent="0.3">
      <c r="A6" s="50">
        <v>3</v>
      </c>
      <c r="B6" s="86" t="s">
        <v>209</v>
      </c>
      <c r="C6" s="35"/>
      <c r="D6" s="104" t="s">
        <v>44</v>
      </c>
      <c r="E6" s="28" t="s">
        <v>24</v>
      </c>
      <c r="F6" s="28" t="s">
        <v>25</v>
      </c>
      <c r="G6" s="55"/>
      <c r="H6" s="55"/>
      <c r="I6" s="55"/>
      <c r="J6" s="72"/>
      <c r="K6" s="73"/>
      <c r="L6" s="43"/>
      <c r="M6" s="45"/>
      <c r="N6" s="47"/>
      <c r="O6" s="38"/>
      <c r="P6" s="196">
        <f t="shared" si="0"/>
        <v>0</v>
      </c>
    </row>
    <row r="7" spans="1:16" s="8" customFormat="1" ht="25.15" customHeight="1" thickBot="1" x14ac:dyDescent="0.3">
      <c r="A7" s="50">
        <v>3</v>
      </c>
      <c r="B7" s="86" t="s">
        <v>209</v>
      </c>
      <c r="C7" s="35"/>
      <c r="D7" s="104" t="s">
        <v>44</v>
      </c>
      <c r="E7" s="28" t="s">
        <v>24</v>
      </c>
      <c r="F7" s="28" t="s">
        <v>25</v>
      </c>
      <c r="G7" s="55"/>
      <c r="H7" s="55"/>
      <c r="I7" s="55"/>
      <c r="J7" s="72"/>
      <c r="K7" s="73"/>
      <c r="L7" s="43"/>
      <c r="M7" s="45"/>
      <c r="N7" s="47"/>
      <c r="O7" s="38"/>
      <c r="P7" s="196">
        <f t="shared" si="0"/>
        <v>0</v>
      </c>
    </row>
    <row r="8" spans="1:16" s="8" customFormat="1" ht="25.15" customHeight="1" thickBot="1" x14ac:dyDescent="0.3">
      <c r="A8" s="50">
        <v>3</v>
      </c>
      <c r="B8" s="86" t="s">
        <v>209</v>
      </c>
      <c r="C8" s="35"/>
      <c r="D8" s="104" t="s">
        <v>44</v>
      </c>
      <c r="E8" s="28" t="s">
        <v>24</v>
      </c>
      <c r="F8" s="28" t="s">
        <v>25</v>
      </c>
      <c r="G8" s="55"/>
      <c r="H8" s="55"/>
      <c r="I8" s="55"/>
      <c r="J8" s="72"/>
      <c r="K8" s="73"/>
      <c r="L8" s="43"/>
      <c r="M8" s="45"/>
      <c r="N8" s="47"/>
      <c r="O8" s="38"/>
      <c r="P8" s="196">
        <f t="shared" si="0"/>
        <v>0</v>
      </c>
    </row>
    <row r="9" spans="1:16" s="8" customFormat="1" ht="25.15" customHeight="1" thickBot="1" x14ac:dyDescent="0.3">
      <c r="A9" s="50">
        <v>3</v>
      </c>
      <c r="B9" s="86" t="s">
        <v>209</v>
      </c>
      <c r="C9" s="35"/>
      <c r="D9" s="104" t="s">
        <v>44</v>
      </c>
      <c r="E9" s="28" t="s">
        <v>24</v>
      </c>
      <c r="F9" s="28" t="s">
        <v>25</v>
      </c>
      <c r="G9" s="55"/>
      <c r="H9" s="55"/>
      <c r="I9" s="55"/>
      <c r="J9" s="72"/>
      <c r="K9" s="73"/>
      <c r="L9" s="43"/>
      <c r="M9" s="45"/>
      <c r="N9" s="47"/>
      <c r="O9" s="38"/>
      <c r="P9" s="196">
        <f t="shared" si="0"/>
        <v>0</v>
      </c>
    </row>
    <row r="10" spans="1:16" s="8" customFormat="1" ht="25.15" customHeight="1" thickBot="1" x14ac:dyDescent="0.3">
      <c r="A10" s="50">
        <v>3</v>
      </c>
      <c r="B10" s="86" t="s">
        <v>209</v>
      </c>
      <c r="C10" s="35"/>
      <c r="D10" s="104" t="s">
        <v>44</v>
      </c>
      <c r="E10" s="28" t="s">
        <v>24</v>
      </c>
      <c r="F10" s="28" t="s">
        <v>25</v>
      </c>
      <c r="G10" s="55"/>
      <c r="H10" s="55"/>
      <c r="I10" s="55"/>
      <c r="J10" s="72"/>
      <c r="K10" s="73"/>
      <c r="L10" s="43"/>
      <c r="M10" s="45"/>
      <c r="N10" s="47"/>
      <c r="O10" s="38"/>
      <c r="P10" s="196">
        <f t="shared" si="0"/>
        <v>0</v>
      </c>
    </row>
    <row r="11" spans="1:16" s="8" customFormat="1" ht="25.15" customHeight="1" thickBot="1" x14ac:dyDescent="0.3">
      <c r="A11" s="50">
        <v>3</v>
      </c>
      <c r="B11" s="86" t="s">
        <v>209</v>
      </c>
      <c r="C11" s="35"/>
      <c r="D11" s="104" t="s">
        <v>44</v>
      </c>
      <c r="E11" s="28" t="s">
        <v>24</v>
      </c>
      <c r="F11" s="28" t="s">
        <v>25</v>
      </c>
      <c r="G11" s="55"/>
      <c r="H11" s="55"/>
      <c r="I11" s="55"/>
      <c r="J11" s="72"/>
      <c r="K11" s="73"/>
      <c r="L11" s="43"/>
      <c r="M11" s="45"/>
      <c r="N11" s="47"/>
      <c r="O11" s="38"/>
      <c r="P11" s="196">
        <f t="shared" si="0"/>
        <v>0</v>
      </c>
    </row>
    <row r="12" spans="1:16" s="8" customFormat="1" ht="25.15" customHeight="1" thickBot="1" x14ac:dyDescent="0.3">
      <c r="A12" s="50">
        <v>3</v>
      </c>
      <c r="B12" s="86" t="s">
        <v>209</v>
      </c>
      <c r="C12" s="35"/>
      <c r="D12" s="104" t="s">
        <v>44</v>
      </c>
      <c r="E12" s="28" t="s">
        <v>24</v>
      </c>
      <c r="F12" s="28" t="s">
        <v>25</v>
      </c>
      <c r="G12" s="55"/>
      <c r="H12" s="55"/>
      <c r="I12" s="55"/>
      <c r="J12" s="72"/>
      <c r="K12" s="73"/>
      <c r="L12" s="43"/>
      <c r="M12" s="45"/>
      <c r="N12" s="47"/>
      <c r="O12" s="38"/>
      <c r="P12" s="196">
        <f t="shared" si="0"/>
        <v>0</v>
      </c>
    </row>
    <row r="13" spans="1:16" s="8" customFormat="1" ht="25.15" customHeight="1" thickBot="1" x14ac:dyDescent="0.3">
      <c r="A13" s="50">
        <v>3</v>
      </c>
      <c r="B13" s="86" t="s">
        <v>209</v>
      </c>
      <c r="C13" s="35"/>
      <c r="D13" s="104" t="s">
        <v>44</v>
      </c>
      <c r="E13" s="28" t="s">
        <v>24</v>
      </c>
      <c r="F13" s="28" t="s">
        <v>25</v>
      </c>
      <c r="G13" s="55"/>
      <c r="H13" s="55"/>
      <c r="I13" s="55"/>
      <c r="J13" s="72"/>
      <c r="K13" s="73"/>
      <c r="L13" s="43"/>
      <c r="M13" s="45"/>
      <c r="N13" s="47"/>
      <c r="O13" s="38"/>
      <c r="P13" s="196">
        <f t="shared" si="0"/>
        <v>0</v>
      </c>
    </row>
    <row r="14" spans="1:16" s="8" customFormat="1" ht="25.15" customHeight="1" thickBot="1" x14ac:dyDescent="0.3">
      <c r="A14" s="50">
        <v>3</v>
      </c>
      <c r="B14" s="86" t="s">
        <v>209</v>
      </c>
      <c r="C14" s="35"/>
      <c r="D14" s="104" t="s">
        <v>44</v>
      </c>
      <c r="E14" s="28" t="s">
        <v>24</v>
      </c>
      <c r="F14" s="28" t="s">
        <v>25</v>
      </c>
      <c r="G14" s="55"/>
      <c r="H14" s="55"/>
      <c r="I14" s="55"/>
      <c r="J14" s="72"/>
      <c r="K14" s="73"/>
      <c r="P14" s="196">
        <f t="shared" si="0"/>
        <v>0</v>
      </c>
    </row>
    <row r="15" spans="1:16" s="8" customFormat="1" ht="25.15" customHeight="1" thickBot="1" x14ac:dyDescent="0.3">
      <c r="A15" s="50">
        <v>3</v>
      </c>
      <c r="B15" s="86" t="s">
        <v>302</v>
      </c>
      <c r="C15" s="35"/>
      <c r="D15" s="68" t="s">
        <v>271</v>
      </c>
      <c r="E15" s="28" t="s">
        <v>210</v>
      </c>
      <c r="F15" s="28" t="s">
        <v>28</v>
      </c>
      <c r="G15" s="54"/>
      <c r="H15" s="54"/>
      <c r="I15" s="54"/>
      <c r="J15" s="37"/>
      <c r="K15" s="40"/>
      <c r="L15" s="39"/>
      <c r="M15" s="45"/>
      <c r="N15" s="46"/>
      <c r="O15" s="30"/>
      <c r="P15" s="196">
        <f t="shared" si="0"/>
        <v>0</v>
      </c>
    </row>
    <row r="16" spans="1:16" s="8" customFormat="1" ht="25.15" customHeight="1" thickBot="1" x14ac:dyDescent="0.3">
      <c r="A16" s="50">
        <v>3</v>
      </c>
      <c r="B16" s="86" t="s">
        <v>302</v>
      </c>
      <c r="C16" s="35"/>
      <c r="D16" s="68" t="s">
        <v>271</v>
      </c>
      <c r="E16" s="28" t="s">
        <v>210</v>
      </c>
      <c r="F16" s="28" t="s">
        <v>28</v>
      </c>
      <c r="G16" s="54"/>
      <c r="H16" s="54"/>
      <c r="I16" s="54"/>
      <c r="J16" s="37"/>
      <c r="K16" s="41"/>
      <c r="L16" s="39"/>
      <c r="M16" s="45"/>
      <c r="N16" s="46"/>
      <c r="O16" s="30"/>
      <c r="P16" s="196">
        <f t="shared" si="0"/>
        <v>0</v>
      </c>
    </row>
    <row r="17" spans="1:16" s="8" customFormat="1" ht="25.15" customHeight="1" thickBot="1" x14ac:dyDescent="0.3">
      <c r="A17" s="50">
        <v>3</v>
      </c>
      <c r="B17" s="86" t="s">
        <v>302</v>
      </c>
      <c r="C17" s="35"/>
      <c r="D17" s="68" t="s">
        <v>271</v>
      </c>
      <c r="E17" s="28" t="s">
        <v>210</v>
      </c>
      <c r="F17" s="28" t="s">
        <v>28</v>
      </c>
      <c r="G17" s="54"/>
      <c r="H17" s="54"/>
      <c r="I17" s="54"/>
      <c r="J17" s="37"/>
      <c r="K17" s="41"/>
      <c r="L17" s="37"/>
      <c r="M17" s="45"/>
      <c r="N17" s="46"/>
      <c r="O17" s="30"/>
      <c r="P17" s="196">
        <f t="shared" si="0"/>
        <v>0</v>
      </c>
    </row>
    <row r="18" spans="1:16" s="8" customFormat="1" ht="25.15" customHeight="1" thickBot="1" x14ac:dyDescent="0.3">
      <c r="A18" s="50">
        <v>3</v>
      </c>
      <c r="B18" s="86" t="s">
        <v>302</v>
      </c>
      <c r="C18" s="35"/>
      <c r="D18" s="68" t="s">
        <v>271</v>
      </c>
      <c r="E18" s="28" t="s">
        <v>210</v>
      </c>
      <c r="F18" s="28" t="s">
        <v>28</v>
      </c>
      <c r="G18" s="54"/>
      <c r="H18" s="54"/>
      <c r="I18" s="54"/>
      <c r="J18" s="37"/>
      <c r="K18" s="41"/>
      <c r="L18" s="37"/>
      <c r="M18" s="45"/>
      <c r="N18" s="46"/>
      <c r="O18" s="30"/>
      <c r="P18" s="196">
        <f t="shared" si="0"/>
        <v>0</v>
      </c>
    </row>
    <row r="19" spans="1:16" s="8" customFormat="1" ht="25.15" customHeight="1" thickBot="1" x14ac:dyDescent="0.3">
      <c r="A19" s="50">
        <v>3</v>
      </c>
      <c r="B19" s="86" t="s">
        <v>302</v>
      </c>
      <c r="C19" s="35"/>
      <c r="D19" s="68" t="s">
        <v>271</v>
      </c>
      <c r="E19" s="28" t="s">
        <v>210</v>
      </c>
      <c r="F19" s="28" t="s">
        <v>28</v>
      </c>
      <c r="G19" s="54"/>
      <c r="H19" s="54"/>
      <c r="I19" s="54"/>
      <c r="J19" s="37"/>
      <c r="K19" s="41"/>
      <c r="L19" s="37"/>
      <c r="M19" s="45"/>
      <c r="N19" s="46"/>
      <c r="O19" s="30"/>
      <c r="P19" s="196">
        <f t="shared" si="0"/>
        <v>0</v>
      </c>
    </row>
    <row r="20" spans="1:16" s="8" customFormat="1" ht="25.15" customHeight="1" thickBot="1" x14ac:dyDescent="0.3">
      <c r="A20" s="50">
        <v>3</v>
      </c>
      <c r="B20" s="86" t="s">
        <v>302</v>
      </c>
      <c r="C20" s="35"/>
      <c r="D20" s="68" t="s">
        <v>271</v>
      </c>
      <c r="E20" s="28" t="s">
        <v>210</v>
      </c>
      <c r="F20" s="28" t="s">
        <v>28</v>
      </c>
      <c r="G20" s="54"/>
      <c r="H20" s="54"/>
      <c r="I20" s="54"/>
      <c r="J20" s="37"/>
      <c r="K20" s="41"/>
      <c r="L20" s="37"/>
      <c r="M20" s="45"/>
      <c r="N20" s="46"/>
      <c r="O20" s="30"/>
      <c r="P20" s="196">
        <f t="shared" si="0"/>
        <v>0</v>
      </c>
    </row>
    <row r="21" spans="1:16" s="8" customFormat="1" ht="25.15" customHeight="1" thickBot="1" x14ac:dyDescent="0.3">
      <c r="A21" s="50">
        <v>3</v>
      </c>
      <c r="B21" s="86" t="s">
        <v>302</v>
      </c>
      <c r="C21" s="35"/>
      <c r="D21" s="68" t="s">
        <v>271</v>
      </c>
      <c r="E21" s="28" t="s">
        <v>210</v>
      </c>
      <c r="F21" s="28" t="s">
        <v>28</v>
      </c>
      <c r="G21" s="54"/>
      <c r="H21" s="54"/>
      <c r="I21" s="54"/>
      <c r="J21" s="37"/>
      <c r="K21" s="41"/>
      <c r="L21" s="37"/>
      <c r="M21" s="45"/>
      <c r="N21" s="46"/>
      <c r="O21" s="30"/>
      <c r="P21" s="196">
        <f t="shared" si="0"/>
        <v>0</v>
      </c>
    </row>
    <row r="22" spans="1:16" s="8" customFormat="1" ht="25.15" customHeight="1" thickBot="1" x14ac:dyDescent="0.3">
      <c r="A22" s="50">
        <v>3</v>
      </c>
      <c r="B22" s="86" t="s">
        <v>302</v>
      </c>
      <c r="C22" s="35"/>
      <c r="D22" s="68" t="s">
        <v>272</v>
      </c>
      <c r="E22" s="28" t="s">
        <v>211</v>
      </c>
      <c r="F22" s="28" t="s">
        <v>28</v>
      </c>
      <c r="G22" s="54"/>
      <c r="H22" s="54"/>
      <c r="I22" s="54"/>
      <c r="J22" s="37"/>
      <c r="K22" s="41"/>
      <c r="L22" s="37"/>
      <c r="M22" s="45"/>
      <c r="N22" s="46"/>
      <c r="O22" s="30"/>
      <c r="P22" s="196">
        <f t="shared" si="0"/>
        <v>0</v>
      </c>
    </row>
    <row r="23" spans="1:16" s="8" customFormat="1" ht="25.15" customHeight="1" thickBot="1" x14ac:dyDescent="0.3">
      <c r="A23" s="50">
        <v>3</v>
      </c>
      <c r="B23" s="86" t="s">
        <v>302</v>
      </c>
      <c r="C23" s="35"/>
      <c r="D23" s="68" t="s">
        <v>272</v>
      </c>
      <c r="E23" s="28" t="s">
        <v>211</v>
      </c>
      <c r="F23" s="28"/>
      <c r="G23" s="54"/>
      <c r="H23" s="54"/>
      <c r="I23" s="54"/>
      <c r="J23" s="31"/>
      <c r="K23" s="41"/>
      <c r="L23" s="37"/>
      <c r="M23" s="45"/>
      <c r="N23" s="46"/>
      <c r="O23" s="30"/>
      <c r="P23" s="196">
        <f t="shared" si="0"/>
        <v>0</v>
      </c>
    </row>
    <row r="24" spans="1:16" s="8" customFormat="1" ht="25.15" customHeight="1" thickBot="1" x14ac:dyDescent="0.3">
      <c r="A24" s="50">
        <v>3</v>
      </c>
      <c r="B24" s="86" t="s">
        <v>302</v>
      </c>
      <c r="C24" s="35"/>
      <c r="D24" s="68" t="s">
        <v>272</v>
      </c>
      <c r="E24" s="28" t="s">
        <v>211</v>
      </c>
      <c r="F24" s="28"/>
      <c r="G24" s="54"/>
      <c r="H24" s="54"/>
      <c r="I24" s="54"/>
      <c r="J24" s="31"/>
      <c r="K24" s="41"/>
      <c r="L24" s="37"/>
      <c r="M24" s="45"/>
      <c r="N24" s="46"/>
      <c r="O24" s="30"/>
      <c r="P24" s="196">
        <f t="shared" si="0"/>
        <v>0</v>
      </c>
    </row>
    <row r="25" spans="1:16" s="8" customFormat="1" ht="25.15" customHeight="1" thickBot="1" x14ac:dyDescent="0.3">
      <c r="A25" s="50">
        <v>3</v>
      </c>
      <c r="B25" s="86" t="s">
        <v>302</v>
      </c>
      <c r="C25" s="35"/>
      <c r="D25" s="68" t="s">
        <v>272</v>
      </c>
      <c r="E25" s="28" t="s">
        <v>211</v>
      </c>
      <c r="F25" s="28"/>
      <c r="G25" s="54"/>
      <c r="H25" s="54"/>
      <c r="I25" s="54"/>
      <c r="J25" s="31"/>
      <c r="K25" s="41"/>
      <c r="L25" s="37"/>
      <c r="M25" s="45"/>
      <c r="N25" s="46"/>
      <c r="O25" s="30"/>
      <c r="P25" s="196">
        <f t="shared" si="0"/>
        <v>0</v>
      </c>
    </row>
    <row r="26" spans="1:16" s="8" customFormat="1" ht="25.15" customHeight="1" thickBot="1" x14ac:dyDescent="0.3">
      <c r="A26" s="50">
        <v>3</v>
      </c>
      <c r="B26" s="86" t="s">
        <v>302</v>
      </c>
      <c r="C26" s="35"/>
      <c r="D26" s="68" t="s">
        <v>272</v>
      </c>
      <c r="E26" s="28" t="s">
        <v>211</v>
      </c>
      <c r="F26" s="28"/>
      <c r="G26" s="54"/>
      <c r="H26" s="54"/>
      <c r="I26" s="54"/>
      <c r="J26" s="31"/>
      <c r="K26" s="41"/>
      <c r="L26" s="37"/>
      <c r="M26" s="45"/>
      <c r="N26" s="46"/>
      <c r="O26" s="30"/>
      <c r="P26" s="196">
        <f t="shared" si="0"/>
        <v>0</v>
      </c>
    </row>
    <row r="27" spans="1:16" s="8" customFormat="1" ht="25.15" customHeight="1" thickBot="1" x14ac:dyDescent="0.3">
      <c r="A27" s="50">
        <v>3</v>
      </c>
      <c r="B27" s="86" t="s">
        <v>302</v>
      </c>
      <c r="C27" s="35"/>
      <c r="D27" s="68" t="s">
        <v>272</v>
      </c>
      <c r="E27" s="28" t="s">
        <v>211</v>
      </c>
      <c r="F27" s="28"/>
      <c r="G27" s="54"/>
      <c r="H27" s="54"/>
      <c r="I27" s="54"/>
      <c r="J27" s="31"/>
      <c r="K27" s="41"/>
      <c r="L27" s="37"/>
      <c r="M27" s="45"/>
      <c r="N27" s="46"/>
      <c r="O27" s="30"/>
      <c r="P27" s="196">
        <f t="shared" si="0"/>
        <v>0</v>
      </c>
    </row>
    <row r="28" spans="1:16" s="8" customFormat="1" ht="25.15" customHeight="1" thickBot="1" x14ac:dyDescent="0.3">
      <c r="A28" s="50">
        <v>3</v>
      </c>
      <c r="B28" s="86" t="s">
        <v>209</v>
      </c>
      <c r="C28" s="35">
        <v>46117</v>
      </c>
      <c r="D28" s="104" t="s">
        <v>45</v>
      </c>
      <c r="E28" s="28" t="s">
        <v>32</v>
      </c>
      <c r="F28" s="28" t="s">
        <v>25</v>
      </c>
      <c r="G28" s="55"/>
      <c r="H28" s="55"/>
      <c r="I28" s="55"/>
      <c r="J28" s="44"/>
      <c r="K28" s="44"/>
      <c r="L28" s="39">
        <v>313</v>
      </c>
      <c r="M28" s="47">
        <v>299</v>
      </c>
      <c r="N28" s="47">
        <v>90</v>
      </c>
      <c r="O28" s="38">
        <f>(M28-L28)/N28</f>
        <v>-0.15555555555555556</v>
      </c>
      <c r="P28" s="196">
        <f t="shared" si="0"/>
        <v>-14</v>
      </c>
    </row>
    <row r="29" spans="1:16" s="8" customFormat="1" ht="25.15" customHeight="1" thickBot="1" x14ac:dyDescent="0.3">
      <c r="A29" s="50">
        <v>3</v>
      </c>
      <c r="B29" s="86" t="s">
        <v>209</v>
      </c>
      <c r="C29" s="35">
        <v>46143</v>
      </c>
      <c r="D29" s="104" t="s">
        <v>45</v>
      </c>
      <c r="E29" s="28" t="s">
        <v>32</v>
      </c>
      <c r="F29" s="28" t="s">
        <v>25</v>
      </c>
      <c r="G29" s="55"/>
      <c r="H29" s="55"/>
      <c r="I29" s="55"/>
      <c r="J29" s="44"/>
      <c r="K29" s="44"/>
      <c r="L29" s="39">
        <v>316</v>
      </c>
      <c r="M29" s="45">
        <v>299</v>
      </c>
      <c r="N29" s="47">
        <v>90</v>
      </c>
      <c r="O29" s="38">
        <f>(M29-L29)/N29</f>
        <v>-0.18888888888888888</v>
      </c>
      <c r="P29" s="196">
        <f t="shared" si="0"/>
        <v>-17</v>
      </c>
    </row>
    <row r="30" spans="1:16" s="8" customFormat="1" ht="25.15" customHeight="1" thickBot="1" x14ac:dyDescent="0.3">
      <c r="A30" s="50">
        <v>3</v>
      </c>
      <c r="B30" s="86" t="s">
        <v>209</v>
      </c>
      <c r="C30" s="35">
        <v>46188</v>
      </c>
      <c r="D30" s="104" t="s">
        <v>45</v>
      </c>
      <c r="E30" s="28" t="s">
        <v>32</v>
      </c>
      <c r="F30" s="28" t="s">
        <v>25</v>
      </c>
      <c r="G30" s="63"/>
      <c r="H30" s="63"/>
      <c r="I30" s="63"/>
      <c r="J30" s="66"/>
      <c r="K30" s="66"/>
      <c r="L30" s="39">
        <v>304</v>
      </c>
      <c r="M30" s="45">
        <v>299</v>
      </c>
      <c r="N30" s="47">
        <v>90</v>
      </c>
      <c r="O30" s="38">
        <f>(M30-L30)/N30</f>
        <v>-5.5555555555555552E-2</v>
      </c>
      <c r="P30" s="196">
        <f t="shared" si="0"/>
        <v>-5</v>
      </c>
    </row>
    <row r="31" spans="1:16" s="8" customFormat="1" ht="25.15" customHeight="1" thickBot="1" x14ac:dyDescent="0.3">
      <c r="A31" s="50">
        <v>3</v>
      </c>
      <c r="B31" s="86" t="s">
        <v>209</v>
      </c>
      <c r="C31" s="35"/>
      <c r="D31" s="104" t="s">
        <v>45</v>
      </c>
      <c r="E31" s="28" t="s">
        <v>32</v>
      </c>
      <c r="F31" s="28" t="s">
        <v>25</v>
      </c>
      <c r="G31" s="63"/>
      <c r="H31" s="63"/>
      <c r="I31" s="63"/>
      <c r="J31" s="66"/>
      <c r="K31" s="66"/>
      <c r="L31" s="39"/>
      <c r="M31" s="45"/>
      <c r="N31" s="47"/>
      <c r="O31" s="38"/>
      <c r="P31" s="196">
        <f t="shared" si="0"/>
        <v>0</v>
      </c>
    </row>
    <row r="32" spans="1:16" s="8" customFormat="1" ht="25.15" customHeight="1" thickBot="1" x14ac:dyDescent="0.3">
      <c r="A32" s="50">
        <v>3</v>
      </c>
      <c r="B32" s="86" t="s">
        <v>209</v>
      </c>
      <c r="C32" s="35"/>
      <c r="D32" s="104" t="s">
        <v>45</v>
      </c>
      <c r="E32" s="28" t="s">
        <v>32</v>
      </c>
      <c r="F32" s="28" t="s">
        <v>25</v>
      </c>
      <c r="G32" s="63"/>
      <c r="H32" s="63"/>
      <c r="I32" s="63"/>
      <c r="J32" s="66"/>
      <c r="K32" s="66"/>
      <c r="L32" s="39"/>
      <c r="M32" s="45"/>
      <c r="N32" s="47"/>
      <c r="O32" s="38"/>
      <c r="P32" s="196">
        <f t="shared" si="0"/>
        <v>0</v>
      </c>
    </row>
    <row r="33" spans="1:16" s="8" customFormat="1" ht="25.15" customHeight="1" thickBot="1" x14ac:dyDescent="0.3">
      <c r="A33" s="50">
        <v>3</v>
      </c>
      <c r="B33" s="86" t="s">
        <v>209</v>
      </c>
      <c r="C33" s="35"/>
      <c r="D33" s="104" t="s">
        <v>45</v>
      </c>
      <c r="E33" s="28" t="s">
        <v>32</v>
      </c>
      <c r="F33" s="28" t="s">
        <v>25</v>
      </c>
      <c r="G33" s="63"/>
      <c r="H33" s="63"/>
      <c r="I33" s="63"/>
      <c r="J33" s="66"/>
      <c r="K33" s="66"/>
      <c r="L33" s="39"/>
      <c r="M33" s="45"/>
      <c r="N33" s="47"/>
      <c r="O33" s="38"/>
      <c r="P33" s="196">
        <f t="shared" si="0"/>
        <v>0</v>
      </c>
    </row>
    <row r="34" spans="1:16" s="8" customFormat="1" ht="25.15" customHeight="1" thickBot="1" x14ac:dyDescent="0.3">
      <c r="A34" s="50">
        <v>3</v>
      </c>
      <c r="B34" s="86" t="s">
        <v>209</v>
      </c>
      <c r="C34" s="35"/>
      <c r="D34" s="104" t="s">
        <v>45</v>
      </c>
      <c r="E34" s="28" t="s">
        <v>32</v>
      </c>
      <c r="F34" s="28" t="s">
        <v>25</v>
      </c>
      <c r="G34" s="55"/>
      <c r="H34" s="55"/>
      <c r="I34" s="55"/>
      <c r="J34" s="44"/>
      <c r="K34" s="44"/>
      <c r="L34" s="39"/>
      <c r="M34" s="45"/>
      <c r="N34" s="47"/>
      <c r="O34" s="38"/>
      <c r="P34" s="196">
        <f t="shared" si="0"/>
        <v>0</v>
      </c>
    </row>
    <row r="35" spans="1:16" s="8" customFormat="1" ht="25.15" customHeight="1" thickBot="1" x14ac:dyDescent="0.3">
      <c r="A35" s="50">
        <v>3</v>
      </c>
      <c r="B35" s="86" t="s">
        <v>209</v>
      </c>
      <c r="C35" s="35"/>
      <c r="D35" s="104" t="s">
        <v>45</v>
      </c>
      <c r="E35" s="28" t="s">
        <v>32</v>
      </c>
      <c r="F35" s="28" t="s">
        <v>25</v>
      </c>
      <c r="G35" s="63"/>
      <c r="H35" s="63"/>
      <c r="I35" s="63"/>
      <c r="J35" s="66"/>
      <c r="K35" s="66"/>
      <c r="L35" s="39"/>
      <c r="M35" s="45"/>
      <c r="N35" s="47"/>
      <c r="O35" s="38"/>
      <c r="P35" s="196">
        <f t="shared" si="0"/>
        <v>0</v>
      </c>
    </row>
    <row r="36" spans="1:16" s="8" customFormat="1" ht="25.15" customHeight="1" thickBot="1" x14ac:dyDescent="0.3">
      <c r="A36" s="50">
        <v>3</v>
      </c>
      <c r="B36" s="86" t="s">
        <v>209</v>
      </c>
      <c r="C36" s="35"/>
      <c r="D36" s="104" t="s">
        <v>45</v>
      </c>
      <c r="E36" s="28" t="s">
        <v>32</v>
      </c>
      <c r="F36" s="28" t="s">
        <v>25</v>
      </c>
      <c r="G36" s="55"/>
      <c r="H36" s="55"/>
      <c r="I36" s="55"/>
      <c r="J36" s="44"/>
      <c r="K36" s="44"/>
      <c r="L36" s="39"/>
      <c r="M36" s="45"/>
      <c r="N36" s="47"/>
      <c r="O36" s="38" t="e">
        <f t="shared" ref="O36:O40" si="1">(M36-L36)/N36</f>
        <v>#DIV/0!</v>
      </c>
      <c r="P36" s="196">
        <f t="shared" si="0"/>
        <v>0</v>
      </c>
    </row>
    <row r="37" spans="1:16" s="8" customFormat="1" ht="25.15" customHeight="1" thickBot="1" x14ac:dyDescent="0.3">
      <c r="A37" s="50">
        <v>3</v>
      </c>
      <c r="B37" s="86" t="s">
        <v>209</v>
      </c>
      <c r="C37" s="35"/>
      <c r="D37" s="104" t="s">
        <v>45</v>
      </c>
      <c r="E37" s="28" t="s">
        <v>32</v>
      </c>
      <c r="F37" s="28" t="s">
        <v>25</v>
      </c>
      <c r="G37" s="55"/>
      <c r="H37" s="55"/>
      <c r="I37" s="55"/>
      <c r="J37" s="44"/>
      <c r="K37" s="44"/>
      <c r="L37" s="39"/>
      <c r="M37" s="45"/>
      <c r="N37" s="47"/>
      <c r="O37" s="38" t="e">
        <f t="shared" si="1"/>
        <v>#DIV/0!</v>
      </c>
      <c r="P37" s="196">
        <f t="shared" si="0"/>
        <v>0</v>
      </c>
    </row>
    <row r="38" spans="1:16" s="8" customFormat="1" ht="25.15" customHeight="1" thickBot="1" x14ac:dyDescent="0.3">
      <c r="A38" s="50">
        <v>3</v>
      </c>
      <c r="B38" s="86" t="s">
        <v>209</v>
      </c>
      <c r="C38" s="35"/>
      <c r="D38" s="104" t="s">
        <v>45</v>
      </c>
      <c r="E38" s="28" t="s">
        <v>32</v>
      </c>
      <c r="F38" s="28" t="s">
        <v>25</v>
      </c>
      <c r="G38" s="55"/>
      <c r="H38" s="55"/>
      <c r="I38" s="55"/>
      <c r="J38" s="44"/>
      <c r="K38" s="44"/>
      <c r="L38" s="39"/>
      <c r="M38" s="45"/>
      <c r="N38" s="47"/>
      <c r="O38" s="38" t="e">
        <f t="shared" si="1"/>
        <v>#DIV/0!</v>
      </c>
      <c r="P38" s="196">
        <f t="shared" si="0"/>
        <v>0</v>
      </c>
    </row>
    <row r="39" spans="1:16" s="8" customFormat="1" ht="25.15" customHeight="1" thickBot="1" x14ac:dyDescent="0.3">
      <c r="A39" s="50">
        <v>3</v>
      </c>
      <c r="B39" s="86" t="s">
        <v>209</v>
      </c>
      <c r="C39" s="35"/>
      <c r="D39" s="104" t="s">
        <v>45</v>
      </c>
      <c r="E39" s="28" t="s">
        <v>32</v>
      </c>
      <c r="F39" s="28" t="s">
        <v>25</v>
      </c>
      <c r="G39" s="55"/>
      <c r="H39" s="55"/>
      <c r="I39" s="55"/>
      <c r="J39" s="44"/>
      <c r="K39" s="44"/>
      <c r="L39" s="39"/>
      <c r="M39" s="45"/>
      <c r="N39" s="47"/>
      <c r="O39" s="38" t="e">
        <f t="shared" si="1"/>
        <v>#DIV/0!</v>
      </c>
      <c r="P39" s="196">
        <f t="shared" si="0"/>
        <v>0</v>
      </c>
    </row>
    <row r="40" spans="1:16" s="8" customFormat="1" ht="25.15" customHeight="1" thickBot="1" x14ac:dyDescent="0.3">
      <c r="A40" s="50">
        <v>3</v>
      </c>
      <c r="B40" s="86" t="s">
        <v>209</v>
      </c>
      <c r="C40" s="35"/>
      <c r="D40" s="104" t="s">
        <v>45</v>
      </c>
      <c r="E40" s="28" t="s">
        <v>32</v>
      </c>
      <c r="F40" s="28" t="s">
        <v>25</v>
      </c>
      <c r="G40" s="55"/>
      <c r="H40" s="55"/>
      <c r="I40" s="55"/>
      <c r="J40" s="44"/>
      <c r="K40" s="44"/>
      <c r="L40" s="39"/>
      <c r="M40" s="45"/>
      <c r="N40" s="47"/>
      <c r="O40" s="38" t="e">
        <f t="shared" si="1"/>
        <v>#DIV/0!</v>
      </c>
      <c r="P40" s="196">
        <f t="shared" si="0"/>
        <v>0</v>
      </c>
    </row>
    <row r="41" spans="1:16" s="8" customFormat="1" ht="25.15" customHeight="1" thickBot="1" x14ac:dyDescent="0.3">
      <c r="A41" s="50">
        <v>3</v>
      </c>
      <c r="B41" s="86" t="s">
        <v>209</v>
      </c>
      <c r="C41" s="35"/>
      <c r="D41" s="104" t="s">
        <v>45</v>
      </c>
      <c r="E41" s="28" t="s">
        <v>32</v>
      </c>
      <c r="F41" s="28" t="s">
        <v>25</v>
      </c>
      <c r="G41" s="55"/>
      <c r="H41" s="55"/>
      <c r="I41" s="55"/>
      <c r="J41" s="44"/>
      <c r="K41" s="44"/>
      <c r="L41" s="39"/>
      <c r="M41" s="45"/>
      <c r="N41" s="47"/>
      <c r="O41" s="38"/>
      <c r="P41" s="196">
        <f t="shared" si="0"/>
        <v>0</v>
      </c>
    </row>
    <row r="42" spans="1:16" s="8" customFormat="1" ht="25.15" customHeight="1" thickBot="1" x14ac:dyDescent="0.3">
      <c r="A42" s="50">
        <v>3</v>
      </c>
      <c r="B42" s="86" t="s">
        <v>209</v>
      </c>
      <c r="C42" s="35"/>
      <c r="D42" s="104" t="s">
        <v>45</v>
      </c>
      <c r="E42" s="28" t="s">
        <v>32</v>
      </c>
      <c r="F42" s="28" t="s">
        <v>25</v>
      </c>
      <c r="G42" s="55"/>
      <c r="H42" s="55"/>
      <c r="I42" s="55"/>
      <c r="J42" s="44"/>
      <c r="K42" s="44"/>
      <c r="L42" s="39"/>
      <c r="M42" s="45"/>
      <c r="N42" s="47"/>
      <c r="O42" s="38"/>
      <c r="P42" s="196">
        <f t="shared" si="0"/>
        <v>0</v>
      </c>
    </row>
    <row r="43" spans="1:16" s="8" customFormat="1" ht="25.15" customHeight="1" thickBot="1" x14ac:dyDescent="0.3">
      <c r="A43" s="50">
        <v>3</v>
      </c>
      <c r="B43" s="86" t="s">
        <v>209</v>
      </c>
      <c r="C43" s="29"/>
      <c r="D43" s="104" t="s">
        <v>45</v>
      </c>
      <c r="E43" s="28" t="s">
        <v>32</v>
      </c>
      <c r="F43" s="28" t="s">
        <v>25</v>
      </c>
      <c r="G43" s="54"/>
      <c r="H43" s="54"/>
      <c r="I43" s="54"/>
      <c r="J43" s="31"/>
      <c r="K43" s="37"/>
      <c r="L43" s="39"/>
      <c r="M43" s="45"/>
      <c r="N43" s="47"/>
      <c r="O43" s="38"/>
      <c r="P43" s="196">
        <f t="shared" si="0"/>
        <v>0</v>
      </c>
    </row>
    <row r="44" spans="1:16" s="8" customFormat="1" ht="25.15" customHeight="1" thickBot="1" x14ac:dyDescent="0.3">
      <c r="A44" s="50">
        <v>3</v>
      </c>
      <c r="B44" s="86" t="s">
        <v>303</v>
      </c>
      <c r="C44" s="35">
        <v>46143</v>
      </c>
      <c r="D44" s="68" t="s">
        <v>271</v>
      </c>
      <c r="E44" s="28" t="s">
        <v>212</v>
      </c>
      <c r="F44" s="28"/>
      <c r="G44" s="54">
        <v>7</v>
      </c>
      <c r="H44" s="54">
        <v>0</v>
      </c>
      <c r="I44" s="54">
        <v>7</v>
      </c>
      <c r="J44" s="37">
        <f t="shared" ref="J44:J49" si="2">I44/G44</f>
        <v>1</v>
      </c>
      <c r="K44" s="37"/>
      <c r="L44" s="39"/>
      <c r="M44" s="45"/>
      <c r="N44" s="47"/>
      <c r="O44" s="38"/>
      <c r="P44" s="196">
        <f t="shared" si="0"/>
        <v>0</v>
      </c>
    </row>
    <row r="45" spans="1:16" s="8" customFormat="1" ht="25.15" customHeight="1" thickBot="1" x14ac:dyDescent="0.3">
      <c r="A45" s="50">
        <v>3</v>
      </c>
      <c r="B45" s="86" t="s">
        <v>303</v>
      </c>
      <c r="C45" s="35">
        <v>46188</v>
      </c>
      <c r="D45" s="68" t="s">
        <v>271</v>
      </c>
      <c r="E45" s="28" t="s">
        <v>212</v>
      </c>
      <c r="F45" s="28"/>
      <c r="G45" s="54">
        <v>7</v>
      </c>
      <c r="H45" s="54">
        <v>0</v>
      </c>
      <c r="I45" s="54">
        <v>7</v>
      </c>
      <c r="J45" s="37">
        <f t="shared" si="2"/>
        <v>1</v>
      </c>
      <c r="K45" s="37"/>
      <c r="L45" s="39"/>
      <c r="M45" s="45"/>
      <c r="N45" s="47"/>
      <c r="O45" s="38"/>
      <c r="P45" s="196">
        <f t="shared" si="0"/>
        <v>0</v>
      </c>
    </row>
    <row r="46" spans="1:16" s="8" customFormat="1" ht="25.15" customHeight="1" thickBot="1" x14ac:dyDescent="0.3">
      <c r="A46" s="50">
        <v>3</v>
      </c>
      <c r="B46" s="86" t="s">
        <v>303</v>
      </c>
      <c r="C46" s="35"/>
      <c r="D46" s="68" t="s">
        <v>271</v>
      </c>
      <c r="E46" s="28" t="s">
        <v>212</v>
      </c>
      <c r="F46" s="28"/>
      <c r="G46" s="54"/>
      <c r="H46" s="54"/>
      <c r="I46" s="54"/>
      <c r="J46" s="37" t="e">
        <f t="shared" si="2"/>
        <v>#DIV/0!</v>
      </c>
      <c r="K46" s="37"/>
      <c r="L46" s="39"/>
      <c r="M46" s="45"/>
      <c r="N46" s="47"/>
      <c r="O46" s="38"/>
      <c r="P46" s="196">
        <f t="shared" si="0"/>
        <v>0</v>
      </c>
    </row>
    <row r="47" spans="1:16" s="8" customFormat="1" ht="25.15" customHeight="1" thickBot="1" x14ac:dyDescent="0.3">
      <c r="A47" s="50">
        <v>3</v>
      </c>
      <c r="B47" s="86" t="s">
        <v>303</v>
      </c>
      <c r="C47" s="35"/>
      <c r="D47" s="68" t="s">
        <v>271</v>
      </c>
      <c r="E47" s="28" t="s">
        <v>212</v>
      </c>
      <c r="F47" s="28"/>
      <c r="G47" s="54"/>
      <c r="H47" s="54"/>
      <c r="I47" s="54"/>
      <c r="J47" s="37" t="e">
        <f t="shared" si="2"/>
        <v>#DIV/0!</v>
      </c>
      <c r="K47" s="37"/>
      <c r="L47" s="39"/>
      <c r="M47" s="45"/>
      <c r="N47" s="47"/>
      <c r="O47" s="38"/>
      <c r="P47" s="196">
        <f t="shared" si="0"/>
        <v>0</v>
      </c>
    </row>
    <row r="48" spans="1:16" s="8" customFormat="1" ht="25.15" customHeight="1" thickBot="1" x14ac:dyDescent="0.3">
      <c r="A48" s="50">
        <v>3</v>
      </c>
      <c r="B48" s="86" t="s">
        <v>303</v>
      </c>
      <c r="C48" s="35"/>
      <c r="D48" s="68" t="s">
        <v>271</v>
      </c>
      <c r="E48" s="28" t="s">
        <v>212</v>
      </c>
      <c r="F48" s="28"/>
      <c r="G48" s="54"/>
      <c r="H48" s="54"/>
      <c r="I48" s="54"/>
      <c r="J48" s="31" t="e">
        <f t="shared" si="2"/>
        <v>#DIV/0!</v>
      </c>
      <c r="K48" s="37"/>
      <c r="L48" s="39"/>
      <c r="M48" s="45"/>
      <c r="N48" s="47"/>
      <c r="O48" s="38"/>
      <c r="P48" s="196">
        <f t="shared" si="0"/>
        <v>0</v>
      </c>
    </row>
    <row r="49" spans="1:16" s="8" customFormat="1" ht="25.15" customHeight="1" thickBot="1" x14ac:dyDescent="0.3">
      <c r="A49" s="50"/>
      <c r="B49" s="86" t="s">
        <v>303</v>
      </c>
      <c r="C49" s="35"/>
      <c r="D49" s="68" t="s">
        <v>271</v>
      </c>
      <c r="E49" s="28" t="s">
        <v>212</v>
      </c>
      <c r="F49" s="28"/>
      <c r="G49" s="54"/>
      <c r="H49" s="54"/>
      <c r="I49" s="54"/>
      <c r="J49" s="31" t="e">
        <f t="shared" si="2"/>
        <v>#DIV/0!</v>
      </c>
      <c r="K49" s="37"/>
      <c r="L49" s="39"/>
      <c r="M49" s="45"/>
      <c r="N49" s="47"/>
      <c r="O49" s="38"/>
      <c r="P49" s="196">
        <f t="shared" si="0"/>
        <v>0</v>
      </c>
    </row>
    <row r="50" spans="1:16" s="8" customFormat="1" ht="25.15" customHeight="1" thickBot="1" x14ac:dyDescent="0.3">
      <c r="A50" s="50">
        <v>3</v>
      </c>
      <c r="B50" s="86" t="s">
        <v>303</v>
      </c>
      <c r="C50" s="29"/>
      <c r="D50" s="68" t="s">
        <v>271</v>
      </c>
      <c r="E50" s="28" t="s">
        <v>212</v>
      </c>
      <c r="F50" s="28"/>
      <c r="G50" s="54"/>
      <c r="H50" s="54"/>
      <c r="I50" s="54"/>
      <c r="J50" s="31"/>
      <c r="K50" s="37"/>
      <c r="L50" s="39"/>
      <c r="M50" s="45"/>
      <c r="N50" s="47"/>
      <c r="O50" s="38"/>
      <c r="P50" s="196">
        <f t="shared" si="0"/>
        <v>0</v>
      </c>
    </row>
    <row r="51" spans="1:16" s="8" customFormat="1" ht="25.15" customHeight="1" thickBot="1" x14ac:dyDescent="0.3">
      <c r="A51" s="50">
        <v>3</v>
      </c>
      <c r="B51" s="86" t="s">
        <v>303</v>
      </c>
      <c r="C51" s="35">
        <v>46143</v>
      </c>
      <c r="D51" s="68" t="s">
        <v>272</v>
      </c>
      <c r="E51" s="28" t="s">
        <v>213</v>
      </c>
      <c r="F51" s="28"/>
      <c r="G51" s="54">
        <v>3</v>
      </c>
      <c r="H51" s="54">
        <v>1</v>
      </c>
      <c r="I51" s="54">
        <v>2</v>
      </c>
      <c r="J51" s="37">
        <f>I51/G51</f>
        <v>0.66666666666666663</v>
      </c>
      <c r="K51" s="37"/>
      <c r="L51" s="39"/>
      <c r="M51" s="45"/>
      <c r="N51" s="47"/>
      <c r="O51" s="38"/>
      <c r="P51" s="196">
        <f t="shared" si="0"/>
        <v>0</v>
      </c>
    </row>
    <row r="52" spans="1:16" s="8" customFormat="1" ht="25.15" customHeight="1" thickBot="1" x14ac:dyDescent="0.3">
      <c r="A52" s="50">
        <v>3</v>
      </c>
      <c r="B52" s="86" t="s">
        <v>303</v>
      </c>
      <c r="C52" s="35">
        <v>46188</v>
      </c>
      <c r="D52" s="68" t="s">
        <v>272</v>
      </c>
      <c r="E52" s="28" t="s">
        <v>213</v>
      </c>
      <c r="F52" s="28"/>
      <c r="G52" s="54">
        <v>3</v>
      </c>
      <c r="H52" s="54">
        <v>1</v>
      </c>
      <c r="I52" s="54">
        <v>2</v>
      </c>
      <c r="J52" s="37">
        <f>I52/G52</f>
        <v>0.66666666666666663</v>
      </c>
      <c r="K52" s="37"/>
      <c r="L52" s="39"/>
      <c r="M52" s="45"/>
      <c r="N52" s="47"/>
      <c r="O52" s="38"/>
      <c r="P52" s="196">
        <f t="shared" si="0"/>
        <v>0</v>
      </c>
    </row>
    <row r="53" spans="1:16" s="8" customFormat="1" ht="25.15" customHeight="1" thickBot="1" x14ac:dyDescent="0.3">
      <c r="A53" s="50">
        <v>3</v>
      </c>
      <c r="B53" s="86" t="s">
        <v>303</v>
      </c>
      <c r="C53" s="35"/>
      <c r="D53" s="68" t="s">
        <v>272</v>
      </c>
      <c r="E53" s="28" t="s">
        <v>213</v>
      </c>
      <c r="F53" s="28"/>
      <c r="G53" s="54"/>
      <c r="H53" s="54"/>
      <c r="I53" s="54"/>
      <c r="J53" s="37" t="e">
        <f>I53/G53</f>
        <v>#DIV/0!</v>
      </c>
      <c r="K53" s="37"/>
      <c r="L53" s="39"/>
      <c r="M53" s="45"/>
      <c r="N53" s="47"/>
      <c r="O53" s="38"/>
      <c r="P53" s="196">
        <f t="shared" si="0"/>
        <v>0</v>
      </c>
    </row>
    <row r="54" spans="1:16" s="8" customFormat="1" ht="25.15" customHeight="1" thickBot="1" x14ac:dyDescent="0.3">
      <c r="A54" s="50">
        <v>3</v>
      </c>
      <c r="B54" s="86" t="s">
        <v>303</v>
      </c>
      <c r="C54" s="35"/>
      <c r="D54" s="68" t="s">
        <v>272</v>
      </c>
      <c r="E54" s="28" t="s">
        <v>213</v>
      </c>
      <c r="F54" s="28"/>
      <c r="G54" s="54"/>
      <c r="H54" s="54"/>
      <c r="I54" s="54"/>
      <c r="J54" s="37" t="e">
        <f>I54/G54</f>
        <v>#DIV/0!</v>
      </c>
      <c r="K54" s="37"/>
      <c r="L54" s="39"/>
      <c r="M54" s="45"/>
      <c r="N54" s="47"/>
      <c r="O54" s="38"/>
      <c r="P54" s="196">
        <f t="shared" si="0"/>
        <v>0</v>
      </c>
    </row>
    <row r="55" spans="1:16" s="8" customFormat="1" ht="25.15" customHeight="1" thickBot="1" x14ac:dyDescent="0.3">
      <c r="A55" s="50">
        <v>3</v>
      </c>
      <c r="B55" s="86" t="s">
        <v>303</v>
      </c>
      <c r="C55" s="35"/>
      <c r="D55" s="68" t="s">
        <v>272</v>
      </c>
      <c r="E55" s="28" t="s">
        <v>213</v>
      </c>
      <c r="F55" s="28"/>
      <c r="G55" s="54"/>
      <c r="H55" s="54"/>
      <c r="I55" s="54"/>
      <c r="J55" s="31" t="e">
        <f>I55/G55</f>
        <v>#DIV/0!</v>
      </c>
      <c r="K55" s="37"/>
      <c r="L55" s="39"/>
      <c r="M55" s="45"/>
      <c r="N55" s="47"/>
      <c r="O55" s="38"/>
      <c r="P55" s="196">
        <f t="shared" si="0"/>
        <v>0</v>
      </c>
    </row>
    <row r="56" spans="1:16" s="8" customFormat="1" ht="25.15" customHeight="1" thickBot="1" x14ac:dyDescent="0.3">
      <c r="A56" s="50"/>
      <c r="B56" s="86" t="s">
        <v>303</v>
      </c>
      <c r="C56" s="35"/>
      <c r="D56" s="68" t="s">
        <v>272</v>
      </c>
      <c r="E56" s="28" t="s">
        <v>213</v>
      </c>
      <c r="F56" s="28"/>
      <c r="G56" s="54"/>
      <c r="H56" s="54"/>
      <c r="I56" s="54"/>
      <c r="J56" s="31"/>
      <c r="K56" s="37"/>
      <c r="L56" s="39"/>
      <c r="M56" s="45"/>
      <c r="N56" s="47"/>
      <c r="O56" s="38"/>
      <c r="P56" s="196">
        <f t="shared" si="0"/>
        <v>0</v>
      </c>
    </row>
    <row r="57" spans="1:16" s="8" customFormat="1" ht="25.15" customHeight="1" thickBot="1" x14ac:dyDescent="0.3">
      <c r="A57" s="50">
        <v>3</v>
      </c>
      <c r="B57" s="86" t="s">
        <v>303</v>
      </c>
      <c r="C57" s="29"/>
      <c r="D57" s="68" t="s">
        <v>272</v>
      </c>
      <c r="E57" s="28" t="s">
        <v>213</v>
      </c>
      <c r="F57" s="28"/>
      <c r="G57" s="54"/>
      <c r="H57" s="54"/>
      <c r="I57" s="54"/>
      <c r="J57" s="31"/>
      <c r="K57" s="37"/>
      <c r="L57" s="39"/>
      <c r="M57" s="45"/>
      <c r="N57" s="47"/>
      <c r="O57" s="38"/>
      <c r="P57" s="196">
        <f t="shared" si="0"/>
        <v>0</v>
      </c>
    </row>
    <row r="58" spans="1:16" s="8" customFormat="1" ht="25.15" customHeight="1" thickBot="1" x14ac:dyDescent="0.3">
      <c r="A58" s="50">
        <v>3</v>
      </c>
      <c r="B58" s="86" t="s">
        <v>209</v>
      </c>
      <c r="C58" s="35">
        <v>46097</v>
      </c>
      <c r="D58" s="104" t="s">
        <v>46</v>
      </c>
      <c r="E58" s="28" t="s">
        <v>31</v>
      </c>
      <c r="F58" s="28" t="s">
        <v>25</v>
      </c>
      <c r="G58" s="55"/>
      <c r="H58" s="55"/>
      <c r="I58" s="55"/>
      <c r="J58" s="44"/>
      <c r="K58" s="44"/>
      <c r="L58" s="39">
        <v>173</v>
      </c>
      <c r="M58" s="45">
        <v>176</v>
      </c>
      <c r="N58" s="47">
        <v>26</v>
      </c>
      <c r="O58" s="130">
        <f t="shared" ref="O58:O75" si="3">(M58-L58)/N58</f>
        <v>0.11538461538461539</v>
      </c>
      <c r="P58" s="196">
        <f t="shared" si="0"/>
        <v>3</v>
      </c>
    </row>
    <row r="59" spans="1:16" s="8" customFormat="1" ht="25.15" customHeight="1" thickBot="1" x14ac:dyDescent="0.3">
      <c r="A59" s="50">
        <v>3</v>
      </c>
      <c r="B59" s="86" t="s">
        <v>209</v>
      </c>
      <c r="C59" s="35">
        <v>46117</v>
      </c>
      <c r="D59" s="104" t="s">
        <v>46</v>
      </c>
      <c r="E59" s="28" t="s">
        <v>31</v>
      </c>
      <c r="F59" s="28" t="s">
        <v>25</v>
      </c>
      <c r="G59" s="55"/>
      <c r="H59" s="55"/>
      <c r="I59" s="55"/>
      <c r="J59" s="44"/>
      <c r="K59" s="44"/>
      <c r="L59" s="39">
        <v>179</v>
      </c>
      <c r="M59" s="45">
        <v>176</v>
      </c>
      <c r="N59" s="47">
        <v>26</v>
      </c>
      <c r="O59" s="130">
        <f t="shared" si="3"/>
        <v>-0.11538461538461539</v>
      </c>
      <c r="P59" s="196">
        <f t="shared" si="0"/>
        <v>-3</v>
      </c>
    </row>
    <row r="60" spans="1:16" s="8" customFormat="1" ht="25.15" customHeight="1" thickBot="1" x14ac:dyDescent="0.3">
      <c r="A60" s="50">
        <v>3</v>
      </c>
      <c r="B60" s="86" t="s">
        <v>209</v>
      </c>
      <c r="C60" s="35">
        <v>46125</v>
      </c>
      <c r="D60" s="104" t="s">
        <v>46</v>
      </c>
      <c r="E60" s="28" t="s">
        <v>31</v>
      </c>
      <c r="F60" s="28" t="s">
        <v>25</v>
      </c>
      <c r="G60" s="55"/>
      <c r="H60" s="55"/>
      <c r="I60" s="55"/>
      <c r="J60" s="44"/>
      <c r="K60" s="44"/>
      <c r="L60" s="39">
        <v>179</v>
      </c>
      <c r="M60" s="45">
        <v>176</v>
      </c>
      <c r="N60" s="47">
        <v>26</v>
      </c>
      <c r="O60" s="130">
        <f t="shared" si="3"/>
        <v>-0.11538461538461539</v>
      </c>
      <c r="P60" s="196">
        <f t="shared" si="0"/>
        <v>-3</v>
      </c>
    </row>
    <row r="61" spans="1:16" s="8" customFormat="1" ht="25.15" customHeight="1" thickBot="1" x14ac:dyDescent="0.3">
      <c r="A61" s="50">
        <v>3</v>
      </c>
      <c r="B61" s="86" t="s">
        <v>209</v>
      </c>
      <c r="C61" s="35">
        <v>46146</v>
      </c>
      <c r="D61" s="104" t="s">
        <v>46</v>
      </c>
      <c r="E61" s="28" t="s">
        <v>31</v>
      </c>
      <c r="F61" s="28" t="s">
        <v>25</v>
      </c>
      <c r="G61" s="55"/>
      <c r="H61" s="55"/>
      <c r="I61" s="55"/>
      <c r="J61" s="44"/>
      <c r="K61" s="44"/>
      <c r="L61" s="39">
        <v>173</v>
      </c>
      <c r="M61" s="45">
        <v>176</v>
      </c>
      <c r="N61" s="47">
        <v>26</v>
      </c>
      <c r="O61" s="130">
        <f t="shared" si="3"/>
        <v>0.11538461538461539</v>
      </c>
      <c r="P61" s="196">
        <f t="shared" si="0"/>
        <v>3</v>
      </c>
    </row>
    <row r="62" spans="1:16" s="8" customFormat="1" ht="25.15" customHeight="1" thickBot="1" x14ac:dyDescent="0.3">
      <c r="A62" s="50">
        <v>3</v>
      </c>
      <c r="B62" s="86" t="s">
        <v>209</v>
      </c>
      <c r="C62" s="35">
        <v>46167</v>
      </c>
      <c r="D62" s="104" t="s">
        <v>46</v>
      </c>
      <c r="E62" s="28" t="s">
        <v>31</v>
      </c>
      <c r="F62" s="28" t="s">
        <v>25</v>
      </c>
      <c r="G62" s="55"/>
      <c r="H62" s="55"/>
      <c r="I62" s="55"/>
      <c r="J62" s="44"/>
      <c r="K62" s="44"/>
      <c r="L62" s="39">
        <v>176</v>
      </c>
      <c r="M62" s="45">
        <v>176</v>
      </c>
      <c r="N62" s="47">
        <v>26</v>
      </c>
      <c r="O62" s="130">
        <f t="shared" si="3"/>
        <v>0</v>
      </c>
      <c r="P62" s="196">
        <f t="shared" si="0"/>
        <v>0</v>
      </c>
    </row>
    <row r="63" spans="1:16" s="8" customFormat="1" ht="25.15" customHeight="1" thickBot="1" x14ac:dyDescent="0.3">
      <c r="A63" s="50">
        <v>3</v>
      </c>
      <c r="B63" s="86" t="s">
        <v>209</v>
      </c>
      <c r="C63" s="35">
        <v>46195</v>
      </c>
      <c r="D63" s="104" t="s">
        <v>46</v>
      </c>
      <c r="E63" s="28" t="s">
        <v>31</v>
      </c>
      <c r="F63" s="28" t="s">
        <v>25</v>
      </c>
      <c r="G63" s="55"/>
      <c r="H63" s="55"/>
      <c r="I63" s="55"/>
      <c r="J63" s="44"/>
      <c r="K63" s="44"/>
      <c r="L63" s="39">
        <v>187</v>
      </c>
      <c r="M63" s="45">
        <v>176</v>
      </c>
      <c r="N63" s="47">
        <v>26</v>
      </c>
      <c r="O63" s="130">
        <f t="shared" si="3"/>
        <v>-0.42307692307692307</v>
      </c>
      <c r="P63" s="196">
        <f t="shared" si="0"/>
        <v>-11</v>
      </c>
    </row>
    <row r="64" spans="1:16" s="8" customFormat="1" ht="25.15" customHeight="1" thickBot="1" x14ac:dyDescent="0.3">
      <c r="A64" s="50">
        <v>3</v>
      </c>
      <c r="B64" s="86" t="s">
        <v>209</v>
      </c>
      <c r="C64" s="35">
        <v>46203</v>
      </c>
      <c r="D64" s="104" t="s">
        <v>46</v>
      </c>
      <c r="E64" s="28" t="s">
        <v>31</v>
      </c>
      <c r="F64" s="28" t="s">
        <v>25</v>
      </c>
      <c r="G64" s="55"/>
      <c r="H64" s="55"/>
      <c r="I64" s="55"/>
      <c r="J64" s="44"/>
      <c r="K64" s="44"/>
      <c r="L64" s="39">
        <v>186</v>
      </c>
      <c r="M64" s="45">
        <v>176</v>
      </c>
      <c r="N64" s="47">
        <v>26</v>
      </c>
      <c r="O64" s="130">
        <f t="shared" si="3"/>
        <v>-0.38461538461538464</v>
      </c>
      <c r="P64" s="196">
        <f t="shared" si="0"/>
        <v>-10</v>
      </c>
    </row>
    <row r="65" spans="1:16" s="8" customFormat="1" ht="25.15" customHeight="1" thickBot="1" x14ac:dyDescent="0.3">
      <c r="A65" s="50">
        <v>3</v>
      </c>
      <c r="B65" s="86" t="s">
        <v>209</v>
      </c>
      <c r="C65" s="35"/>
      <c r="D65" s="104" t="s">
        <v>46</v>
      </c>
      <c r="E65" s="28" t="s">
        <v>31</v>
      </c>
      <c r="F65" s="28" t="s">
        <v>25</v>
      </c>
      <c r="G65" s="55"/>
      <c r="H65" s="55"/>
      <c r="I65" s="55"/>
      <c r="J65" s="44"/>
      <c r="K65" s="44"/>
      <c r="L65" s="39"/>
      <c r="M65" s="45"/>
      <c r="N65" s="47"/>
      <c r="O65" s="130" t="e">
        <f t="shared" si="3"/>
        <v>#DIV/0!</v>
      </c>
      <c r="P65" s="196">
        <f t="shared" si="0"/>
        <v>0</v>
      </c>
    </row>
    <row r="66" spans="1:16" s="8" customFormat="1" ht="25.15" customHeight="1" thickBot="1" x14ac:dyDescent="0.3">
      <c r="A66" s="50">
        <v>3</v>
      </c>
      <c r="B66" s="86" t="s">
        <v>209</v>
      </c>
      <c r="C66" s="35"/>
      <c r="D66" s="104" t="s">
        <v>46</v>
      </c>
      <c r="E66" s="28" t="s">
        <v>31</v>
      </c>
      <c r="F66" s="28" t="s">
        <v>25</v>
      </c>
      <c r="G66" s="55"/>
      <c r="H66" s="55"/>
      <c r="I66" s="55"/>
      <c r="J66" s="44"/>
      <c r="K66" s="44"/>
      <c r="L66" s="39"/>
      <c r="M66" s="45"/>
      <c r="N66" s="47"/>
      <c r="O66" s="38" t="e">
        <f t="shared" si="3"/>
        <v>#DIV/0!</v>
      </c>
      <c r="P66" s="196">
        <f t="shared" si="0"/>
        <v>0</v>
      </c>
    </row>
    <row r="67" spans="1:16" s="8" customFormat="1" ht="25.15" customHeight="1" thickBot="1" x14ac:dyDescent="0.3">
      <c r="A67" s="50">
        <v>3</v>
      </c>
      <c r="B67" s="86" t="s">
        <v>209</v>
      </c>
      <c r="C67" s="35"/>
      <c r="D67" s="104" t="s">
        <v>46</v>
      </c>
      <c r="E67" s="28" t="s">
        <v>31</v>
      </c>
      <c r="F67" s="28" t="s">
        <v>25</v>
      </c>
      <c r="G67" s="55"/>
      <c r="H67" s="55"/>
      <c r="I67" s="55"/>
      <c r="J67" s="44"/>
      <c r="K67" s="44"/>
      <c r="L67" s="39"/>
      <c r="M67" s="45"/>
      <c r="N67" s="47"/>
      <c r="O67" s="38" t="e">
        <f t="shared" si="3"/>
        <v>#DIV/0!</v>
      </c>
      <c r="P67" s="41">
        <v>1</v>
      </c>
    </row>
    <row r="68" spans="1:16" s="8" customFormat="1" ht="25.15" customHeight="1" thickBot="1" x14ac:dyDescent="0.3">
      <c r="A68" s="50">
        <v>3</v>
      </c>
      <c r="B68" s="86" t="s">
        <v>209</v>
      </c>
      <c r="C68" s="35"/>
      <c r="D68" s="104" t="s">
        <v>46</v>
      </c>
      <c r="E68" s="28" t="s">
        <v>31</v>
      </c>
      <c r="F68" s="28" t="s">
        <v>25</v>
      </c>
      <c r="G68" s="55"/>
      <c r="H68" s="55"/>
      <c r="I68" s="55"/>
      <c r="J68" s="44"/>
      <c r="K68" s="44"/>
      <c r="L68" s="39"/>
      <c r="M68" s="45"/>
      <c r="N68" s="47"/>
      <c r="O68" s="38" t="e">
        <f t="shared" si="3"/>
        <v>#DIV/0!</v>
      </c>
      <c r="P68" s="41">
        <v>1</v>
      </c>
    </row>
    <row r="69" spans="1:16" s="8" customFormat="1" ht="25.15" customHeight="1" thickBot="1" x14ac:dyDescent="0.3">
      <c r="A69" s="50">
        <v>3</v>
      </c>
      <c r="B69" s="86" t="s">
        <v>209</v>
      </c>
      <c r="C69" s="35"/>
      <c r="D69" s="104" t="s">
        <v>46</v>
      </c>
      <c r="E69" s="28" t="s">
        <v>31</v>
      </c>
      <c r="F69" s="28" t="s">
        <v>25</v>
      </c>
      <c r="G69" s="55"/>
      <c r="H69" s="55"/>
      <c r="I69" s="55"/>
      <c r="J69" s="44"/>
      <c r="K69" s="44"/>
      <c r="L69" s="39"/>
      <c r="M69" s="45"/>
      <c r="N69" s="47"/>
      <c r="O69" s="38" t="e">
        <f t="shared" si="3"/>
        <v>#DIV/0!</v>
      </c>
      <c r="P69" s="41">
        <v>1</v>
      </c>
    </row>
    <row r="70" spans="1:16" s="8" customFormat="1" ht="25.15" customHeight="1" thickBot="1" x14ac:dyDescent="0.3">
      <c r="A70" s="50">
        <v>3</v>
      </c>
      <c r="B70" s="86" t="s">
        <v>209</v>
      </c>
      <c r="C70" s="35"/>
      <c r="D70" s="104" t="s">
        <v>46</v>
      </c>
      <c r="E70" s="28" t="s">
        <v>31</v>
      </c>
      <c r="F70" s="28" t="s">
        <v>25</v>
      </c>
      <c r="G70" s="55"/>
      <c r="H70" s="55"/>
      <c r="I70" s="55"/>
      <c r="J70" s="44"/>
      <c r="K70" s="44"/>
      <c r="L70" s="39"/>
      <c r="M70" s="45"/>
      <c r="N70" s="47"/>
      <c r="O70" s="38" t="e">
        <f t="shared" si="3"/>
        <v>#DIV/0!</v>
      </c>
      <c r="P70" s="41">
        <v>1</v>
      </c>
    </row>
    <row r="71" spans="1:16" s="8" customFormat="1" ht="25.15" customHeight="1" thickBot="1" x14ac:dyDescent="0.3">
      <c r="A71" s="50">
        <v>3</v>
      </c>
      <c r="B71" s="86" t="s">
        <v>209</v>
      </c>
      <c r="C71" s="35"/>
      <c r="D71" s="104" t="s">
        <v>46</v>
      </c>
      <c r="E71" s="28" t="s">
        <v>31</v>
      </c>
      <c r="F71" s="28" t="s">
        <v>25</v>
      </c>
      <c r="G71" s="55"/>
      <c r="H71" s="55"/>
      <c r="I71" s="55"/>
      <c r="J71" s="44"/>
      <c r="K71" s="44"/>
      <c r="L71" s="39"/>
      <c r="M71" s="45"/>
      <c r="N71" s="47"/>
      <c r="O71" s="38" t="e">
        <f t="shared" si="3"/>
        <v>#DIV/0!</v>
      </c>
      <c r="P71" s="41">
        <v>1</v>
      </c>
    </row>
    <row r="72" spans="1:16" s="8" customFormat="1" ht="25.15" customHeight="1" thickBot="1" x14ac:dyDescent="0.3">
      <c r="A72" s="50">
        <v>3</v>
      </c>
      <c r="B72" s="86" t="s">
        <v>209</v>
      </c>
      <c r="C72" s="35"/>
      <c r="D72" s="104" t="s">
        <v>46</v>
      </c>
      <c r="E72" s="28" t="s">
        <v>31</v>
      </c>
      <c r="F72" s="28" t="s">
        <v>25</v>
      </c>
      <c r="G72" s="55"/>
      <c r="H72" s="55"/>
      <c r="I72" s="55"/>
      <c r="J72" s="44"/>
      <c r="K72" s="44"/>
      <c r="L72" s="39"/>
      <c r="M72" s="45"/>
      <c r="N72" s="47"/>
      <c r="O72" s="38" t="e">
        <f t="shared" si="3"/>
        <v>#DIV/0!</v>
      </c>
      <c r="P72" s="41">
        <v>1</v>
      </c>
    </row>
    <row r="73" spans="1:16" s="8" customFormat="1" ht="25.15" customHeight="1" thickBot="1" x14ac:dyDescent="0.3">
      <c r="A73" s="50">
        <v>3</v>
      </c>
      <c r="B73" s="86" t="s">
        <v>209</v>
      </c>
      <c r="C73" s="35"/>
      <c r="D73" s="104" t="s">
        <v>46</v>
      </c>
      <c r="E73" s="28" t="s">
        <v>31</v>
      </c>
      <c r="F73" s="28" t="s">
        <v>25</v>
      </c>
      <c r="G73" s="55"/>
      <c r="H73" s="55"/>
      <c r="I73" s="55"/>
      <c r="J73" s="44"/>
      <c r="K73" s="44"/>
      <c r="L73" s="39"/>
      <c r="M73" s="45"/>
      <c r="N73" s="47"/>
      <c r="O73" s="38" t="e">
        <f t="shared" si="3"/>
        <v>#DIV/0!</v>
      </c>
      <c r="P73" s="41">
        <v>1</v>
      </c>
    </row>
    <row r="74" spans="1:16" s="8" customFormat="1" ht="25.15" customHeight="1" thickBot="1" x14ac:dyDescent="0.3">
      <c r="A74" s="50">
        <v>3</v>
      </c>
      <c r="B74" s="86" t="s">
        <v>209</v>
      </c>
      <c r="C74" s="35"/>
      <c r="D74" s="104" t="s">
        <v>46</v>
      </c>
      <c r="E74" s="28" t="s">
        <v>31</v>
      </c>
      <c r="F74" s="28" t="s">
        <v>25</v>
      </c>
      <c r="G74" s="74"/>
      <c r="H74" s="74"/>
      <c r="I74" s="74"/>
      <c r="J74" s="75"/>
      <c r="K74" s="75"/>
      <c r="L74" s="39"/>
      <c r="M74" s="45"/>
      <c r="N74" s="47"/>
      <c r="O74" s="38" t="e">
        <f t="shared" si="3"/>
        <v>#DIV/0!</v>
      </c>
      <c r="P74" s="41">
        <v>1</v>
      </c>
    </row>
    <row r="75" spans="1:16" s="8" customFormat="1" ht="25.15" customHeight="1" thickBot="1" x14ac:dyDescent="0.3">
      <c r="A75" s="50">
        <v>3</v>
      </c>
      <c r="B75" s="86" t="s">
        <v>209</v>
      </c>
      <c r="C75" s="35"/>
      <c r="D75" s="104" t="s">
        <v>46</v>
      </c>
      <c r="E75" s="28" t="s">
        <v>31</v>
      </c>
      <c r="F75" s="28" t="s">
        <v>25</v>
      </c>
      <c r="G75" s="74"/>
      <c r="H75" s="74"/>
      <c r="I75" s="74"/>
      <c r="J75" s="75"/>
      <c r="K75" s="75"/>
      <c r="L75" s="39"/>
      <c r="M75" s="45"/>
      <c r="N75" s="47"/>
      <c r="O75" s="38" t="e">
        <f t="shared" si="3"/>
        <v>#DIV/0!</v>
      </c>
      <c r="P75" s="41">
        <v>1</v>
      </c>
    </row>
    <row r="76" spans="1:16" s="8" customFormat="1" ht="25.15" customHeight="1" thickBot="1" x14ac:dyDescent="0.3">
      <c r="A76" s="50">
        <v>3</v>
      </c>
      <c r="B76" s="86" t="s">
        <v>304</v>
      </c>
      <c r="C76" s="35">
        <v>46146</v>
      </c>
      <c r="D76" s="68" t="s">
        <v>271</v>
      </c>
      <c r="E76" s="28" t="s">
        <v>214</v>
      </c>
      <c r="F76" s="28"/>
      <c r="G76" s="54">
        <v>3</v>
      </c>
      <c r="H76" s="54">
        <v>0</v>
      </c>
      <c r="I76" s="54">
        <v>3</v>
      </c>
      <c r="J76" s="37">
        <f>I76/G76</f>
        <v>1</v>
      </c>
      <c r="K76" s="37"/>
      <c r="L76" s="39"/>
      <c r="M76" s="45"/>
      <c r="N76" s="47"/>
      <c r="O76" s="38"/>
      <c r="P76" s="41"/>
    </row>
    <row r="77" spans="1:16" s="8" customFormat="1" ht="25.15" customHeight="1" thickBot="1" x14ac:dyDescent="0.3">
      <c r="A77" s="50">
        <v>3</v>
      </c>
      <c r="B77" s="86" t="s">
        <v>304</v>
      </c>
      <c r="C77" s="35">
        <v>46167</v>
      </c>
      <c r="D77" s="68" t="s">
        <v>271</v>
      </c>
      <c r="E77" s="28" t="s">
        <v>214</v>
      </c>
      <c r="F77" s="28"/>
      <c r="G77" s="54">
        <v>3</v>
      </c>
      <c r="H77" s="54">
        <v>0</v>
      </c>
      <c r="I77" s="54">
        <v>3</v>
      </c>
      <c r="J77" s="37">
        <f>I77/G77</f>
        <v>1</v>
      </c>
      <c r="K77" s="37"/>
      <c r="L77" s="39"/>
      <c r="M77" s="45"/>
      <c r="N77" s="47"/>
      <c r="O77" s="38"/>
      <c r="P77" s="41"/>
    </row>
    <row r="78" spans="1:16" s="8" customFormat="1" ht="25.15" customHeight="1" thickBot="1" x14ac:dyDescent="0.3">
      <c r="A78" s="50">
        <v>3</v>
      </c>
      <c r="B78" s="86" t="s">
        <v>304</v>
      </c>
      <c r="C78" s="35">
        <v>46195</v>
      </c>
      <c r="D78" s="68" t="s">
        <v>271</v>
      </c>
      <c r="E78" s="28" t="s">
        <v>214</v>
      </c>
      <c r="F78" s="28"/>
      <c r="G78" s="54">
        <v>3</v>
      </c>
      <c r="H78" s="54">
        <v>0</v>
      </c>
      <c r="I78" s="54">
        <v>3</v>
      </c>
      <c r="J78" s="37">
        <f>I78/G78</f>
        <v>1</v>
      </c>
      <c r="K78" s="37"/>
      <c r="L78" s="39"/>
      <c r="M78" s="45"/>
      <c r="N78" s="47"/>
      <c r="O78" s="38"/>
      <c r="P78" s="41"/>
    </row>
    <row r="79" spans="1:16" s="8" customFormat="1" ht="25.15" customHeight="1" thickBot="1" x14ac:dyDescent="0.3">
      <c r="A79" s="50">
        <v>3</v>
      </c>
      <c r="B79" s="86" t="s">
        <v>304</v>
      </c>
      <c r="C79" s="35">
        <v>46203</v>
      </c>
      <c r="D79" s="68" t="s">
        <v>271</v>
      </c>
      <c r="E79" s="28" t="s">
        <v>214</v>
      </c>
      <c r="F79" s="28"/>
      <c r="G79" s="54">
        <v>3</v>
      </c>
      <c r="H79" s="54">
        <v>0</v>
      </c>
      <c r="I79" s="54">
        <v>3</v>
      </c>
      <c r="J79" s="37">
        <f>I79/G79</f>
        <v>1</v>
      </c>
      <c r="K79" s="37"/>
      <c r="L79" s="39"/>
      <c r="M79" s="45"/>
      <c r="N79" s="47"/>
      <c r="O79" s="38"/>
      <c r="P79" s="41"/>
    </row>
    <row r="80" spans="1:16" s="8" customFormat="1" ht="25.15" customHeight="1" thickBot="1" x14ac:dyDescent="0.3">
      <c r="A80" s="50">
        <v>3</v>
      </c>
      <c r="B80" s="86" t="s">
        <v>304</v>
      </c>
      <c r="C80" s="35"/>
      <c r="D80" s="68" t="s">
        <v>271</v>
      </c>
      <c r="E80" s="28" t="s">
        <v>214</v>
      </c>
      <c r="F80" s="28"/>
      <c r="G80" s="54"/>
      <c r="H80" s="54"/>
      <c r="I80" s="54"/>
      <c r="J80" s="37"/>
      <c r="K80" s="37"/>
      <c r="L80" s="39"/>
      <c r="M80" s="45"/>
      <c r="N80" s="47"/>
      <c r="O80" s="38"/>
      <c r="P80" s="41"/>
    </row>
    <row r="81" spans="1:16" s="8" customFormat="1" ht="25.15" customHeight="1" thickBot="1" x14ac:dyDescent="0.3">
      <c r="A81" s="50">
        <v>3</v>
      </c>
      <c r="B81" s="86" t="s">
        <v>304</v>
      </c>
      <c r="C81" s="35"/>
      <c r="D81" s="68" t="s">
        <v>271</v>
      </c>
      <c r="E81" s="28" t="s">
        <v>214</v>
      </c>
      <c r="F81" s="28"/>
      <c r="G81" s="54"/>
      <c r="H81" s="54"/>
      <c r="I81" s="54"/>
      <c r="J81" s="37"/>
      <c r="K81" s="37"/>
      <c r="L81" s="39"/>
      <c r="M81" s="45"/>
      <c r="N81" s="47"/>
      <c r="O81" s="38"/>
      <c r="P81" s="41"/>
    </row>
    <row r="82" spans="1:16" s="8" customFormat="1" ht="25.15" customHeight="1" thickBot="1" x14ac:dyDescent="0.3">
      <c r="A82" s="50">
        <v>3</v>
      </c>
      <c r="B82" s="86" t="s">
        <v>304</v>
      </c>
      <c r="C82" s="35"/>
      <c r="D82" s="68" t="s">
        <v>271</v>
      </c>
      <c r="E82" s="28" t="s">
        <v>214</v>
      </c>
      <c r="F82" s="28"/>
      <c r="G82" s="54"/>
      <c r="H82" s="54"/>
      <c r="I82" s="54"/>
      <c r="J82" s="37"/>
      <c r="K82" s="37"/>
      <c r="L82" s="39"/>
      <c r="M82" s="45"/>
      <c r="N82" s="47"/>
      <c r="O82" s="38"/>
      <c r="P82" s="41"/>
    </row>
    <row r="83" spans="1:16" s="8" customFormat="1" ht="25.15" customHeight="1" thickBot="1" x14ac:dyDescent="0.3">
      <c r="A83" s="50">
        <v>3</v>
      </c>
      <c r="B83" s="86" t="s">
        <v>304</v>
      </c>
      <c r="C83" s="35">
        <v>46146</v>
      </c>
      <c r="D83" s="68" t="s">
        <v>272</v>
      </c>
      <c r="E83" s="28" t="s">
        <v>215</v>
      </c>
      <c r="F83" s="28"/>
      <c r="G83" s="54">
        <v>3</v>
      </c>
      <c r="H83" s="54">
        <v>2</v>
      </c>
      <c r="I83" s="54">
        <v>1</v>
      </c>
      <c r="J83" s="37">
        <f t="shared" ref="J83:J90" si="4">I83/G83</f>
        <v>0.33333333333333331</v>
      </c>
      <c r="K83" s="37"/>
      <c r="L83" s="39"/>
      <c r="M83" s="45"/>
      <c r="N83" s="47"/>
      <c r="O83" s="38"/>
      <c r="P83" s="41"/>
    </row>
    <row r="84" spans="1:16" s="8" customFormat="1" ht="25.15" customHeight="1" thickBot="1" x14ac:dyDescent="0.3">
      <c r="A84" s="50">
        <v>3</v>
      </c>
      <c r="B84" s="86" t="s">
        <v>304</v>
      </c>
      <c r="C84" s="35">
        <v>46167</v>
      </c>
      <c r="D84" s="68" t="s">
        <v>272</v>
      </c>
      <c r="E84" s="28" t="s">
        <v>215</v>
      </c>
      <c r="F84" s="28"/>
      <c r="G84" s="54">
        <v>3</v>
      </c>
      <c r="H84" s="54">
        <v>1</v>
      </c>
      <c r="I84" s="54">
        <v>2</v>
      </c>
      <c r="J84" s="37">
        <f t="shared" si="4"/>
        <v>0.66666666666666663</v>
      </c>
      <c r="K84" s="37"/>
      <c r="L84" s="39"/>
      <c r="M84" s="45"/>
      <c r="N84" s="47"/>
      <c r="O84" s="38"/>
      <c r="P84" s="41"/>
    </row>
    <row r="85" spans="1:16" s="8" customFormat="1" ht="25.15" customHeight="1" thickBot="1" x14ac:dyDescent="0.3">
      <c r="A85" s="50">
        <v>3</v>
      </c>
      <c r="B85" s="86" t="s">
        <v>304</v>
      </c>
      <c r="C85" s="35">
        <v>46195</v>
      </c>
      <c r="D85" s="68" t="s">
        <v>272</v>
      </c>
      <c r="E85" s="28" t="s">
        <v>215</v>
      </c>
      <c r="F85" s="28"/>
      <c r="G85" s="54">
        <v>4</v>
      </c>
      <c r="H85" s="54">
        <v>2</v>
      </c>
      <c r="I85" s="54">
        <v>2</v>
      </c>
      <c r="J85" s="37">
        <f t="shared" si="4"/>
        <v>0.5</v>
      </c>
      <c r="K85" s="37"/>
      <c r="L85" s="39"/>
      <c r="M85" s="45"/>
      <c r="N85" s="47"/>
      <c r="O85" s="38"/>
      <c r="P85" s="41"/>
    </row>
    <row r="86" spans="1:16" s="8" customFormat="1" ht="25.15" customHeight="1" thickBot="1" x14ac:dyDescent="0.3">
      <c r="A86" s="50">
        <v>3</v>
      </c>
      <c r="B86" s="86" t="s">
        <v>304</v>
      </c>
      <c r="C86" s="35">
        <v>46203</v>
      </c>
      <c r="D86" s="68" t="s">
        <v>272</v>
      </c>
      <c r="E86" s="28" t="s">
        <v>215</v>
      </c>
      <c r="F86" s="28"/>
      <c r="G86" s="54">
        <v>4</v>
      </c>
      <c r="H86" s="54">
        <v>2</v>
      </c>
      <c r="I86" s="54">
        <v>2</v>
      </c>
      <c r="J86" s="37">
        <f t="shared" ref="J86" si="5">I86/G86</f>
        <v>0.5</v>
      </c>
      <c r="K86" s="37"/>
      <c r="L86" s="39"/>
      <c r="M86" s="45"/>
      <c r="N86" s="47"/>
      <c r="O86" s="38"/>
      <c r="P86" s="41"/>
    </row>
    <row r="87" spans="1:16" s="8" customFormat="1" ht="25.15" customHeight="1" thickBot="1" x14ac:dyDescent="0.3">
      <c r="A87" s="50">
        <v>3</v>
      </c>
      <c r="B87" s="86" t="s">
        <v>304</v>
      </c>
      <c r="C87" s="35"/>
      <c r="D87" s="68" t="s">
        <v>272</v>
      </c>
      <c r="E87" s="28" t="s">
        <v>215</v>
      </c>
      <c r="F87" s="28"/>
      <c r="G87" s="54"/>
      <c r="H87" s="54"/>
      <c r="I87" s="54"/>
      <c r="J87" s="37" t="e">
        <f t="shared" si="4"/>
        <v>#DIV/0!</v>
      </c>
      <c r="K87" s="37"/>
      <c r="L87" s="39"/>
      <c r="M87" s="45"/>
      <c r="N87" s="47"/>
      <c r="O87" s="38"/>
      <c r="P87" s="41"/>
    </row>
    <row r="88" spans="1:16" s="8" customFormat="1" ht="25.15" customHeight="1" thickBot="1" x14ac:dyDescent="0.3">
      <c r="A88" s="50"/>
      <c r="B88" s="86" t="s">
        <v>304</v>
      </c>
      <c r="C88" s="35"/>
      <c r="D88" s="68" t="s">
        <v>272</v>
      </c>
      <c r="E88" s="28" t="s">
        <v>215</v>
      </c>
      <c r="F88" s="28"/>
      <c r="G88" s="54"/>
      <c r="H88" s="54"/>
      <c r="I88" s="54"/>
      <c r="J88" s="37" t="e">
        <f t="shared" si="4"/>
        <v>#DIV/0!</v>
      </c>
      <c r="K88" s="37"/>
      <c r="L88" s="39"/>
      <c r="M88" s="45"/>
      <c r="N88" s="47"/>
      <c r="O88" s="38"/>
      <c r="P88" s="41"/>
    </row>
    <row r="89" spans="1:16" s="8" customFormat="1" ht="25.15" customHeight="1" thickBot="1" x14ac:dyDescent="0.3">
      <c r="A89" s="50"/>
      <c r="B89" s="86" t="s">
        <v>304</v>
      </c>
      <c r="C89" s="35"/>
      <c r="D89" s="68" t="s">
        <v>272</v>
      </c>
      <c r="E89" s="28" t="s">
        <v>215</v>
      </c>
      <c r="F89" s="28"/>
      <c r="G89" s="54"/>
      <c r="H89" s="54"/>
      <c r="I89" s="54"/>
      <c r="J89" s="37" t="e">
        <f t="shared" si="4"/>
        <v>#DIV/0!</v>
      </c>
      <c r="K89" s="37"/>
      <c r="L89" s="39"/>
      <c r="M89" s="45"/>
      <c r="N89" s="47"/>
      <c r="O89" s="38"/>
      <c r="P89" s="41"/>
    </row>
    <row r="90" spans="1:16" s="8" customFormat="1" ht="25.15" customHeight="1" thickBot="1" x14ac:dyDescent="0.3">
      <c r="A90" s="50"/>
      <c r="B90" s="86" t="s">
        <v>304</v>
      </c>
      <c r="C90" s="35"/>
      <c r="D90" s="68" t="s">
        <v>272</v>
      </c>
      <c r="E90" s="28" t="s">
        <v>215</v>
      </c>
      <c r="F90" s="28"/>
      <c r="G90" s="54"/>
      <c r="H90" s="54"/>
      <c r="I90" s="54"/>
      <c r="J90" s="37" t="e">
        <f t="shared" si="4"/>
        <v>#DIV/0!</v>
      </c>
      <c r="K90" s="37"/>
      <c r="L90" s="39"/>
      <c r="M90" s="45"/>
      <c r="N90" s="47"/>
      <c r="O90" s="38"/>
      <c r="P90" s="41"/>
    </row>
    <row r="91" spans="1:16" s="8" customFormat="1" ht="25.15" customHeight="1" thickBot="1" x14ac:dyDescent="0.3">
      <c r="A91" s="50">
        <v>3</v>
      </c>
      <c r="B91" s="86" t="s">
        <v>304</v>
      </c>
      <c r="C91" s="35"/>
      <c r="D91" s="68" t="s">
        <v>272</v>
      </c>
      <c r="E91" s="28" t="s">
        <v>215</v>
      </c>
      <c r="F91" s="28"/>
      <c r="G91" s="54"/>
      <c r="H91" s="54"/>
      <c r="I91" s="54"/>
      <c r="J91" s="37"/>
      <c r="K91" s="37"/>
      <c r="L91" s="39"/>
      <c r="M91" s="45"/>
      <c r="N91" s="47"/>
      <c r="O91" s="38"/>
      <c r="P91" s="41"/>
    </row>
    <row r="92" spans="1:16" s="8" customFormat="1" ht="25.15" customHeight="1" thickBot="1" x14ac:dyDescent="0.3">
      <c r="A92" s="50">
        <v>3</v>
      </c>
      <c r="B92" s="86" t="s">
        <v>209</v>
      </c>
      <c r="C92" s="35">
        <v>46119</v>
      </c>
      <c r="D92" s="104" t="s">
        <v>47</v>
      </c>
      <c r="E92" s="28" t="s">
        <v>205</v>
      </c>
      <c r="F92" s="28" t="s">
        <v>30</v>
      </c>
      <c r="G92" s="54">
        <v>2048</v>
      </c>
      <c r="H92" s="54">
        <v>1559</v>
      </c>
      <c r="I92" s="54">
        <f>G92-H92</f>
        <v>489</v>
      </c>
      <c r="J92" s="37">
        <f t="shared" ref="J92:J112" si="6">I92/G92</f>
        <v>0.23876953125</v>
      </c>
      <c r="K92" s="40">
        <v>0</v>
      </c>
      <c r="L92" s="39"/>
      <c r="M92" s="45"/>
      <c r="N92" s="46"/>
      <c r="O92" s="30"/>
      <c r="P92" s="30"/>
    </row>
    <row r="93" spans="1:16" s="8" customFormat="1" ht="25.15" customHeight="1" thickBot="1" x14ac:dyDescent="0.3">
      <c r="A93" s="50">
        <v>3</v>
      </c>
      <c r="B93" s="86" t="s">
        <v>209</v>
      </c>
      <c r="C93" s="35">
        <v>46150</v>
      </c>
      <c r="D93" s="104" t="s">
        <v>47</v>
      </c>
      <c r="E93" s="28" t="s">
        <v>205</v>
      </c>
      <c r="F93" s="28" t="s">
        <v>30</v>
      </c>
      <c r="G93" s="54">
        <v>2077</v>
      </c>
      <c r="H93" s="54">
        <v>1306</v>
      </c>
      <c r="I93" s="54">
        <v>771</v>
      </c>
      <c r="J93" s="37">
        <f t="shared" si="6"/>
        <v>0.37120847376023108</v>
      </c>
      <c r="K93" s="40">
        <v>0</v>
      </c>
      <c r="L93" s="39"/>
      <c r="M93" s="45"/>
      <c r="N93" s="46"/>
      <c r="O93" s="30"/>
      <c r="P93" s="30"/>
    </row>
    <row r="94" spans="1:16" s="8" customFormat="1" ht="25.15" customHeight="1" thickBot="1" x14ac:dyDescent="0.3">
      <c r="A94" s="50">
        <v>3</v>
      </c>
      <c r="B94" s="86" t="s">
        <v>209</v>
      </c>
      <c r="C94" s="35">
        <v>46169</v>
      </c>
      <c r="D94" s="104" t="s">
        <v>47</v>
      </c>
      <c r="E94" s="28" t="s">
        <v>205</v>
      </c>
      <c r="F94" s="28" t="s">
        <v>30</v>
      </c>
      <c r="G94" s="54">
        <v>2075</v>
      </c>
      <c r="H94" s="54">
        <v>1110</v>
      </c>
      <c r="I94" s="54">
        <f t="shared" ref="I94:I95" si="7">G94-H94</f>
        <v>965</v>
      </c>
      <c r="J94" s="37">
        <f t="shared" si="6"/>
        <v>0.4650602409638554</v>
      </c>
      <c r="K94" s="40"/>
      <c r="L94" s="37"/>
      <c r="M94" s="45"/>
      <c r="N94" s="46"/>
      <c r="O94" s="30"/>
      <c r="P94" s="30"/>
    </row>
    <row r="95" spans="1:16" s="8" customFormat="1" ht="25.15" customHeight="1" thickBot="1" x14ac:dyDescent="0.3">
      <c r="A95" s="50">
        <v>3</v>
      </c>
      <c r="B95" s="86" t="s">
        <v>209</v>
      </c>
      <c r="C95" s="35">
        <v>46195</v>
      </c>
      <c r="D95" s="104" t="s">
        <v>47</v>
      </c>
      <c r="E95" s="28" t="s">
        <v>205</v>
      </c>
      <c r="F95" s="28" t="s">
        <v>30</v>
      </c>
      <c r="G95" s="54">
        <v>2077</v>
      </c>
      <c r="H95" s="54">
        <v>973</v>
      </c>
      <c r="I95" s="54">
        <f t="shared" si="7"/>
        <v>1104</v>
      </c>
      <c r="J95" s="37">
        <f t="shared" si="6"/>
        <v>0.53153586904188732</v>
      </c>
      <c r="K95" s="40"/>
      <c r="L95" s="37"/>
      <c r="M95" s="45"/>
      <c r="N95" s="46"/>
      <c r="O95" s="30"/>
      <c r="P95" s="30"/>
    </row>
    <row r="96" spans="1:16" s="8" customFormat="1" ht="25.15" customHeight="1" thickBot="1" x14ac:dyDescent="0.3">
      <c r="A96" s="50">
        <v>3</v>
      </c>
      <c r="B96" s="86" t="s">
        <v>209</v>
      </c>
      <c r="C96" s="35"/>
      <c r="D96" s="104" t="s">
        <v>47</v>
      </c>
      <c r="E96" s="28" t="s">
        <v>205</v>
      </c>
      <c r="F96" s="28" t="s">
        <v>30</v>
      </c>
      <c r="G96" s="54"/>
      <c r="H96" s="54"/>
      <c r="I96" s="54"/>
      <c r="J96" s="37" t="e">
        <f t="shared" si="6"/>
        <v>#DIV/0!</v>
      </c>
      <c r="K96" s="40"/>
      <c r="L96" s="37"/>
      <c r="M96" s="45"/>
      <c r="N96" s="46"/>
      <c r="O96" s="30"/>
      <c r="P96" s="30"/>
    </row>
    <row r="97" spans="1:16" s="8" customFormat="1" ht="25.15" customHeight="1" thickBot="1" x14ac:dyDescent="0.3">
      <c r="A97" s="50">
        <v>3</v>
      </c>
      <c r="B97" s="86" t="s">
        <v>209</v>
      </c>
      <c r="C97" s="35"/>
      <c r="D97" s="104" t="s">
        <v>47</v>
      </c>
      <c r="E97" s="28" t="s">
        <v>205</v>
      </c>
      <c r="F97" s="28" t="s">
        <v>30</v>
      </c>
      <c r="G97" s="54"/>
      <c r="H97" s="54"/>
      <c r="I97" s="54"/>
      <c r="J97" s="37" t="e">
        <f t="shared" si="6"/>
        <v>#DIV/0!</v>
      </c>
      <c r="K97" s="41"/>
      <c r="L97" s="37"/>
      <c r="M97" s="45"/>
      <c r="N97" s="46"/>
      <c r="O97" s="30"/>
      <c r="P97" s="30"/>
    </row>
    <row r="98" spans="1:16" s="8" customFormat="1" ht="25.15" customHeight="1" thickBot="1" x14ac:dyDescent="0.3">
      <c r="A98" s="50">
        <v>3</v>
      </c>
      <c r="B98" s="86" t="s">
        <v>209</v>
      </c>
      <c r="C98" s="35"/>
      <c r="D98" s="104" t="s">
        <v>47</v>
      </c>
      <c r="E98" s="28" t="s">
        <v>205</v>
      </c>
      <c r="F98" s="28" t="s">
        <v>30</v>
      </c>
      <c r="G98" s="54"/>
      <c r="H98" s="54"/>
      <c r="I98" s="54"/>
      <c r="J98" s="37" t="e">
        <f t="shared" si="6"/>
        <v>#DIV/0!</v>
      </c>
      <c r="K98" s="41"/>
      <c r="L98" s="37"/>
      <c r="M98" s="45"/>
      <c r="N98" s="46"/>
      <c r="O98" s="30"/>
      <c r="P98" s="30"/>
    </row>
    <row r="99" spans="1:16" s="8" customFormat="1" ht="25.15" customHeight="1" thickBot="1" x14ac:dyDescent="0.3">
      <c r="A99" s="50">
        <v>3</v>
      </c>
      <c r="B99" s="86" t="s">
        <v>209</v>
      </c>
      <c r="C99" s="35"/>
      <c r="D99" s="104" t="s">
        <v>47</v>
      </c>
      <c r="E99" s="28" t="s">
        <v>29</v>
      </c>
      <c r="F99" s="28" t="s">
        <v>30</v>
      </c>
      <c r="G99" s="54"/>
      <c r="H99" s="54"/>
      <c r="I99" s="54"/>
      <c r="J99" s="37" t="e">
        <f t="shared" si="6"/>
        <v>#DIV/0!</v>
      </c>
      <c r="K99" s="41"/>
      <c r="L99" s="37"/>
      <c r="M99" s="45"/>
      <c r="N99" s="46"/>
      <c r="O99" s="30"/>
      <c r="P99" s="30"/>
    </row>
    <row r="100" spans="1:16" s="8" customFormat="1" ht="25.15" customHeight="1" thickBot="1" x14ac:dyDescent="0.3">
      <c r="A100" s="50">
        <v>3</v>
      </c>
      <c r="B100" s="86" t="s">
        <v>209</v>
      </c>
      <c r="C100" s="35"/>
      <c r="D100" s="104" t="s">
        <v>47</v>
      </c>
      <c r="E100" s="28" t="s">
        <v>29</v>
      </c>
      <c r="F100" s="28" t="s">
        <v>30</v>
      </c>
      <c r="G100" s="54"/>
      <c r="H100" s="54"/>
      <c r="I100" s="54"/>
      <c r="J100" s="37" t="e">
        <f t="shared" si="6"/>
        <v>#DIV/0!</v>
      </c>
      <c r="K100" s="41"/>
      <c r="L100" s="37"/>
      <c r="M100" s="45"/>
      <c r="N100" s="46"/>
      <c r="O100" s="30"/>
      <c r="P100" s="30"/>
    </row>
    <row r="101" spans="1:16" s="8" customFormat="1" ht="25.15" customHeight="1" thickBot="1" x14ac:dyDescent="0.3">
      <c r="A101" s="50">
        <v>3</v>
      </c>
      <c r="B101" s="86" t="s">
        <v>209</v>
      </c>
      <c r="C101" s="35"/>
      <c r="D101" s="104" t="s">
        <v>47</v>
      </c>
      <c r="E101" s="28" t="s">
        <v>29</v>
      </c>
      <c r="F101" s="28" t="s">
        <v>30</v>
      </c>
      <c r="G101" s="54"/>
      <c r="H101" s="54"/>
      <c r="I101" s="54"/>
      <c r="J101" s="37" t="e">
        <f t="shared" si="6"/>
        <v>#DIV/0!</v>
      </c>
      <c r="K101" s="41"/>
      <c r="L101" s="37"/>
      <c r="M101" s="45"/>
      <c r="N101" s="46"/>
      <c r="O101" s="30"/>
      <c r="P101" s="30"/>
    </row>
    <row r="102" spans="1:16" s="8" customFormat="1" ht="25.15" customHeight="1" thickBot="1" x14ac:dyDescent="0.3">
      <c r="A102" s="50">
        <v>3</v>
      </c>
      <c r="B102" s="86" t="s">
        <v>209</v>
      </c>
      <c r="C102" s="35"/>
      <c r="D102" s="104" t="s">
        <v>47</v>
      </c>
      <c r="E102" s="28" t="s">
        <v>29</v>
      </c>
      <c r="F102" s="28" t="s">
        <v>30</v>
      </c>
      <c r="G102" s="54"/>
      <c r="H102" s="54"/>
      <c r="I102" s="54"/>
      <c r="J102" s="31" t="e">
        <f t="shared" si="6"/>
        <v>#DIV/0!</v>
      </c>
      <c r="K102" s="125">
        <v>1</v>
      </c>
      <c r="L102" s="37"/>
      <c r="M102" s="45"/>
      <c r="N102" s="46"/>
      <c r="O102" s="30"/>
      <c r="P102" s="30"/>
    </row>
    <row r="103" spans="1:16" s="8" customFormat="1" ht="25.15" customHeight="1" thickBot="1" x14ac:dyDescent="0.3">
      <c r="A103" s="50">
        <v>3</v>
      </c>
      <c r="B103" s="86" t="s">
        <v>209</v>
      </c>
      <c r="C103" s="35"/>
      <c r="D103" s="104" t="s">
        <v>47</v>
      </c>
      <c r="E103" s="28" t="s">
        <v>29</v>
      </c>
      <c r="F103" s="28" t="s">
        <v>30</v>
      </c>
      <c r="G103" s="54"/>
      <c r="H103" s="54"/>
      <c r="I103" s="54"/>
      <c r="J103" s="31" t="e">
        <f t="shared" si="6"/>
        <v>#DIV/0!</v>
      </c>
      <c r="K103" s="41"/>
      <c r="L103" s="37"/>
      <c r="M103" s="45"/>
      <c r="N103" s="46"/>
      <c r="O103" s="30"/>
      <c r="P103" s="30"/>
    </row>
    <row r="104" spans="1:16" s="8" customFormat="1" ht="25.15" customHeight="1" thickBot="1" x14ac:dyDescent="0.3">
      <c r="A104" s="50">
        <v>3</v>
      </c>
      <c r="B104" s="86" t="s">
        <v>209</v>
      </c>
      <c r="C104" s="35"/>
      <c r="D104" s="104" t="s">
        <v>47</v>
      </c>
      <c r="E104" s="28" t="s">
        <v>29</v>
      </c>
      <c r="F104" s="28" t="s">
        <v>30</v>
      </c>
      <c r="G104" s="54"/>
      <c r="H104" s="54"/>
      <c r="I104" s="54"/>
      <c r="J104" s="31" t="e">
        <f t="shared" si="6"/>
        <v>#DIV/0!</v>
      </c>
      <c r="K104" s="41"/>
      <c r="L104" s="37"/>
      <c r="M104" s="45"/>
      <c r="N104" s="46"/>
      <c r="O104" s="30"/>
      <c r="P104" s="30"/>
    </row>
    <row r="105" spans="1:16" s="8" customFormat="1" ht="25.15" customHeight="1" thickBot="1" x14ac:dyDescent="0.3">
      <c r="A105" s="50">
        <v>3</v>
      </c>
      <c r="B105" s="86" t="s">
        <v>209</v>
      </c>
      <c r="C105" s="35"/>
      <c r="D105" s="104" t="s">
        <v>47</v>
      </c>
      <c r="E105" s="28" t="s">
        <v>29</v>
      </c>
      <c r="F105" s="28" t="s">
        <v>30</v>
      </c>
      <c r="G105" s="54"/>
      <c r="H105" s="54"/>
      <c r="I105" s="54"/>
      <c r="J105" s="31" t="e">
        <f t="shared" si="6"/>
        <v>#DIV/0!</v>
      </c>
      <c r="K105" s="41"/>
      <c r="L105" s="37"/>
      <c r="M105" s="45"/>
      <c r="N105" s="46"/>
      <c r="O105" s="30"/>
      <c r="P105" s="30"/>
    </row>
    <row r="106" spans="1:16" s="8" customFormat="1" ht="25.15" customHeight="1" thickBot="1" x14ac:dyDescent="0.3">
      <c r="A106" s="50">
        <v>3</v>
      </c>
      <c r="B106" s="86" t="s">
        <v>209</v>
      </c>
      <c r="C106" s="35"/>
      <c r="D106" s="104" t="s">
        <v>47</v>
      </c>
      <c r="E106" s="28" t="s">
        <v>29</v>
      </c>
      <c r="F106" s="28" t="s">
        <v>30</v>
      </c>
      <c r="G106" s="54"/>
      <c r="H106" s="54"/>
      <c r="I106" s="54"/>
      <c r="J106" s="31" t="e">
        <f t="shared" si="6"/>
        <v>#DIV/0!</v>
      </c>
      <c r="K106" s="41"/>
      <c r="L106" s="37"/>
      <c r="M106" s="45"/>
      <c r="N106" s="46"/>
      <c r="O106" s="30"/>
      <c r="P106" s="30"/>
    </row>
    <row r="107" spans="1:16" s="8" customFormat="1" ht="25.15" customHeight="1" thickBot="1" x14ac:dyDescent="0.3">
      <c r="A107" s="50">
        <v>3</v>
      </c>
      <c r="B107" s="86" t="s">
        <v>209</v>
      </c>
      <c r="C107" s="35"/>
      <c r="D107" s="104" t="s">
        <v>47</v>
      </c>
      <c r="E107" s="28" t="s">
        <v>29</v>
      </c>
      <c r="F107" s="28" t="s">
        <v>30</v>
      </c>
      <c r="G107" s="54"/>
      <c r="H107" s="54"/>
      <c r="I107" s="54"/>
      <c r="J107" s="31"/>
      <c r="K107" s="41"/>
      <c r="L107" s="37"/>
      <c r="M107" s="45"/>
      <c r="N107" s="46"/>
      <c r="O107" s="30"/>
      <c r="P107" s="30"/>
    </row>
    <row r="108" spans="1:16" s="8" customFormat="1" ht="25.15" customHeight="1" thickBot="1" x14ac:dyDescent="0.3">
      <c r="A108" s="50">
        <v>3</v>
      </c>
      <c r="B108" s="86" t="s">
        <v>209</v>
      </c>
      <c r="C108" s="35"/>
      <c r="D108" s="104" t="s">
        <v>47</v>
      </c>
      <c r="E108" s="28" t="s">
        <v>29</v>
      </c>
      <c r="F108" s="28" t="s">
        <v>30</v>
      </c>
      <c r="G108" s="54"/>
      <c r="H108" s="54"/>
      <c r="I108" s="54"/>
      <c r="J108" s="31"/>
      <c r="K108" s="41"/>
      <c r="L108" s="37"/>
      <c r="M108" s="45"/>
      <c r="N108" s="46"/>
      <c r="O108" s="30"/>
      <c r="P108" s="30"/>
    </row>
    <row r="109" spans="1:16" s="8" customFormat="1" ht="25.15" customHeight="1" thickBot="1" x14ac:dyDescent="0.3">
      <c r="A109" s="50">
        <v>3</v>
      </c>
      <c r="B109" s="86" t="s">
        <v>209</v>
      </c>
      <c r="C109" s="35"/>
      <c r="D109" s="104" t="s">
        <v>47</v>
      </c>
      <c r="E109" s="28" t="s">
        <v>29</v>
      </c>
      <c r="F109" s="28" t="s">
        <v>30</v>
      </c>
      <c r="G109" s="54"/>
      <c r="H109" s="54"/>
      <c r="I109" s="54"/>
      <c r="J109" s="31"/>
      <c r="K109" s="37"/>
      <c r="L109" s="37"/>
      <c r="M109" s="45"/>
      <c r="N109" s="46"/>
      <c r="O109" s="30"/>
      <c r="P109" s="30"/>
    </row>
    <row r="110" spans="1:16" s="8" customFormat="1" ht="25.15" customHeight="1" thickBot="1" x14ac:dyDescent="0.3">
      <c r="A110" s="50">
        <v>3</v>
      </c>
      <c r="B110" s="86" t="s">
        <v>209</v>
      </c>
      <c r="C110" s="35"/>
      <c r="D110" s="104" t="s">
        <v>47</v>
      </c>
      <c r="E110" s="28" t="s">
        <v>29</v>
      </c>
      <c r="F110" s="28" t="s">
        <v>30</v>
      </c>
      <c r="G110" s="54"/>
      <c r="H110" s="54"/>
      <c r="I110" s="54"/>
      <c r="J110" s="31"/>
      <c r="K110" s="37"/>
      <c r="L110" s="37"/>
      <c r="M110" s="45"/>
      <c r="N110" s="46"/>
      <c r="O110" s="30"/>
      <c r="P110" s="30"/>
    </row>
    <row r="111" spans="1:16" s="8" customFormat="1" ht="25.15" customHeight="1" thickBot="1" x14ac:dyDescent="0.3">
      <c r="A111" s="50">
        <v>3</v>
      </c>
      <c r="B111" s="86" t="s">
        <v>209</v>
      </c>
      <c r="C111" s="35"/>
      <c r="D111" s="104" t="s">
        <v>47</v>
      </c>
      <c r="E111" s="28" t="s">
        <v>29</v>
      </c>
      <c r="F111" s="28" t="s">
        <v>30</v>
      </c>
      <c r="G111" s="54"/>
      <c r="H111" s="54"/>
      <c r="I111" s="54"/>
      <c r="J111" s="31"/>
      <c r="K111" s="37"/>
      <c r="L111" s="37"/>
      <c r="M111" s="45"/>
      <c r="N111" s="46"/>
      <c r="O111" s="30"/>
      <c r="P111" s="30"/>
    </row>
    <row r="112" spans="1:16" s="8" customFormat="1" ht="25.15" customHeight="1" thickBot="1" x14ac:dyDescent="0.3">
      <c r="A112" s="50">
        <v>3</v>
      </c>
      <c r="B112" s="86" t="s">
        <v>209</v>
      </c>
      <c r="C112" s="35"/>
      <c r="D112" s="104" t="s">
        <v>262</v>
      </c>
      <c r="E112" s="28" t="s">
        <v>263</v>
      </c>
      <c r="F112" s="28" t="s">
        <v>30</v>
      </c>
      <c r="G112" s="54"/>
      <c r="H112" s="54"/>
      <c r="I112" s="54"/>
      <c r="J112" s="31" t="e">
        <f t="shared" si="6"/>
        <v>#DIV/0!</v>
      </c>
      <c r="K112" s="37"/>
      <c r="L112" s="37"/>
      <c r="M112" s="45"/>
      <c r="N112" s="46"/>
      <c r="O112" s="30"/>
      <c r="P112" s="30"/>
    </row>
    <row r="113" spans="1:16" s="8" customFormat="1" ht="25.15" customHeight="1" thickBot="1" x14ac:dyDescent="0.3">
      <c r="A113" s="50"/>
      <c r="B113" s="86"/>
      <c r="C113" s="35"/>
      <c r="D113" s="104" t="s">
        <v>262</v>
      </c>
      <c r="E113" s="28" t="s">
        <v>263</v>
      </c>
      <c r="F113" s="28"/>
      <c r="G113" s="54"/>
      <c r="H113" s="54"/>
      <c r="I113" s="54"/>
      <c r="J113" s="31"/>
      <c r="K113" s="37"/>
      <c r="L113" s="37"/>
      <c r="M113" s="45"/>
      <c r="N113" s="46"/>
      <c r="O113" s="30"/>
      <c r="P113" s="30"/>
    </row>
    <row r="114" spans="1:16" s="8" customFormat="1" ht="25.15" customHeight="1" thickBot="1" x14ac:dyDescent="0.3">
      <c r="A114" s="50"/>
      <c r="B114" s="86"/>
      <c r="C114" s="35"/>
      <c r="D114" s="104" t="s">
        <v>262</v>
      </c>
      <c r="E114" s="28" t="s">
        <v>263</v>
      </c>
      <c r="F114" s="28"/>
      <c r="G114" s="54"/>
      <c r="H114" s="54"/>
      <c r="I114" s="54"/>
      <c r="J114" s="31"/>
      <c r="K114" s="37"/>
      <c r="L114" s="37"/>
      <c r="M114" s="45"/>
      <c r="N114" s="46"/>
      <c r="O114" s="30"/>
      <c r="P114" s="30"/>
    </row>
    <row r="115" spans="1:16" s="8" customFormat="1" ht="25.15" customHeight="1" thickBot="1" x14ac:dyDescent="0.3">
      <c r="A115" s="50">
        <v>3</v>
      </c>
      <c r="B115" s="86" t="s">
        <v>209</v>
      </c>
      <c r="C115" s="35">
        <v>46117</v>
      </c>
      <c r="D115" s="104" t="s">
        <v>206</v>
      </c>
      <c r="E115" s="28" t="s">
        <v>269</v>
      </c>
      <c r="F115" s="28" t="s">
        <v>37</v>
      </c>
      <c r="G115" s="54">
        <v>1353</v>
      </c>
      <c r="H115" s="54">
        <v>791</v>
      </c>
      <c r="I115" s="54">
        <v>562</v>
      </c>
      <c r="J115" s="37">
        <f t="shared" ref="J115:J130" si="8">I115/G115</f>
        <v>0.4153732446415373</v>
      </c>
      <c r="K115" s="40"/>
      <c r="L115" s="39"/>
      <c r="M115" s="45"/>
      <c r="N115" s="46"/>
      <c r="O115" s="30"/>
      <c r="P115" s="30"/>
    </row>
    <row r="116" spans="1:16" s="8" customFormat="1" ht="25.15" customHeight="1" thickBot="1" x14ac:dyDescent="0.3">
      <c r="A116" s="50">
        <v>3</v>
      </c>
      <c r="B116" s="86" t="s">
        <v>209</v>
      </c>
      <c r="C116" s="35">
        <v>46147</v>
      </c>
      <c r="D116" s="104" t="s">
        <v>206</v>
      </c>
      <c r="E116" s="28" t="s">
        <v>269</v>
      </c>
      <c r="F116" s="28" t="s">
        <v>37</v>
      </c>
      <c r="G116" s="54">
        <v>1353</v>
      </c>
      <c r="H116" s="54">
        <v>678</v>
      </c>
      <c r="I116" s="54">
        <f>G116-H116</f>
        <v>675</v>
      </c>
      <c r="J116" s="37">
        <f t="shared" si="8"/>
        <v>0.49889135254988914</v>
      </c>
      <c r="K116" s="40"/>
      <c r="L116" s="39"/>
      <c r="M116" s="45"/>
      <c r="N116" s="46"/>
      <c r="O116" s="30"/>
      <c r="P116" s="30"/>
    </row>
    <row r="117" spans="1:16" s="8" customFormat="1" ht="25.15" customHeight="1" thickBot="1" x14ac:dyDescent="0.3">
      <c r="A117" s="50">
        <v>3</v>
      </c>
      <c r="B117" s="86" t="s">
        <v>209</v>
      </c>
      <c r="C117" s="35">
        <v>46167</v>
      </c>
      <c r="D117" s="104" t="s">
        <v>206</v>
      </c>
      <c r="E117" s="28" t="s">
        <v>269</v>
      </c>
      <c r="F117" s="28" t="s">
        <v>37</v>
      </c>
      <c r="G117" s="54">
        <v>1353</v>
      </c>
      <c r="H117" s="54">
        <v>596</v>
      </c>
      <c r="I117" s="54">
        <f t="shared" ref="I117:I120" si="9">G117-H117</f>
        <v>757</v>
      </c>
      <c r="J117" s="37">
        <f>I117/G117</f>
        <v>0.5594974131559497</v>
      </c>
      <c r="K117" s="40"/>
      <c r="L117" s="37"/>
      <c r="M117" s="45"/>
      <c r="N117" s="46"/>
      <c r="O117" s="30"/>
      <c r="P117" s="30"/>
    </row>
    <row r="118" spans="1:16" s="8" customFormat="1" ht="25.15" customHeight="1" thickBot="1" x14ac:dyDescent="0.3">
      <c r="A118" s="50">
        <v>3</v>
      </c>
      <c r="B118" s="86" t="s">
        <v>209</v>
      </c>
      <c r="C118" s="35">
        <v>46188</v>
      </c>
      <c r="D118" s="104" t="s">
        <v>206</v>
      </c>
      <c r="E118" s="28" t="s">
        <v>269</v>
      </c>
      <c r="F118" s="28" t="s">
        <v>37</v>
      </c>
      <c r="G118" s="54">
        <v>1353</v>
      </c>
      <c r="H118" s="54">
        <v>475</v>
      </c>
      <c r="I118" s="54">
        <f t="shared" si="9"/>
        <v>878</v>
      </c>
      <c r="J118" s="37">
        <f t="shared" si="8"/>
        <v>0.64892830746489283</v>
      </c>
      <c r="K118" s="40"/>
      <c r="L118" s="37"/>
      <c r="M118" s="45"/>
      <c r="N118" s="46"/>
      <c r="O118" s="30"/>
      <c r="P118" s="30"/>
    </row>
    <row r="119" spans="1:16" s="8" customFormat="1" ht="25.15" customHeight="1" thickBot="1" x14ac:dyDescent="0.3">
      <c r="A119" s="50">
        <v>3</v>
      </c>
      <c r="B119" s="86" t="s">
        <v>209</v>
      </c>
      <c r="C119" s="35"/>
      <c r="D119" s="104" t="s">
        <v>206</v>
      </c>
      <c r="E119" s="28" t="s">
        <v>269</v>
      </c>
      <c r="F119" s="28" t="s">
        <v>37</v>
      </c>
      <c r="G119" s="54"/>
      <c r="H119" s="54"/>
      <c r="I119" s="54">
        <f t="shared" si="9"/>
        <v>0</v>
      </c>
      <c r="J119" s="37" t="e">
        <f t="shared" si="8"/>
        <v>#DIV/0!</v>
      </c>
      <c r="K119" s="40"/>
      <c r="L119" s="37"/>
      <c r="M119" s="45"/>
      <c r="N119" s="46"/>
      <c r="O119" s="30"/>
      <c r="P119" s="30"/>
    </row>
    <row r="120" spans="1:16" s="8" customFormat="1" ht="25.15" customHeight="1" thickBot="1" x14ac:dyDescent="0.3">
      <c r="A120" s="50">
        <v>3</v>
      </c>
      <c r="B120" s="86" t="s">
        <v>209</v>
      </c>
      <c r="C120" s="35"/>
      <c r="D120" s="104" t="s">
        <v>206</v>
      </c>
      <c r="E120" s="28" t="s">
        <v>269</v>
      </c>
      <c r="F120" s="28" t="s">
        <v>37</v>
      </c>
      <c r="G120" s="54"/>
      <c r="H120" s="54"/>
      <c r="I120" s="54">
        <f t="shared" si="9"/>
        <v>0</v>
      </c>
      <c r="J120" s="37" t="e">
        <f t="shared" si="8"/>
        <v>#DIV/0!</v>
      </c>
      <c r="K120" s="40"/>
      <c r="L120" s="37"/>
      <c r="M120" s="45"/>
      <c r="N120" s="46"/>
      <c r="O120" s="30"/>
      <c r="P120" s="30"/>
    </row>
    <row r="121" spans="1:16" s="8" customFormat="1" ht="25.15" customHeight="1" thickBot="1" x14ac:dyDescent="0.3">
      <c r="A121" s="50">
        <v>3</v>
      </c>
      <c r="B121" s="86" t="s">
        <v>209</v>
      </c>
      <c r="C121" s="35"/>
      <c r="D121" s="104" t="s">
        <v>206</v>
      </c>
      <c r="E121" s="28" t="s">
        <v>269</v>
      </c>
      <c r="F121" s="28" t="s">
        <v>37</v>
      </c>
      <c r="G121" s="54"/>
      <c r="H121" s="54"/>
      <c r="I121" s="54"/>
      <c r="J121" s="37" t="e">
        <f t="shared" si="8"/>
        <v>#DIV/0!</v>
      </c>
      <c r="K121" s="40"/>
      <c r="L121" s="37"/>
      <c r="M121" s="45"/>
      <c r="N121" s="46"/>
      <c r="O121" s="30"/>
      <c r="P121" s="30"/>
    </row>
    <row r="122" spans="1:16" s="8" customFormat="1" ht="25.15" customHeight="1" thickBot="1" x14ac:dyDescent="0.3">
      <c r="A122" s="50">
        <v>3</v>
      </c>
      <c r="B122" s="50"/>
      <c r="C122" s="35"/>
      <c r="D122" s="104" t="s">
        <v>206</v>
      </c>
      <c r="E122" s="28" t="s">
        <v>269</v>
      </c>
      <c r="F122" s="28" t="s">
        <v>37</v>
      </c>
      <c r="G122" s="54"/>
      <c r="H122" s="54"/>
      <c r="I122" s="54"/>
      <c r="J122" s="37" t="e">
        <f t="shared" si="8"/>
        <v>#DIV/0!</v>
      </c>
      <c r="K122" s="40"/>
      <c r="L122" s="37"/>
      <c r="M122" s="45"/>
      <c r="N122" s="46"/>
      <c r="O122" s="30"/>
      <c r="P122" s="30"/>
    </row>
    <row r="123" spans="1:16" s="8" customFormat="1" ht="25.15" customHeight="1" thickBot="1" x14ac:dyDescent="0.3">
      <c r="A123" s="50"/>
      <c r="B123" s="86"/>
      <c r="C123" s="35"/>
      <c r="D123" s="104" t="s">
        <v>206</v>
      </c>
      <c r="E123" s="28" t="s">
        <v>269</v>
      </c>
      <c r="F123" s="28"/>
      <c r="G123" s="54"/>
      <c r="H123" s="54"/>
      <c r="I123" s="54"/>
      <c r="J123" s="37" t="e">
        <f t="shared" si="8"/>
        <v>#DIV/0!</v>
      </c>
      <c r="K123" s="40"/>
      <c r="L123" s="37"/>
      <c r="M123" s="45"/>
      <c r="N123" s="46"/>
      <c r="O123" s="30"/>
      <c r="P123" s="30"/>
    </row>
    <row r="124" spans="1:16" s="8" customFormat="1" ht="25.15" customHeight="1" thickBot="1" x14ac:dyDescent="0.3">
      <c r="A124" s="50"/>
      <c r="B124" s="86"/>
      <c r="C124" s="35"/>
      <c r="D124" s="104" t="s">
        <v>206</v>
      </c>
      <c r="E124" s="28" t="s">
        <v>269</v>
      </c>
      <c r="F124" s="28"/>
      <c r="G124" s="54"/>
      <c r="H124" s="54"/>
      <c r="I124" s="54"/>
      <c r="J124" s="37" t="e">
        <f t="shared" si="8"/>
        <v>#DIV/0!</v>
      </c>
      <c r="K124" s="40"/>
      <c r="L124" s="37"/>
      <c r="M124" s="45"/>
      <c r="N124" s="46"/>
      <c r="O124" s="30"/>
      <c r="P124" s="30"/>
    </row>
    <row r="125" spans="1:16" s="8" customFormat="1" ht="25.15" customHeight="1" thickBot="1" x14ac:dyDescent="0.3">
      <c r="A125" s="50"/>
      <c r="B125" s="86"/>
      <c r="C125" s="35"/>
      <c r="D125" s="104" t="s">
        <v>206</v>
      </c>
      <c r="E125" s="28" t="s">
        <v>269</v>
      </c>
      <c r="F125" s="28"/>
      <c r="G125" s="54"/>
      <c r="H125" s="54"/>
      <c r="I125" s="54"/>
      <c r="J125" s="37" t="e">
        <f t="shared" si="8"/>
        <v>#DIV/0!</v>
      </c>
      <c r="K125" s="40"/>
      <c r="L125" s="37"/>
      <c r="M125" s="45"/>
      <c r="N125" s="46"/>
      <c r="O125" s="30"/>
      <c r="P125" s="30"/>
    </row>
    <row r="126" spans="1:16" s="8" customFormat="1" ht="25.15" customHeight="1" thickBot="1" x14ac:dyDescent="0.3">
      <c r="A126" s="50"/>
      <c r="B126" s="86"/>
      <c r="C126" s="35"/>
      <c r="D126" s="104" t="s">
        <v>206</v>
      </c>
      <c r="E126" s="28" t="s">
        <v>269</v>
      </c>
      <c r="F126" s="28"/>
      <c r="G126" s="54"/>
      <c r="H126" s="54"/>
      <c r="I126" s="54"/>
      <c r="J126" s="37" t="e">
        <f t="shared" si="8"/>
        <v>#DIV/0!</v>
      </c>
      <c r="K126" s="40"/>
      <c r="L126" s="37"/>
      <c r="M126" s="45"/>
      <c r="N126" s="46"/>
      <c r="O126" s="30"/>
      <c r="P126" s="30"/>
    </row>
    <row r="127" spans="1:16" s="8" customFormat="1" ht="25.15" customHeight="1" thickBot="1" x14ac:dyDescent="0.3">
      <c r="A127" s="50"/>
      <c r="B127" s="86"/>
      <c r="C127" s="35"/>
      <c r="D127" s="104" t="s">
        <v>206</v>
      </c>
      <c r="E127" s="28" t="s">
        <v>269</v>
      </c>
      <c r="F127" s="28"/>
      <c r="G127" s="54"/>
      <c r="H127" s="54"/>
      <c r="I127" s="54"/>
      <c r="J127" s="37" t="e">
        <f t="shared" si="8"/>
        <v>#DIV/0!</v>
      </c>
      <c r="K127" s="40"/>
      <c r="L127" s="37"/>
      <c r="M127" s="45"/>
      <c r="N127" s="46"/>
      <c r="O127" s="30"/>
      <c r="P127" s="30"/>
    </row>
    <row r="128" spans="1:16" s="8" customFormat="1" ht="25.15" customHeight="1" thickBot="1" x14ac:dyDescent="0.3">
      <c r="A128" s="50"/>
      <c r="B128" s="86"/>
      <c r="C128" s="35"/>
      <c r="D128" s="104" t="s">
        <v>206</v>
      </c>
      <c r="E128" s="28" t="s">
        <v>269</v>
      </c>
      <c r="F128" s="28"/>
      <c r="G128" s="54"/>
      <c r="H128" s="54"/>
      <c r="I128" s="54"/>
      <c r="J128" s="37" t="e">
        <f t="shared" si="8"/>
        <v>#DIV/0!</v>
      </c>
      <c r="K128" s="40"/>
      <c r="L128" s="37"/>
      <c r="M128" s="45"/>
      <c r="N128" s="46"/>
      <c r="O128" s="30"/>
      <c r="P128" s="30"/>
    </row>
    <row r="129" spans="1:16" s="8" customFormat="1" ht="25.15" customHeight="1" thickBot="1" x14ac:dyDescent="0.3">
      <c r="A129" s="50"/>
      <c r="B129" s="86"/>
      <c r="C129" s="35"/>
      <c r="D129" s="104" t="s">
        <v>206</v>
      </c>
      <c r="E129" s="28" t="s">
        <v>269</v>
      </c>
      <c r="F129" s="28"/>
      <c r="G129" s="54"/>
      <c r="H129" s="54"/>
      <c r="I129" s="54"/>
      <c r="J129" s="37" t="e">
        <f t="shared" si="8"/>
        <v>#DIV/0!</v>
      </c>
      <c r="K129" s="40"/>
      <c r="L129" s="37"/>
      <c r="M129" s="45"/>
      <c r="N129" s="46"/>
      <c r="O129" s="30"/>
      <c r="P129" s="30"/>
    </row>
    <row r="130" spans="1:16" s="8" customFormat="1" ht="25.15" customHeight="1" thickBot="1" x14ac:dyDescent="0.3">
      <c r="A130" s="50"/>
      <c r="B130" s="86"/>
      <c r="C130" s="35"/>
      <c r="D130" s="104" t="s">
        <v>206</v>
      </c>
      <c r="E130" s="28" t="s">
        <v>269</v>
      </c>
      <c r="F130" s="28"/>
      <c r="G130" s="54"/>
      <c r="H130" s="54"/>
      <c r="I130" s="54"/>
      <c r="J130" s="37" t="e">
        <f t="shared" si="8"/>
        <v>#DIV/0!</v>
      </c>
      <c r="K130" s="40"/>
      <c r="L130" s="37"/>
      <c r="M130" s="45"/>
      <c r="N130" s="46"/>
      <c r="O130" s="30"/>
      <c r="P130" s="30"/>
    </row>
    <row r="131" spans="1:16" s="8" customFormat="1" ht="25.15" customHeight="1" thickBot="1" x14ac:dyDescent="0.3">
      <c r="A131" s="50"/>
      <c r="B131" s="86"/>
      <c r="C131" s="35"/>
      <c r="D131" s="104" t="s">
        <v>206</v>
      </c>
      <c r="E131" s="28" t="s">
        <v>269</v>
      </c>
      <c r="F131" s="28"/>
      <c r="G131" s="54"/>
      <c r="H131" s="54"/>
      <c r="I131" s="54"/>
      <c r="J131" s="37"/>
      <c r="K131" s="40"/>
      <c r="L131" s="37"/>
      <c r="M131" s="45"/>
      <c r="N131" s="46"/>
      <c r="O131" s="30"/>
      <c r="P131" s="30"/>
    </row>
    <row r="132" spans="1:16" s="8" customFormat="1" ht="25.15" customHeight="1" thickBot="1" x14ac:dyDescent="0.3">
      <c r="A132" s="50">
        <v>3</v>
      </c>
      <c r="B132" s="86" t="s">
        <v>209</v>
      </c>
      <c r="C132" s="35">
        <v>46117</v>
      </c>
      <c r="D132" s="104" t="s">
        <v>207</v>
      </c>
      <c r="E132" s="28" t="s">
        <v>270</v>
      </c>
      <c r="F132" s="28" t="s">
        <v>38</v>
      </c>
      <c r="G132" s="54">
        <v>610</v>
      </c>
      <c r="H132" s="54">
        <v>559</v>
      </c>
      <c r="I132" s="54">
        <v>51</v>
      </c>
      <c r="J132" s="37">
        <f t="shared" ref="J132:J147" si="10">I132/G132</f>
        <v>8.3606557377049182E-2</v>
      </c>
      <c r="K132" s="40"/>
      <c r="L132" s="39"/>
      <c r="M132" s="45"/>
      <c r="N132" s="46"/>
      <c r="O132" s="30"/>
      <c r="P132" s="30"/>
    </row>
    <row r="133" spans="1:16" s="8" customFormat="1" ht="25.15" customHeight="1" thickBot="1" x14ac:dyDescent="0.3">
      <c r="A133" s="50">
        <v>3</v>
      </c>
      <c r="B133" s="86" t="s">
        <v>209</v>
      </c>
      <c r="C133" s="35">
        <v>46147</v>
      </c>
      <c r="D133" s="104" t="s">
        <v>207</v>
      </c>
      <c r="E133" s="28" t="s">
        <v>270</v>
      </c>
      <c r="F133" s="28" t="s">
        <v>38</v>
      </c>
      <c r="G133" s="54">
        <v>611</v>
      </c>
      <c r="H133" s="54">
        <v>522</v>
      </c>
      <c r="I133" s="54">
        <f>G133-H133</f>
        <v>89</v>
      </c>
      <c r="J133" s="37">
        <f t="shared" si="10"/>
        <v>0.14566284779050737</v>
      </c>
      <c r="K133" s="40"/>
      <c r="L133" s="39"/>
      <c r="M133" s="45"/>
      <c r="N133" s="46"/>
      <c r="O133" s="30"/>
      <c r="P133" s="30"/>
    </row>
    <row r="134" spans="1:16" s="8" customFormat="1" ht="25.15" customHeight="1" thickBot="1" x14ac:dyDescent="0.3">
      <c r="A134" s="50">
        <v>3</v>
      </c>
      <c r="B134" s="86" t="s">
        <v>209</v>
      </c>
      <c r="C134" s="35">
        <v>46167</v>
      </c>
      <c r="D134" s="104" t="s">
        <v>207</v>
      </c>
      <c r="E134" s="28" t="s">
        <v>270</v>
      </c>
      <c r="F134" s="28" t="s">
        <v>38</v>
      </c>
      <c r="G134" s="54">
        <v>611</v>
      </c>
      <c r="H134" s="54">
        <v>487</v>
      </c>
      <c r="I134" s="54">
        <f t="shared" ref="I134:I137" si="11">G134-H134</f>
        <v>124</v>
      </c>
      <c r="J134" s="37">
        <f t="shared" si="10"/>
        <v>0.20294599018003273</v>
      </c>
      <c r="K134" s="40"/>
      <c r="L134" s="37"/>
      <c r="M134" s="45"/>
      <c r="N134" s="46"/>
      <c r="O134" s="30"/>
      <c r="P134" s="30"/>
    </row>
    <row r="135" spans="1:16" s="8" customFormat="1" ht="25.15" customHeight="1" thickBot="1" x14ac:dyDescent="0.3">
      <c r="A135" s="50">
        <v>3</v>
      </c>
      <c r="B135" s="86" t="s">
        <v>209</v>
      </c>
      <c r="C135" s="35">
        <v>46188</v>
      </c>
      <c r="D135" s="104" t="s">
        <v>207</v>
      </c>
      <c r="E135" s="28" t="s">
        <v>270</v>
      </c>
      <c r="F135" s="28" t="s">
        <v>38</v>
      </c>
      <c r="G135" s="54">
        <v>611</v>
      </c>
      <c r="H135" s="54">
        <v>421</v>
      </c>
      <c r="I135" s="54">
        <f t="shared" si="11"/>
        <v>190</v>
      </c>
      <c r="J135" s="37">
        <f t="shared" si="10"/>
        <v>0.31096563011456629</v>
      </c>
      <c r="K135" s="40"/>
      <c r="L135" s="37"/>
      <c r="M135" s="45"/>
      <c r="N135" s="46"/>
      <c r="O135" s="30"/>
      <c r="P135" s="30"/>
    </row>
    <row r="136" spans="1:16" s="8" customFormat="1" ht="25.15" customHeight="1" thickBot="1" x14ac:dyDescent="0.3">
      <c r="A136" s="50">
        <v>3</v>
      </c>
      <c r="B136" s="86" t="s">
        <v>209</v>
      </c>
      <c r="C136" s="35"/>
      <c r="D136" s="104" t="s">
        <v>207</v>
      </c>
      <c r="E136" s="28" t="s">
        <v>270</v>
      </c>
      <c r="F136" s="28" t="s">
        <v>38</v>
      </c>
      <c r="G136" s="54"/>
      <c r="H136" s="54"/>
      <c r="I136" s="54">
        <f t="shared" si="11"/>
        <v>0</v>
      </c>
      <c r="J136" s="37" t="e">
        <f t="shared" si="10"/>
        <v>#DIV/0!</v>
      </c>
      <c r="K136" s="40"/>
      <c r="L136" s="37"/>
      <c r="M136" s="45"/>
      <c r="N136" s="46"/>
      <c r="O136" s="30"/>
      <c r="P136" s="30"/>
    </row>
    <row r="137" spans="1:16" s="8" customFormat="1" ht="25.15" customHeight="1" thickBot="1" x14ac:dyDescent="0.3">
      <c r="A137" s="50">
        <v>3</v>
      </c>
      <c r="B137" s="86" t="s">
        <v>209</v>
      </c>
      <c r="C137" s="35"/>
      <c r="D137" s="104" t="s">
        <v>207</v>
      </c>
      <c r="E137" s="28" t="s">
        <v>270</v>
      </c>
      <c r="F137" s="28" t="s">
        <v>38</v>
      </c>
      <c r="G137" s="54"/>
      <c r="H137" s="54"/>
      <c r="I137" s="54">
        <f t="shared" si="11"/>
        <v>0</v>
      </c>
      <c r="J137" s="37" t="e">
        <f t="shared" si="10"/>
        <v>#DIV/0!</v>
      </c>
      <c r="K137" s="40"/>
      <c r="L137" s="37"/>
      <c r="M137" s="45"/>
      <c r="N137" s="46"/>
      <c r="O137" s="30"/>
      <c r="P137" s="30"/>
    </row>
    <row r="138" spans="1:16" s="8" customFormat="1" ht="25.15" customHeight="1" thickBot="1" x14ac:dyDescent="0.3">
      <c r="A138" s="50">
        <v>3</v>
      </c>
      <c r="B138" s="86" t="s">
        <v>209</v>
      </c>
      <c r="C138" s="35"/>
      <c r="D138" s="104" t="s">
        <v>207</v>
      </c>
      <c r="E138" s="28" t="s">
        <v>270</v>
      </c>
      <c r="F138" s="28" t="s">
        <v>38</v>
      </c>
      <c r="G138" s="54"/>
      <c r="H138" s="54"/>
      <c r="I138" s="54"/>
      <c r="J138" s="37" t="e">
        <f t="shared" si="10"/>
        <v>#DIV/0!</v>
      </c>
      <c r="K138" s="40"/>
      <c r="L138" s="37"/>
      <c r="M138" s="45"/>
      <c r="N138" s="46"/>
      <c r="O138" s="30"/>
      <c r="P138" s="30"/>
    </row>
    <row r="139" spans="1:16" s="8" customFormat="1" ht="25.15" customHeight="1" thickBot="1" x14ac:dyDescent="0.3">
      <c r="A139" s="50">
        <v>3</v>
      </c>
      <c r="B139" s="86" t="s">
        <v>209</v>
      </c>
      <c r="C139" s="35"/>
      <c r="D139" s="104" t="s">
        <v>207</v>
      </c>
      <c r="E139" s="28" t="s">
        <v>270</v>
      </c>
      <c r="F139" s="28" t="s">
        <v>38</v>
      </c>
      <c r="G139" s="54"/>
      <c r="H139" s="54"/>
      <c r="I139" s="54"/>
      <c r="J139" s="37" t="e">
        <f t="shared" si="10"/>
        <v>#DIV/0!</v>
      </c>
      <c r="K139" s="40"/>
      <c r="L139" s="37"/>
      <c r="M139" s="45"/>
      <c r="N139" s="46"/>
      <c r="O139" s="30"/>
      <c r="P139" s="30"/>
    </row>
    <row r="140" spans="1:16" s="8" customFormat="1" ht="25.15" customHeight="1" thickBot="1" x14ac:dyDescent="0.3">
      <c r="A140" s="50">
        <v>3</v>
      </c>
      <c r="B140" s="86"/>
      <c r="C140" s="35"/>
      <c r="D140" s="104" t="s">
        <v>207</v>
      </c>
      <c r="E140" s="28" t="s">
        <v>270</v>
      </c>
      <c r="F140" s="28"/>
      <c r="G140" s="54"/>
      <c r="H140" s="54"/>
      <c r="I140" s="54"/>
      <c r="J140" s="37" t="e">
        <f t="shared" si="10"/>
        <v>#DIV/0!</v>
      </c>
      <c r="K140" s="40"/>
      <c r="L140" s="37"/>
      <c r="M140" s="45"/>
      <c r="N140" s="46"/>
      <c r="O140" s="30"/>
      <c r="P140" s="30"/>
    </row>
    <row r="141" spans="1:16" s="8" customFormat="1" ht="25.15" customHeight="1" thickBot="1" x14ac:dyDescent="0.3">
      <c r="A141" s="50">
        <v>3</v>
      </c>
      <c r="B141" s="86"/>
      <c r="C141" s="35"/>
      <c r="D141" s="104" t="s">
        <v>207</v>
      </c>
      <c r="E141" s="28" t="s">
        <v>270</v>
      </c>
      <c r="F141" s="28"/>
      <c r="G141" s="54"/>
      <c r="H141" s="54"/>
      <c r="I141" s="54"/>
      <c r="J141" s="37" t="e">
        <f t="shared" si="10"/>
        <v>#DIV/0!</v>
      </c>
      <c r="K141" s="40"/>
      <c r="L141" s="37"/>
      <c r="M141" s="45"/>
      <c r="N141" s="46"/>
      <c r="O141" s="30"/>
      <c r="P141" s="30"/>
    </row>
    <row r="142" spans="1:16" s="8" customFormat="1" ht="25.15" customHeight="1" thickBot="1" x14ac:dyDescent="0.3">
      <c r="A142" s="50"/>
      <c r="B142" s="86"/>
      <c r="C142" s="35"/>
      <c r="D142" s="104" t="s">
        <v>207</v>
      </c>
      <c r="E142" s="28" t="s">
        <v>270</v>
      </c>
      <c r="F142" s="28"/>
      <c r="G142" s="54"/>
      <c r="H142" s="54"/>
      <c r="I142" s="54"/>
      <c r="J142" s="37" t="e">
        <f t="shared" si="10"/>
        <v>#DIV/0!</v>
      </c>
      <c r="K142" s="40"/>
      <c r="L142" s="37"/>
      <c r="M142" s="45"/>
      <c r="N142" s="46"/>
      <c r="O142" s="30"/>
      <c r="P142" s="30"/>
    </row>
    <row r="143" spans="1:16" s="8" customFormat="1" ht="25.15" customHeight="1" thickBot="1" x14ac:dyDescent="0.3">
      <c r="A143" s="50"/>
      <c r="B143" s="86"/>
      <c r="C143" s="35"/>
      <c r="D143" s="104" t="s">
        <v>207</v>
      </c>
      <c r="E143" s="28" t="s">
        <v>270</v>
      </c>
      <c r="F143" s="28"/>
      <c r="G143" s="54"/>
      <c r="H143" s="54"/>
      <c r="I143" s="54"/>
      <c r="J143" s="37" t="e">
        <f t="shared" si="10"/>
        <v>#DIV/0!</v>
      </c>
      <c r="K143" s="40"/>
      <c r="L143" s="37"/>
      <c r="M143" s="45"/>
      <c r="N143" s="46"/>
      <c r="O143" s="30"/>
      <c r="P143" s="30"/>
    </row>
    <row r="144" spans="1:16" s="8" customFormat="1" ht="25.15" customHeight="1" thickBot="1" x14ac:dyDescent="0.3">
      <c r="A144" s="50"/>
      <c r="B144" s="86"/>
      <c r="C144" s="35"/>
      <c r="D144" s="104" t="s">
        <v>207</v>
      </c>
      <c r="E144" s="28" t="s">
        <v>270</v>
      </c>
      <c r="F144" s="28"/>
      <c r="G144" s="54"/>
      <c r="H144" s="54"/>
      <c r="I144" s="54"/>
      <c r="J144" s="37" t="e">
        <f t="shared" si="10"/>
        <v>#DIV/0!</v>
      </c>
      <c r="K144" s="40"/>
      <c r="L144" s="37"/>
      <c r="M144" s="45"/>
      <c r="N144" s="46"/>
      <c r="O144" s="30"/>
      <c r="P144" s="30"/>
    </row>
    <row r="145" spans="1:16" s="8" customFormat="1" ht="25.15" customHeight="1" thickBot="1" x14ac:dyDescent="0.3">
      <c r="A145" s="50"/>
      <c r="B145" s="86"/>
      <c r="C145" s="35"/>
      <c r="D145" s="104" t="s">
        <v>207</v>
      </c>
      <c r="E145" s="28" t="s">
        <v>270</v>
      </c>
      <c r="F145" s="28"/>
      <c r="G145" s="54"/>
      <c r="H145" s="54"/>
      <c r="I145" s="54"/>
      <c r="J145" s="37" t="e">
        <f t="shared" si="10"/>
        <v>#DIV/0!</v>
      </c>
      <c r="K145" s="40"/>
      <c r="L145" s="37"/>
      <c r="M145" s="45"/>
      <c r="N145" s="46"/>
      <c r="O145" s="30"/>
      <c r="P145" s="30"/>
    </row>
    <row r="146" spans="1:16" s="8" customFormat="1" ht="25.15" customHeight="1" thickBot="1" x14ac:dyDescent="0.3">
      <c r="A146" s="50"/>
      <c r="B146" s="86"/>
      <c r="C146" s="35"/>
      <c r="D146" s="104" t="s">
        <v>207</v>
      </c>
      <c r="E146" s="28" t="s">
        <v>270</v>
      </c>
      <c r="F146" s="28"/>
      <c r="G146" s="54"/>
      <c r="H146" s="54"/>
      <c r="I146" s="54"/>
      <c r="J146" s="37" t="e">
        <f t="shared" si="10"/>
        <v>#DIV/0!</v>
      </c>
      <c r="K146" s="40"/>
      <c r="L146" s="37"/>
      <c r="M146" s="45"/>
      <c r="N146" s="46"/>
      <c r="O146" s="30"/>
      <c r="P146" s="30"/>
    </row>
    <row r="147" spans="1:16" s="8" customFormat="1" ht="25.15" customHeight="1" thickBot="1" x14ac:dyDescent="0.3">
      <c r="A147" s="50"/>
      <c r="B147" s="86"/>
      <c r="C147" s="35"/>
      <c r="D147" s="104" t="s">
        <v>207</v>
      </c>
      <c r="E147" s="28" t="s">
        <v>270</v>
      </c>
      <c r="F147" s="28"/>
      <c r="G147" s="54"/>
      <c r="H147" s="54"/>
      <c r="I147" s="54"/>
      <c r="J147" s="37" t="e">
        <f t="shared" si="10"/>
        <v>#DIV/0!</v>
      </c>
      <c r="K147" s="40"/>
      <c r="L147" s="37"/>
      <c r="M147" s="45"/>
      <c r="N147" s="46"/>
      <c r="O147" s="30"/>
      <c r="P147" s="30"/>
    </row>
    <row r="148" spans="1:16" s="8" customFormat="1" ht="25.15" customHeight="1" thickBot="1" x14ac:dyDescent="0.3">
      <c r="A148" s="50"/>
      <c r="B148" s="86"/>
      <c r="C148" s="35"/>
      <c r="D148" s="104" t="s">
        <v>207</v>
      </c>
      <c r="E148" s="28" t="s">
        <v>270</v>
      </c>
      <c r="F148" s="28"/>
      <c r="G148" s="54"/>
      <c r="H148" s="54"/>
      <c r="I148" s="54"/>
      <c r="J148" s="37"/>
      <c r="K148" s="40"/>
      <c r="L148" s="37"/>
      <c r="M148" s="45"/>
      <c r="N148" s="46"/>
      <c r="O148" s="30"/>
      <c r="P148" s="30"/>
    </row>
    <row r="149" spans="1:16" s="8" customFormat="1" ht="25.15" customHeight="1" thickBot="1" x14ac:dyDescent="0.3">
      <c r="A149" s="50">
        <v>3</v>
      </c>
      <c r="B149" s="86" t="s">
        <v>209</v>
      </c>
      <c r="C149" s="35">
        <v>46097</v>
      </c>
      <c r="D149" s="104" t="s">
        <v>208</v>
      </c>
      <c r="E149" s="28" t="s">
        <v>216</v>
      </c>
      <c r="F149" s="28" t="s">
        <v>30</v>
      </c>
      <c r="G149" s="54">
        <v>367</v>
      </c>
      <c r="H149" s="54">
        <v>289</v>
      </c>
      <c r="I149" s="54">
        <v>78</v>
      </c>
      <c r="J149" s="37">
        <f t="shared" ref="J149:J162" si="12">I149/G149</f>
        <v>0.21253405994550409</v>
      </c>
      <c r="K149" s="126"/>
      <c r="L149" s="39"/>
      <c r="M149" s="45"/>
      <c r="N149" s="46"/>
      <c r="O149" s="30"/>
      <c r="P149" s="30"/>
    </row>
    <row r="150" spans="1:16" s="8" customFormat="1" ht="25.15" customHeight="1" thickBot="1" x14ac:dyDescent="0.3">
      <c r="A150" s="50">
        <v>3</v>
      </c>
      <c r="B150" s="86" t="s">
        <v>209</v>
      </c>
      <c r="C150" s="35">
        <v>46117</v>
      </c>
      <c r="D150" s="104" t="s">
        <v>208</v>
      </c>
      <c r="E150" s="28" t="s">
        <v>216</v>
      </c>
      <c r="F150" s="28" t="s">
        <v>30</v>
      </c>
      <c r="G150" s="54">
        <v>367</v>
      </c>
      <c r="H150" s="54">
        <v>269</v>
      </c>
      <c r="I150" s="54">
        <f>G150-H150</f>
        <v>98</v>
      </c>
      <c r="J150" s="37">
        <f t="shared" si="12"/>
        <v>0.2670299727520436</v>
      </c>
      <c r="K150" s="126"/>
      <c r="L150" s="39"/>
      <c r="M150" s="45"/>
      <c r="N150" s="47"/>
      <c r="O150" s="38"/>
      <c r="P150" s="38"/>
    </row>
    <row r="151" spans="1:16" s="8" customFormat="1" ht="25.15" customHeight="1" thickBot="1" x14ac:dyDescent="0.3">
      <c r="A151" s="50">
        <v>3</v>
      </c>
      <c r="B151" s="86" t="s">
        <v>209</v>
      </c>
      <c r="C151" s="35">
        <v>46125</v>
      </c>
      <c r="D151" s="104" t="s">
        <v>208</v>
      </c>
      <c r="E151" s="28" t="s">
        <v>216</v>
      </c>
      <c r="F151" s="28" t="s">
        <v>30</v>
      </c>
      <c r="G151" s="54">
        <v>368</v>
      </c>
      <c r="H151" s="54">
        <v>261</v>
      </c>
      <c r="I151" s="54">
        <f t="shared" ref="I151:I155" si="13">G151-H151</f>
        <v>107</v>
      </c>
      <c r="J151" s="37">
        <f t="shared" si="12"/>
        <v>0.29076086956521741</v>
      </c>
      <c r="K151" s="126"/>
      <c r="L151" s="31"/>
      <c r="M151" s="45"/>
      <c r="N151" s="46"/>
      <c r="O151" s="30"/>
      <c r="P151" s="30"/>
    </row>
    <row r="152" spans="1:16" s="8" customFormat="1" ht="25.15" customHeight="1" thickBot="1" x14ac:dyDescent="0.3">
      <c r="A152" s="50">
        <v>3</v>
      </c>
      <c r="B152" s="86" t="s">
        <v>209</v>
      </c>
      <c r="C152" s="35">
        <v>46146</v>
      </c>
      <c r="D152" s="104" t="s">
        <v>208</v>
      </c>
      <c r="E152" s="28" t="s">
        <v>216</v>
      </c>
      <c r="F152" s="28" t="s">
        <v>30</v>
      </c>
      <c r="G152" s="54">
        <v>371</v>
      </c>
      <c r="H152" s="54">
        <v>240</v>
      </c>
      <c r="I152" s="54">
        <f t="shared" si="13"/>
        <v>131</v>
      </c>
      <c r="J152" s="37">
        <f t="shared" si="12"/>
        <v>0.35309973045822102</v>
      </c>
      <c r="K152" s="126"/>
      <c r="L152" s="31"/>
      <c r="M152" s="45"/>
      <c r="N152" s="46"/>
      <c r="O152" s="30"/>
      <c r="P152" s="30"/>
    </row>
    <row r="153" spans="1:16" s="8" customFormat="1" ht="25.15" customHeight="1" thickBot="1" x14ac:dyDescent="0.3">
      <c r="A153" s="50">
        <v>3</v>
      </c>
      <c r="B153" s="86" t="s">
        <v>209</v>
      </c>
      <c r="C153" s="35">
        <v>46167</v>
      </c>
      <c r="D153" s="104" t="s">
        <v>208</v>
      </c>
      <c r="E153" s="28" t="s">
        <v>216</v>
      </c>
      <c r="F153" s="28" t="s">
        <v>30</v>
      </c>
      <c r="G153" s="54">
        <v>376</v>
      </c>
      <c r="H153" s="54">
        <v>223</v>
      </c>
      <c r="I153" s="54">
        <f t="shared" si="13"/>
        <v>153</v>
      </c>
      <c r="J153" s="31">
        <f t="shared" si="12"/>
        <v>0.40691489361702127</v>
      </c>
      <c r="K153" s="126"/>
      <c r="L153" s="31"/>
      <c r="M153" s="45"/>
      <c r="N153" s="46"/>
      <c r="O153" s="30"/>
      <c r="P153" s="30"/>
    </row>
    <row r="154" spans="1:16" s="8" customFormat="1" ht="25.15" customHeight="1" thickBot="1" x14ac:dyDescent="0.3">
      <c r="A154" s="50">
        <v>3</v>
      </c>
      <c r="B154" s="86" t="s">
        <v>209</v>
      </c>
      <c r="C154" s="35">
        <v>46195</v>
      </c>
      <c r="D154" s="104" t="s">
        <v>208</v>
      </c>
      <c r="E154" s="28" t="s">
        <v>216</v>
      </c>
      <c r="F154" s="28" t="s">
        <v>30</v>
      </c>
      <c r="G154" s="54">
        <v>381</v>
      </c>
      <c r="H154" s="54">
        <v>195</v>
      </c>
      <c r="I154" s="54">
        <f t="shared" si="13"/>
        <v>186</v>
      </c>
      <c r="J154" s="31">
        <f t="shared" si="12"/>
        <v>0.48818897637795278</v>
      </c>
      <c r="K154" s="126"/>
      <c r="L154" s="31"/>
      <c r="M154" s="45"/>
      <c r="N154" s="46"/>
      <c r="O154" s="30"/>
      <c r="P154" s="30"/>
    </row>
    <row r="155" spans="1:16" s="8" customFormat="1" ht="25.15" customHeight="1" thickBot="1" x14ac:dyDescent="0.3">
      <c r="A155" s="50">
        <v>3</v>
      </c>
      <c r="B155" s="86" t="s">
        <v>209</v>
      </c>
      <c r="C155" s="35">
        <v>46203</v>
      </c>
      <c r="D155" s="104" t="s">
        <v>208</v>
      </c>
      <c r="E155" s="28" t="s">
        <v>216</v>
      </c>
      <c r="F155" s="28" t="s">
        <v>30</v>
      </c>
      <c r="G155" s="54">
        <v>381</v>
      </c>
      <c r="H155" s="54">
        <v>185</v>
      </c>
      <c r="I155" s="54">
        <f t="shared" si="13"/>
        <v>196</v>
      </c>
      <c r="J155" s="31">
        <f t="shared" si="12"/>
        <v>0.51443569553805779</v>
      </c>
      <c r="K155" s="126"/>
      <c r="L155" s="31"/>
      <c r="M155" s="45"/>
      <c r="N155" s="46"/>
      <c r="O155" s="30"/>
      <c r="P155" s="30"/>
    </row>
    <row r="156" spans="1:16" s="8" customFormat="1" ht="25.15" customHeight="1" thickBot="1" x14ac:dyDescent="0.3">
      <c r="A156" s="50">
        <v>3</v>
      </c>
      <c r="B156" s="86" t="s">
        <v>209</v>
      </c>
      <c r="C156" s="35"/>
      <c r="D156" s="104" t="s">
        <v>208</v>
      </c>
      <c r="E156" s="28" t="s">
        <v>216</v>
      </c>
      <c r="F156" s="28" t="s">
        <v>30</v>
      </c>
      <c r="G156" s="54"/>
      <c r="H156" s="54"/>
      <c r="I156" s="54"/>
      <c r="J156" s="31" t="e">
        <f t="shared" si="12"/>
        <v>#DIV/0!</v>
      </c>
      <c r="K156" s="126"/>
      <c r="L156" s="31"/>
      <c r="M156" s="45"/>
      <c r="N156" s="46"/>
      <c r="O156" s="30"/>
      <c r="P156" s="30"/>
    </row>
    <row r="157" spans="1:16" s="8" customFormat="1" ht="25.15" customHeight="1" thickBot="1" x14ac:dyDescent="0.3">
      <c r="A157" s="50">
        <v>3</v>
      </c>
      <c r="B157" s="86" t="s">
        <v>209</v>
      </c>
      <c r="C157" s="35"/>
      <c r="D157" s="104" t="s">
        <v>208</v>
      </c>
      <c r="E157" s="28" t="s">
        <v>216</v>
      </c>
      <c r="F157" s="28" t="s">
        <v>30</v>
      </c>
      <c r="G157" s="54"/>
      <c r="H157" s="54"/>
      <c r="I157" s="54"/>
      <c r="J157" s="31" t="e">
        <f t="shared" si="12"/>
        <v>#DIV/0!</v>
      </c>
      <c r="K157" s="126"/>
      <c r="L157" s="31"/>
      <c r="M157" s="45"/>
      <c r="N157" s="46"/>
      <c r="O157" s="30"/>
      <c r="P157" s="30"/>
    </row>
    <row r="158" spans="1:16" s="8" customFormat="1" ht="25.15" customHeight="1" thickBot="1" x14ac:dyDescent="0.3">
      <c r="A158" s="50">
        <v>3</v>
      </c>
      <c r="B158" s="86" t="s">
        <v>209</v>
      </c>
      <c r="C158" s="35"/>
      <c r="D158" s="104" t="s">
        <v>208</v>
      </c>
      <c r="E158" s="28" t="s">
        <v>216</v>
      </c>
      <c r="F158" s="28" t="s">
        <v>30</v>
      </c>
      <c r="G158" s="54"/>
      <c r="H158" s="54"/>
      <c r="I158" s="54"/>
      <c r="J158" s="31" t="e">
        <f t="shared" si="12"/>
        <v>#DIV/0!</v>
      </c>
      <c r="K158" s="126"/>
      <c r="L158" s="31"/>
      <c r="M158" s="45"/>
      <c r="N158" s="46"/>
      <c r="O158" s="30"/>
      <c r="P158" s="30"/>
    </row>
    <row r="159" spans="1:16" s="8" customFormat="1" ht="25.15" customHeight="1" thickBot="1" x14ac:dyDescent="0.3">
      <c r="A159" s="50">
        <v>3</v>
      </c>
      <c r="B159" s="86" t="s">
        <v>209</v>
      </c>
      <c r="C159" s="35"/>
      <c r="D159" s="104" t="s">
        <v>208</v>
      </c>
      <c r="E159" s="28" t="s">
        <v>216</v>
      </c>
      <c r="F159" s="28" t="s">
        <v>30</v>
      </c>
      <c r="G159" s="54"/>
      <c r="H159" s="54"/>
      <c r="I159" s="54"/>
      <c r="J159" s="31" t="e">
        <f t="shared" si="12"/>
        <v>#DIV/0!</v>
      </c>
      <c r="K159" s="126"/>
      <c r="L159" s="31"/>
      <c r="M159" s="45"/>
      <c r="N159" s="46"/>
      <c r="O159" s="30"/>
      <c r="P159" s="30"/>
    </row>
    <row r="160" spans="1:16" s="8" customFormat="1" ht="25.15" customHeight="1" thickBot="1" x14ac:dyDescent="0.3">
      <c r="A160" s="50">
        <v>3</v>
      </c>
      <c r="B160" s="86" t="s">
        <v>209</v>
      </c>
      <c r="C160" s="35"/>
      <c r="D160" s="104" t="s">
        <v>208</v>
      </c>
      <c r="E160" s="28" t="s">
        <v>216</v>
      </c>
      <c r="F160" s="28" t="s">
        <v>30</v>
      </c>
      <c r="G160" s="54"/>
      <c r="H160" s="54"/>
      <c r="I160" s="54"/>
      <c r="J160" s="31" t="e">
        <f t="shared" si="12"/>
        <v>#DIV/0!</v>
      </c>
      <c r="K160" s="126"/>
      <c r="L160" s="31"/>
      <c r="M160" s="45"/>
      <c r="N160" s="46"/>
      <c r="O160" s="30"/>
      <c r="P160" s="30"/>
    </row>
    <row r="161" spans="1:16" s="8" customFormat="1" ht="25.15" customHeight="1" thickBot="1" x14ac:dyDescent="0.3">
      <c r="A161" s="50">
        <v>3</v>
      </c>
      <c r="B161" s="86" t="s">
        <v>209</v>
      </c>
      <c r="C161" s="35"/>
      <c r="D161" s="104" t="s">
        <v>208</v>
      </c>
      <c r="E161" s="28" t="s">
        <v>216</v>
      </c>
      <c r="F161" s="28" t="s">
        <v>30</v>
      </c>
      <c r="G161" s="54"/>
      <c r="H161" s="54"/>
      <c r="I161" s="54"/>
      <c r="J161" s="31" t="e">
        <f t="shared" si="12"/>
        <v>#DIV/0!</v>
      </c>
      <c r="K161" s="40"/>
      <c r="L161" s="31"/>
      <c r="M161" s="45"/>
      <c r="N161" s="46"/>
      <c r="O161" s="30"/>
      <c r="P161" s="30"/>
    </row>
    <row r="162" spans="1:16" s="8" customFormat="1" ht="25.15" customHeight="1" thickBot="1" x14ac:dyDescent="0.3">
      <c r="A162" s="50">
        <v>3</v>
      </c>
      <c r="B162" s="86" t="s">
        <v>209</v>
      </c>
      <c r="C162" s="35"/>
      <c r="D162" s="104" t="s">
        <v>208</v>
      </c>
      <c r="E162" s="28" t="s">
        <v>216</v>
      </c>
      <c r="F162" s="28" t="s">
        <v>30</v>
      </c>
      <c r="G162" s="54"/>
      <c r="H162" s="54"/>
      <c r="I162" s="54"/>
      <c r="J162" s="31" t="e">
        <f t="shared" si="12"/>
        <v>#DIV/0!</v>
      </c>
      <c r="K162" s="126"/>
      <c r="L162" s="31"/>
      <c r="M162" s="45"/>
      <c r="N162" s="46"/>
      <c r="O162" s="30"/>
      <c r="P162" s="30"/>
    </row>
    <row r="163" spans="1:16" s="8" customFormat="1" ht="25.15" customHeight="1" thickBot="1" x14ac:dyDescent="0.3">
      <c r="A163" s="50">
        <v>3</v>
      </c>
      <c r="B163" s="86" t="s">
        <v>209</v>
      </c>
      <c r="C163" s="35"/>
      <c r="D163" s="104" t="s">
        <v>208</v>
      </c>
      <c r="E163" s="28" t="s">
        <v>216</v>
      </c>
      <c r="F163" s="28" t="s">
        <v>30</v>
      </c>
      <c r="G163" s="54"/>
      <c r="H163" s="54"/>
      <c r="I163" s="54"/>
      <c r="J163" s="31"/>
      <c r="K163" s="40"/>
      <c r="L163" s="31"/>
      <c r="M163" s="45"/>
      <c r="N163" s="46"/>
      <c r="O163" s="30"/>
      <c r="P163" s="30"/>
    </row>
    <row r="164" spans="1:16" s="8" customFormat="1" ht="25.15" customHeight="1" thickBot="1" x14ac:dyDescent="0.3">
      <c r="A164" s="50">
        <v>3</v>
      </c>
      <c r="B164" s="86" t="s">
        <v>209</v>
      </c>
      <c r="C164" s="35"/>
      <c r="D164" s="104" t="s">
        <v>208</v>
      </c>
      <c r="E164" s="28" t="s">
        <v>216</v>
      </c>
      <c r="F164" s="28" t="s">
        <v>30</v>
      </c>
      <c r="G164" s="54"/>
      <c r="H164" s="54"/>
      <c r="I164" s="54"/>
      <c r="J164" s="31"/>
      <c r="K164" s="40"/>
      <c r="L164" s="31"/>
      <c r="M164" s="45"/>
      <c r="N164" s="46"/>
      <c r="O164" s="30"/>
      <c r="P164" s="30"/>
    </row>
    <row r="165" spans="1:16" s="8" customFormat="1" ht="25.15" customHeight="1" thickBot="1" x14ac:dyDescent="0.3">
      <c r="A165" s="50">
        <v>3</v>
      </c>
      <c r="B165" s="86" t="s">
        <v>209</v>
      </c>
      <c r="C165" s="35"/>
      <c r="D165" s="104" t="s">
        <v>208</v>
      </c>
      <c r="E165" s="28" t="s">
        <v>216</v>
      </c>
      <c r="F165" s="28" t="s">
        <v>30</v>
      </c>
      <c r="G165" s="54"/>
      <c r="H165" s="54"/>
      <c r="I165" s="54"/>
      <c r="J165" s="31"/>
      <c r="K165" s="40"/>
      <c r="L165" s="31"/>
      <c r="M165" s="45"/>
      <c r="N165" s="46"/>
      <c r="O165" s="30"/>
      <c r="P165" s="30"/>
    </row>
    <row r="166" spans="1:16" s="8" customFormat="1" ht="25.15" customHeight="1" thickBot="1" x14ac:dyDescent="0.3">
      <c r="A166" s="50">
        <v>3</v>
      </c>
      <c r="B166" s="86" t="s">
        <v>209</v>
      </c>
      <c r="C166" s="35"/>
      <c r="D166" s="104" t="s">
        <v>208</v>
      </c>
      <c r="E166" s="28" t="s">
        <v>216</v>
      </c>
      <c r="F166" s="28" t="s">
        <v>30</v>
      </c>
      <c r="G166" s="54"/>
      <c r="H166" s="54"/>
      <c r="I166" s="54"/>
      <c r="J166" s="31"/>
      <c r="K166" s="40"/>
      <c r="L166" s="31"/>
      <c r="M166" s="45"/>
      <c r="N166" s="46"/>
      <c r="O166" s="30"/>
      <c r="P166" s="30"/>
    </row>
    <row r="167" spans="1:16" s="8" customFormat="1" ht="25.15" customHeight="1" thickBot="1" x14ac:dyDescent="0.3">
      <c r="A167" s="50">
        <v>3</v>
      </c>
      <c r="B167" s="86" t="s">
        <v>209</v>
      </c>
      <c r="C167" s="29"/>
      <c r="D167" s="104" t="s">
        <v>208</v>
      </c>
      <c r="E167" s="28" t="s">
        <v>216</v>
      </c>
      <c r="F167" s="28" t="s">
        <v>30</v>
      </c>
      <c r="G167" s="54"/>
      <c r="H167" s="54"/>
      <c r="I167" s="54"/>
      <c r="J167" s="31"/>
      <c r="K167" s="31"/>
      <c r="L167" s="31"/>
      <c r="M167" s="45"/>
      <c r="N167" s="46"/>
      <c r="O167" s="30"/>
      <c r="P167" s="30"/>
    </row>
    <row r="168" spans="1:16" s="8" customFormat="1" ht="25.15" customHeight="1" thickBot="1" x14ac:dyDescent="0.3">
      <c r="A168" s="50">
        <v>3</v>
      </c>
      <c r="B168" s="86" t="s">
        <v>209</v>
      </c>
      <c r="C168" s="29"/>
      <c r="D168" s="104" t="s">
        <v>208</v>
      </c>
      <c r="E168" s="28" t="s">
        <v>216</v>
      </c>
      <c r="F168" s="28" t="s">
        <v>30</v>
      </c>
      <c r="G168" s="54"/>
      <c r="H168" s="54"/>
      <c r="I168" s="54"/>
      <c r="J168" s="31"/>
      <c r="K168" s="31"/>
      <c r="L168" s="31"/>
      <c r="M168" s="45"/>
      <c r="N168" s="46"/>
      <c r="O168" s="30"/>
      <c r="P168" s="30"/>
    </row>
    <row r="169" spans="1:16" s="8" customFormat="1" ht="25.15" customHeight="1" thickBot="1" x14ac:dyDescent="0.3">
      <c r="A169" s="50">
        <v>3</v>
      </c>
      <c r="B169" s="86" t="s">
        <v>209</v>
      </c>
      <c r="C169" s="29"/>
      <c r="D169" s="104" t="s">
        <v>208</v>
      </c>
      <c r="E169" s="28" t="s">
        <v>216</v>
      </c>
      <c r="F169" s="28" t="s">
        <v>30</v>
      </c>
      <c r="G169" s="54"/>
      <c r="H169" s="54"/>
      <c r="I169" s="54"/>
      <c r="J169" s="31"/>
      <c r="K169" s="31"/>
      <c r="L169" s="31"/>
      <c r="M169" s="45"/>
      <c r="N169" s="46"/>
      <c r="O169" s="30"/>
      <c r="P169" s="30"/>
    </row>
    <row r="170" spans="1:16" s="8" customFormat="1" ht="25.15" customHeight="1" thickBot="1" x14ac:dyDescent="0.3">
      <c r="A170" s="50">
        <v>3</v>
      </c>
      <c r="B170" s="86" t="s">
        <v>209</v>
      </c>
      <c r="C170" s="35"/>
      <c r="D170" s="104" t="s">
        <v>217</v>
      </c>
      <c r="E170" s="105" t="s">
        <v>218</v>
      </c>
      <c r="F170" s="28"/>
      <c r="G170" s="54"/>
      <c r="H170" s="54"/>
      <c r="I170" s="54"/>
      <c r="J170" s="31" t="e">
        <f>I170/G170</f>
        <v>#DIV/0!</v>
      </c>
      <c r="K170" s="31"/>
      <c r="L170" s="31"/>
      <c r="M170" s="45"/>
      <c r="N170" s="46"/>
      <c r="O170" s="30"/>
      <c r="P170" s="30"/>
    </row>
    <row r="171" spans="1:16" s="8" customFormat="1" ht="25.15" customHeight="1" thickBot="1" x14ac:dyDescent="0.3">
      <c r="A171" s="50">
        <v>3</v>
      </c>
      <c r="B171" s="86" t="s">
        <v>209</v>
      </c>
      <c r="C171" s="29"/>
      <c r="D171" s="104" t="s">
        <v>217</v>
      </c>
      <c r="E171" s="105" t="s">
        <v>219</v>
      </c>
      <c r="F171" s="28"/>
      <c r="G171" s="54"/>
      <c r="H171" s="54"/>
      <c r="I171" s="54"/>
      <c r="J171" s="31"/>
      <c r="K171" s="31"/>
      <c r="L171" s="31"/>
      <c r="M171" s="45"/>
      <c r="N171" s="46"/>
      <c r="O171" s="30"/>
      <c r="P171" s="30"/>
    </row>
    <row r="172" spans="1:16" s="8" customFormat="1" ht="25.15" customHeight="1" thickBot="1" x14ac:dyDescent="0.3">
      <c r="A172" s="50">
        <v>3</v>
      </c>
      <c r="B172" s="86" t="s">
        <v>209</v>
      </c>
      <c r="C172" s="29"/>
      <c r="D172" s="104" t="s">
        <v>217</v>
      </c>
      <c r="E172" s="105" t="s">
        <v>220</v>
      </c>
      <c r="F172" s="28"/>
      <c r="G172" s="54"/>
      <c r="H172" s="54"/>
      <c r="I172" s="54"/>
      <c r="J172" s="31"/>
      <c r="K172" s="31"/>
      <c r="L172" s="31"/>
      <c r="M172" s="45"/>
      <c r="N172" s="46"/>
      <c r="O172" s="30"/>
      <c r="P172" s="30"/>
    </row>
    <row r="173" spans="1:16" s="8" customFormat="1" ht="25.15" customHeight="1" thickBot="1" x14ac:dyDescent="0.3">
      <c r="A173" s="50">
        <v>3</v>
      </c>
      <c r="B173" s="86" t="s">
        <v>209</v>
      </c>
      <c r="C173" s="29"/>
      <c r="D173" s="104" t="s">
        <v>217</v>
      </c>
      <c r="E173" s="105" t="s">
        <v>221</v>
      </c>
      <c r="F173" s="28"/>
      <c r="G173" s="54"/>
      <c r="H173" s="54"/>
      <c r="I173" s="54"/>
      <c r="J173" s="31"/>
      <c r="K173" s="31"/>
      <c r="L173" s="31"/>
      <c r="M173" s="45"/>
      <c r="N173" s="46"/>
      <c r="O173" s="30"/>
      <c r="P173" s="30"/>
    </row>
    <row r="174" spans="1:16" s="8" customFormat="1" ht="25.15" customHeight="1" thickBot="1" x14ac:dyDescent="0.3">
      <c r="A174" s="50">
        <v>3</v>
      </c>
      <c r="B174" s="86" t="s">
        <v>209</v>
      </c>
      <c r="C174" s="29"/>
      <c r="D174" s="104" t="s">
        <v>217</v>
      </c>
      <c r="E174" s="105" t="s">
        <v>222</v>
      </c>
      <c r="F174" s="28"/>
      <c r="G174" s="54"/>
      <c r="H174" s="54"/>
      <c r="I174" s="54"/>
      <c r="J174" s="31"/>
      <c r="K174" s="31"/>
      <c r="L174" s="31"/>
      <c r="M174" s="45"/>
      <c r="N174" s="46"/>
      <c r="O174" s="30"/>
      <c r="P174" s="30"/>
    </row>
    <row r="175" spans="1:16" s="8" customFormat="1" ht="25.15" customHeight="1" thickBot="1" x14ac:dyDescent="0.3">
      <c r="A175" s="50">
        <v>3</v>
      </c>
      <c r="B175" s="86" t="s">
        <v>209</v>
      </c>
      <c r="C175" s="29"/>
      <c r="D175" s="104" t="s">
        <v>217</v>
      </c>
      <c r="E175" s="105" t="s">
        <v>223</v>
      </c>
      <c r="F175" s="28"/>
      <c r="G175" s="54"/>
      <c r="H175" s="54"/>
      <c r="I175" s="54"/>
      <c r="J175" s="31"/>
      <c r="K175" s="31"/>
      <c r="L175" s="31"/>
      <c r="M175" s="45"/>
      <c r="N175" s="46"/>
      <c r="O175" s="30"/>
      <c r="P175" s="30"/>
    </row>
    <row r="176" spans="1:16" s="8" customFormat="1" ht="25.15" customHeight="1" thickBot="1" x14ac:dyDescent="0.3">
      <c r="A176" s="50">
        <v>3</v>
      </c>
      <c r="B176" s="86" t="s">
        <v>209</v>
      </c>
      <c r="C176" s="29"/>
      <c r="D176" s="104" t="s">
        <v>217</v>
      </c>
      <c r="E176" s="105" t="s">
        <v>224</v>
      </c>
      <c r="F176" s="28"/>
      <c r="G176" s="54"/>
      <c r="H176" s="54"/>
      <c r="I176" s="54"/>
      <c r="J176" s="31"/>
      <c r="K176" s="31"/>
      <c r="L176" s="31"/>
      <c r="M176" s="45"/>
      <c r="N176" s="46"/>
      <c r="O176" s="30"/>
      <c r="P176" s="30"/>
    </row>
    <row r="177" spans="1:16" s="8" customFormat="1" ht="25.15" customHeight="1" thickBot="1" x14ac:dyDescent="0.3">
      <c r="A177" s="50">
        <v>3</v>
      </c>
      <c r="B177" s="86" t="s">
        <v>209</v>
      </c>
      <c r="C177" s="29"/>
      <c r="D177" s="104" t="s">
        <v>217</v>
      </c>
      <c r="E177" s="105" t="s">
        <v>225</v>
      </c>
      <c r="F177" s="28"/>
      <c r="G177" s="54"/>
      <c r="H177" s="54"/>
      <c r="I177" s="54"/>
      <c r="J177" s="31"/>
      <c r="K177" s="31"/>
      <c r="L177" s="31"/>
      <c r="M177" s="45"/>
      <c r="N177" s="46"/>
      <c r="O177" s="30"/>
      <c r="P177" s="30"/>
    </row>
    <row r="178" spans="1:16" s="8" customFormat="1" ht="25.15" customHeight="1" thickBot="1" x14ac:dyDescent="0.3">
      <c r="A178" s="50">
        <v>3</v>
      </c>
      <c r="B178" s="86" t="s">
        <v>209</v>
      </c>
      <c r="C178" s="29"/>
      <c r="D178" s="104" t="s">
        <v>217</v>
      </c>
      <c r="E178" s="105" t="s">
        <v>226</v>
      </c>
      <c r="F178" s="28"/>
      <c r="G178" s="54"/>
      <c r="H178" s="54"/>
      <c r="I178" s="54"/>
      <c r="J178" s="31"/>
      <c r="K178" s="31"/>
      <c r="L178" s="31"/>
      <c r="M178" s="45"/>
      <c r="N178" s="46"/>
      <c r="O178" s="30"/>
      <c r="P178" s="30"/>
    </row>
    <row r="179" spans="1:16" s="8" customFormat="1" ht="25.15" customHeight="1" thickBot="1" x14ac:dyDescent="0.3">
      <c r="A179" s="50">
        <v>3</v>
      </c>
      <c r="B179" s="86" t="s">
        <v>209</v>
      </c>
      <c r="C179" s="29"/>
      <c r="D179" s="104" t="s">
        <v>217</v>
      </c>
      <c r="E179" s="105" t="s">
        <v>227</v>
      </c>
      <c r="F179" s="28"/>
      <c r="G179" s="54"/>
      <c r="H179" s="54"/>
      <c r="I179" s="54"/>
      <c r="J179" s="31"/>
      <c r="K179" s="31"/>
      <c r="L179" s="31"/>
      <c r="M179" s="45"/>
      <c r="N179" s="46"/>
      <c r="O179" s="30"/>
      <c r="P179" s="30"/>
    </row>
    <row r="180" spans="1:16" s="8" customFormat="1" ht="25.15" customHeight="1" thickBot="1" x14ac:dyDescent="0.3">
      <c r="A180" s="50">
        <v>3</v>
      </c>
      <c r="B180" s="86" t="s">
        <v>209</v>
      </c>
      <c r="C180" s="29"/>
      <c r="D180" s="104" t="s">
        <v>217</v>
      </c>
      <c r="E180" s="105" t="s">
        <v>228</v>
      </c>
      <c r="F180" s="28"/>
      <c r="G180" s="54"/>
      <c r="H180" s="54"/>
      <c r="I180" s="54"/>
      <c r="J180" s="31"/>
      <c r="K180" s="31"/>
      <c r="L180" s="31"/>
      <c r="M180" s="45"/>
      <c r="N180" s="46"/>
      <c r="O180" s="30"/>
      <c r="P180" s="30"/>
    </row>
    <row r="181" spans="1:16" s="8" customFormat="1" ht="25.15" customHeight="1" thickBot="1" x14ac:dyDescent="0.3">
      <c r="A181" s="50">
        <v>3</v>
      </c>
      <c r="B181" s="86" t="s">
        <v>209</v>
      </c>
      <c r="C181" s="29"/>
      <c r="D181" s="104" t="s">
        <v>217</v>
      </c>
      <c r="E181" s="105" t="s">
        <v>229</v>
      </c>
      <c r="F181" s="28"/>
      <c r="G181" s="54"/>
      <c r="H181" s="54"/>
      <c r="I181" s="54"/>
      <c r="J181" s="31"/>
      <c r="K181" s="31"/>
      <c r="L181" s="31"/>
      <c r="M181" s="45"/>
      <c r="N181" s="46"/>
      <c r="O181" s="30"/>
      <c r="P181" s="30"/>
    </row>
    <row r="182" spans="1:16" s="8" customFormat="1" ht="25.15" customHeight="1" thickBot="1" x14ac:dyDescent="0.3">
      <c r="A182" s="50" t="s">
        <v>230</v>
      </c>
      <c r="B182" s="86" t="s">
        <v>232</v>
      </c>
      <c r="C182" s="35"/>
      <c r="D182" s="69" t="s">
        <v>231</v>
      </c>
      <c r="E182" s="36" t="s">
        <v>33</v>
      </c>
      <c r="F182" s="28" t="s">
        <v>42</v>
      </c>
      <c r="G182" s="54"/>
      <c r="H182" s="54"/>
      <c r="I182" s="54"/>
      <c r="J182" s="37" t="e">
        <f t="shared" ref="J182:J187" si="14">I182/G182</f>
        <v>#DIV/0!</v>
      </c>
      <c r="K182" s="32"/>
      <c r="L182" s="48"/>
      <c r="M182" s="45"/>
      <c r="N182" s="46"/>
      <c r="O182" s="30"/>
      <c r="P182" s="30"/>
    </row>
    <row r="183" spans="1:16" s="8" customFormat="1" ht="25.15" customHeight="1" thickBot="1" x14ac:dyDescent="0.3">
      <c r="A183" s="50" t="s">
        <v>230</v>
      </c>
      <c r="B183" s="86" t="s">
        <v>232</v>
      </c>
      <c r="C183" s="35"/>
      <c r="D183" s="69" t="s">
        <v>231</v>
      </c>
      <c r="E183" s="36" t="s">
        <v>33</v>
      </c>
      <c r="F183" s="28" t="s">
        <v>42</v>
      </c>
      <c r="G183" s="54"/>
      <c r="H183" s="54"/>
      <c r="I183" s="54"/>
      <c r="J183" s="37" t="e">
        <f t="shared" si="14"/>
        <v>#DIV/0!</v>
      </c>
      <c r="K183" s="126"/>
      <c r="L183" s="48"/>
      <c r="M183" s="45"/>
      <c r="N183" s="46"/>
      <c r="O183" s="30"/>
      <c r="P183" s="30"/>
    </row>
    <row r="184" spans="1:16" s="8" customFormat="1" ht="25.15" customHeight="1" thickBot="1" x14ac:dyDescent="0.3">
      <c r="A184" s="50" t="s">
        <v>230</v>
      </c>
      <c r="B184" s="86" t="s">
        <v>232</v>
      </c>
      <c r="C184" s="35"/>
      <c r="D184" s="69" t="s">
        <v>231</v>
      </c>
      <c r="E184" s="36" t="s">
        <v>33</v>
      </c>
      <c r="F184" s="28" t="s">
        <v>42</v>
      </c>
      <c r="G184" s="54"/>
      <c r="H184" s="54"/>
      <c r="I184" s="54"/>
      <c r="J184" s="37" t="e">
        <f t="shared" si="14"/>
        <v>#DIV/0!</v>
      </c>
      <c r="K184" s="126"/>
      <c r="L184" s="45"/>
      <c r="M184" s="45"/>
      <c r="N184" s="46"/>
      <c r="O184" s="30"/>
      <c r="P184" s="30"/>
    </row>
    <row r="185" spans="1:16" s="8" customFormat="1" ht="27.6" customHeight="1" thickBot="1" x14ac:dyDescent="0.3">
      <c r="A185" s="50" t="s">
        <v>230</v>
      </c>
      <c r="B185" s="86" t="s">
        <v>232</v>
      </c>
      <c r="C185" s="35"/>
      <c r="D185" s="69" t="s">
        <v>231</v>
      </c>
      <c r="E185" s="36" t="s">
        <v>33</v>
      </c>
      <c r="F185" s="28" t="s">
        <v>42</v>
      </c>
      <c r="G185" s="54"/>
      <c r="H185" s="54"/>
      <c r="I185" s="54"/>
      <c r="J185" s="37" t="e">
        <f t="shared" si="14"/>
        <v>#DIV/0!</v>
      </c>
      <c r="K185" s="126"/>
      <c r="L185" s="45"/>
      <c r="M185" s="45"/>
      <c r="N185" s="46"/>
      <c r="O185" s="30"/>
      <c r="P185" s="30"/>
    </row>
    <row r="186" spans="1:16" s="8" customFormat="1" ht="28.15" customHeight="1" thickBot="1" x14ac:dyDescent="0.3">
      <c r="A186" s="50" t="s">
        <v>230</v>
      </c>
      <c r="B186" s="86" t="s">
        <v>232</v>
      </c>
      <c r="C186" s="35"/>
      <c r="D186" s="69" t="s">
        <v>231</v>
      </c>
      <c r="E186" s="36" t="s">
        <v>33</v>
      </c>
      <c r="F186" s="28" t="s">
        <v>42</v>
      </c>
      <c r="G186" s="54"/>
      <c r="H186" s="54"/>
      <c r="I186" s="54"/>
      <c r="J186" s="37" t="e">
        <f t="shared" si="14"/>
        <v>#DIV/0!</v>
      </c>
      <c r="K186" s="126"/>
      <c r="L186" s="45"/>
      <c r="M186" s="45"/>
      <c r="N186" s="46"/>
      <c r="O186" s="30"/>
      <c r="P186" s="30"/>
    </row>
    <row r="187" spans="1:16" s="8" customFormat="1" ht="30.6" customHeight="1" thickBot="1" x14ac:dyDescent="0.3">
      <c r="A187" s="50" t="s">
        <v>230</v>
      </c>
      <c r="B187" s="86" t="s">
        <v>232</v>
      </c>
      <c r="C187" s="35"/>
      <c r="D187" s="69" t="s">
        <v>231</v>
      </c>
      <c r="E187" s="36" t="s">
        <v>33</v>
      </c>
      <c r="F187" s="28" t="s">
        <v>42</v>
      </c>
      <c r="G187" s="54"/>
      <c r="H187" s="54"/>
      <c r="I187" s="54"/>
      <c r="J187" s="37" t="e">
        <f t="shared" si="14"/>
        <v>#DIV/0!</v>
      </c>
      <c r="K187" s="126"/>
      <c r="L187" s="45"/>
      <c r="M187" s="45"/>
      <c r="N187" s="46"/>
      <c r="O187" s="30"/>
      <c r="P187" s="30"/>
    </row>
    <row r="188" spans="1:16" s="8" customFormat="1" ht="41.45" customHeight="1" thickBot="1" x14ac:dyDescent="0.3">
      <c r="A188" s="50" t="s">
        <v>230</v>
      </c>
      <c r="B188" s="86" t="s">
        <v>232</v>
      </c>
      <c r="C188" s="35"/>
      <c r="D188" s="69" t="s">
        <v>231</v>
      </c>
      <c r="E188" s="36" t="s">
        <v>33</v>
      </c>
      <c r="F188" s="28" t="s">
        <v>42</v>
      </c>
      <c r="G188" s="54"/>
      <c r="H188" s="54"/>
      <c r="I188" s="54"/>
      <c r="J188" s="37"/>
      <c r="K188" s="40"/>
      <c r="L188" s="45"/>
      <c r="M188" s="45"/>
      <c r="N188" s="46"/>
      <c r="O188" s="30"/>
      <c r="P188" s="30"/>
    </row>
    <row r="189" spans="1:16" s="8" customFormat="1" ht="25.15" customHeight="1" thickBot="1" x14ac:dyDescent="0.3">
      <c r="A189" s="50" t="s">
        <v>230</v>
      </c>
      <c r="B189" s="86" t="s">
        <v>232</v>
      </c>
      <c r="C189" s="35"/>
      <c r="D189" s="69" t="s">
        <v>231</v>
      </c>
      <c r="E189" s="36" t="s">
        <v>33</v>
      </c>
      <c r="F189" s="28" t="s">
        <v>42</v>
      </c>
      <c r="G189" s="54"/>
      <c r="H189" s="54"/>
      <c r="I189" s="54"/>
      <c r="J189" s="37"/>
      <c r="K189" s="40"/>
      <c r="L189" s="45"/>
      <c r="M189" s="45"/>
      <c r="N189" s="46"/>
      <c r="O189" s="30"/>
      <c r="P189" s="30"/>
    </row>
    <row r="190" spans="1:16" s="8" customFormat="1" ht="25.15" customHeight="1" thickBot="1" x14ac:dyDescent="0.3">
      <c r="A190" s="50" t="s">
        <v>230</v>
      </c>
      <c r="B190" s="86" t="s">
        <v>232</v>
      </c>
      <c r="C190" s="35"/>
      <c r="D190" s="69" t="s">
        <v>231</v>
      </c>
      <c r="E190" s="36" t="s">
        <v>33</v>
      </c>
      <c r="F190" s="28" t="s">
        <v>42</v>
      </c>
      <c r="G190" s="54"/>
      <c r="H190" s="54"/>
      <c r="I190" s="54"/>
      <c r="J190" s="37"/>
      <c r="K190" s="40"/>
      <c r="L190" s="45"/>
      <c r="M190" s="45"/>
      <c r="N190" s="46"/>
      <c r="O190" s="30"/>
      <c r="P190" s="30"/>
    </row>
    <row r="191" spans="1:16" s="8" customFormat="1" ht="25.15" customHeight="1" thickBot="1" x14ac:dyDescent="0.3">
      <c r="A191" s="50" t="s">
        <v>230</v>
      </c>
      <c r="B191" s="86" t="s">
        <v>232</v>
      </c>
      <c r="C191" s="35"/>
      <c r="D191" s="69" t="s">
        <v>231</v>
      </c>
      <c r="E191" s="36" t="s">
        <v>33</v>
      </c>
      <c r="F191" s="28" t="s">
        <v>42</v>
      </c>
      <c r="G191" s="54"/>
      <c r="H191" s="54"/>
      <c r="I191" s="54"/>
      <c r="J191" s="37"/>
      <c r="K191" s="40"/>
      <c r="L191" s="45"/>
      <c r="M191" s="45"/>
      <c r="N191" s="46"/>
      <c r="O191" s="30"/>
      <c r="P191" s="30"/>
    </row>
    <row r="192" spans="1:16" s="8" customFormat="1" ht="25.15" customHeight="1" thickBot="1" x14ac:dyDescent="0.3">
      <c r="A192" s="50" t="s">
        <v>230</v>
      </c>
      <c r="B192" s="86" t="s">
        <v>232</v>
      </c>
      <c r="C192" s="35"/>
      <c r="D192" s="69" t="s">
        <v>231</v>
      </c>
      <c r="E192" s="36" t="s">
        <v>33</v>
      </c>
      <c r="F192" s="28" t="s">
        <v>42</v>
      </c>
      <c r="G192" s="54"/>
      <c r="H192" s="54"/>
      <c r="I192" s="54"/>
      <c r="J192" s="37"/>
      <c r="K192" s="40"/>
      <c r="L192" s="45"/>
      <c r="M192" s="45"/>
      <c r="N192" s="46"/>
      <c r="O192" s="30"/>
      <c r="P192" s="30"/>
    </row>
    <row r="193" spans="1:16" ht="25.15" customHeight="1" thickBot="1" x14ac:dyDescent="0.3">
      <c r="A193" s="50" t="s">
        <v>230</v>
      </c>
      <c r="B193" s="86" t="s">
        <v>232</v>
      </c>
      <c r="C193" s="35"/>
      <c r="D193" s="69" t="s">
        <v>231</v>
      </c>
      <c r="E193" s="28" t="s">
        <v>33</v>
      </c>
      <c r="F193" s="28" t="s">
        <v>42</v>
      </c>
      <c r="G193" s="54"/>
      <c r="H193" s="54"/>
      <c r="I193" s="54"/>
      <c r="J193" s="37"/>
      <c r="K193" s="40"/>
      <c r="L193" s="45"/>
      <c r="M193" s="45"/>
      <c r="N193" s="46"/>
      <c r="O193" s="30"/>
      <c r="P193" s="30"/>
    </row>
    <row r="194" spans="1:16" ht="25.15" customHeight="1" thickBot="1" x14ac:dyDescent="0.3">
      <c r="A194" s="50" t="s">
        <v>230</v>
      </c>
      <c r="B194" s="86" t="s">
        <v>232</v>
      </c>
      <c r="C194" s="35"/>
      <c r="D194" s="69" t="s">
        <v>231</v>
      </c>
      <c r="E194" s="28" t="s">
        <v>33</v>
      </c>
      <c r="F194" s="28" t="s">
        <v>42</v>
      </c>
      <c r="G194" s="54"/>
      <c r="H194" s="54"/>
      <c r="I194" s="54"/>
      <c r="J194" s="37"/>
      <c r="K194" s="40"/>
      <c r="L194" s="45"/>
      <c r="M194" s="45"/>
      <c r="N194" s="46"/>
      <c r="O194" s="30"/>
      <c r="P194" s="30"/>
    </row>
    <row r="195" spans="1:16" ht="25.15" customHeight="1" thickBot="1" x14ac:dyDescent="0.3">
      <c r="A195" s="50" t="s">
        <v>230</v>
      </c>
      <c r="B195" s="86" t="s">
        <v>232</v>
      </c>
      <c r="C195" s="35"/>
      <c r="D195" s="69" t="s">
        <v>282</v>
      </c>
      <c r="E195" s="133" t="s">
        <v>283</v>
      </c>
      <c r="F195" s="28"/>
      <c r="G195" s="54"/>
      <c r="H195" s="54"/>
      <c r="I195" s="54"/>
      <c r="J195" s="37">
        <v>1</v>
      </c>
      <c r="K195" s="40"/>
      <c r="L195" s="45"/>
      <c r="M195" s="45"/>
      <c r="N195" s="46"/>
      <c r="O195" s="30"/>
      <c r="P195" s="30"/>
    </row>
    <row r="196" spans="1:16" ht="25.15" customHeight="1" thickBot="1" x14ac:dyDescent="0.3">
      <c r="A196" s="50" t="s">
        <v>277</v>
      </c>
      <c r="B196" s="86" t="s">
        <v>232</v>
      </c>
      <c r="C196" s="35"/>
      <c r="D196" s="69" t="s">
        <v>282</v>
      </c>
      <c r="E196" s="133" t="s">
        <v>283</v>
      </c>
      <c r="F196" s="28"/>
      <c r="G196" s="54"/>
      <c r="H196" s="54"/>
      <c r="I196" s="54"/>
      <c r="J196" s="37">
        <v>1</v>
      </c>
      <c r="K196" s="40"/>
      <c r="L196" s="45"/>
      <c r="M196" s="45"/>
      <c r="N196" s="46"/>
      <c r="O196" s="30"/>
      <c r="P196" s="30"/>
    </row>
    <row r="197" spans="1:16" ht="25.15" customHeight="1" thickBot="1" x14ac:dyDescent="0.3">
      <c r="A197" s="50" t="s">
        <v>278</v>
      </c>
      <c r="B197" s="86" t="s">
        <v>232</v>
      </c>
      <c r="C197" s="35"/>
      <c r="D197" s="69" t="s">
        <v>282</v>
      </c>
      <c r="E197" s="133" t="s">
        <v>283</v>
      </c>
      <c r="F197" s="28"/>
      <c r="G197" s="54"/>
      <c r="H197" s="54"/>
      <c r="I197" s="54"/>
      <c r="J197" s="37">
        <v>1</v>
      </c>
      <c r="K197" s="40"/>
      <c r="L197" s="45"/>
      <c r="M197" s="45"/>
      <c r="N197" s="46"/>
      <c r="O197" s="30"/>
      <c r="P197" s="30"/>
    </row>
    <row r="198" spans="1:16" ht="25.15" customHeight="1" thickBot="1" x14ac:dyDescent="0.3">
      <c r="A198" s="50" t="s">
        <v>279</v>
      </c>
      <c r="B198" s="86" t="s">
        <v>232</v>
      </c>
      <c r="C198" s="35"/>
      <c r="D198" s="69" t="s">
        <v>282</v>
      </c>
      <c r="E198" s="133" t="s">
        <v>283</v>
      </c>
      <c r="F198" s="28"/>
      <c r="G198" s="54"/>
      <c r="H198" s="54"/>
      <c r="I198" s="54"/>
      <c r="J198" s="37">
        <v>1</v>
      </c>
      <c r="K198" s="40"/>
      <c r="L198" s="45"/>
      <c r="M198" s="45"/>
      <c r="N198" s="46"/>
      <c r="O198" s="30"/>
      <c r="P198" s="30"/>
    </row>
    <row r="199" spans="1:16" ht="25.15" customHeight="1" thickBot="1" x14ac:dyDescent="0.3">
      <c r="A199" s="50" t="s">
        <v>280</v>
      </c>
      <c r="B199" s="86" t="s">
        <v>232</v>
      </c>
      <c r="C199" s="35"/>
      <c r="D199" s="69" t="s">
        <v>282</v>
      </c>
      <c r="E199" s="133" t="s">
        <v>283</v>
      </c>
      <c r="F199" s="28"/>
      <c r="G199" s="54"/>
      <c r="H199" s="54"/>
      <c r="I199" s="54"/>
      <c r="J199" s="37">
        <v>1</v>
      </c>
      <c r="K199" s="40"/>
      <c r="L199" s="45"/>
      <c r="M199" s="45"/>
      <c r="N199" s="46"/>
      <c r="O199" s="30"/>
      <c r="P199" s="30"/>
    </row>
    <row r="200" spans="1:16" ht="25.15" customHeight="1" thickBot="1" x14ac:dyDescent="0.3">
      <c r="A200" s="50" t="s">
        <v>281</v>
      </c>
      <c r="B200" s="86" t="s">
        <v>232</v>
      </c>
      <c r="C200" s="35"/>
      <c r="D200" s="69" t="s">
        <v>282</v>
      </c>
      <c r="E200" s="133" t="s">
        <v>283</v>
      </c>
      <c r="F200" s="28"/>
      <c r="G200" s="54"/>
      <c r="H200" s="54"/>
      <c r="I200" s="54"/>
      <c r="J200" s="37">
        <v>1</v>
      </c>
      <c r="K200" s="40"/>
      <c r="L200" s="45"/>
      <c r="M200" s="45"/>
      <c r="N200" s="46"/>
      <c r="O200" s="30"/>
      <c r="P200" s="30"/>
    </row>
  </sheetData>
  <sortState xmlns:xlrd2="http://schemas.microsoft.com/office/spreadsheetml/2017/richdata2" ref="A2:P195">
    <sortCondition ref="D2:D195"/>
  </sortState>
  <phoneticPr fontId="22" type="noConversion"/>
  <pageMargins left="0.70866141732283472" right="0.70866141732283472" top="0.74803149606299213" bottom="0.74803149606299213" header="0.31496062992125984" footer="0.31496062992125984"/>
  <pageSetup scale="4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28</vt:i4>
      </vt:variant>
    </vt:vector>
  </HeadingPairs>
  <TitlesOfParts>
    <vt:vector size="28" baseType="lpstr">
      <vt:lpstr>atributos CONSULTA</vt:lpstr>
      <vt:lpstr>6,2 NO GES ONCO</vt:lpstr>
      <vt:lpstr>6,1 CUMPLIMIENTO GES ONCO</vt:lpstr>
      <vt:lpstr>5,2 SUPERV ECPRI</vt:lpstr>
      <vt:lpstr>4,7 PROCED DISCIPLINARIOS</vt:lpstr>
      <vt:lpstr>4,6 IND AUSENTISMO</vt:lpstr>
      <vt:lpstr>4,5 GASTO PERSONAS NATURALES </vt:lpstr>
      <vt:lpstr>4,4 GESTION DE DESASTRES</vt:lpstr>
      <vt:lpstr>3,2 EG TRANSIT  GES</vt:lpstr>
      <vt:lpstr>3,1 CUMPLIMIENTO GES</vt:lpstr>
      <vt:lpstr>2,10 POT DONANTES</vt:lpstr>
      <vt:lpstr>2,8 PAC PD </vt:lpstr>
      <vt:lpstr>2,7 FAV EN IRC</vt:lpstr>
      <vt:lpstr>2.3 CESAREA</vt:lpstr>
      <vt:lpstr>1,15 CAMAS DISPONIBLES</vt:lpstr>
      <vt:lpstr>1,13 HODOM </vt:lpstr>
      <vt:lpstr>1,11 HOSP URG</vt:lpstr>
      <vt:lpstr>1,10 AT C2</vt:lpstr>
      <vt:lpstr>1,9 ABANDONO URG</vt:lpstr>
      <vt:lpstr>1,8 NSP CONTROL</vt:lpstr>
      <vt:lpstr>1,8 NSP CN</vt:lpstr>
      <vt:lpstr>1,7 ALTAS</vt:lpstr>
      <vt:lpstr>1,6 CN</vt:lpstr>
      <vt:lpstr>AT AMBULATORIA TODO POR MES</vt:lpstr>
      <vt:lpstr>1,2 SUSP CX</vt:lpstr>
      <vt:lpstr>1,1 AMB CMA</vt:lpstr>
      <vt:lpstr>resumen gonzalo</vt:lpstr>
      <vt:lpstr>LISTAS DE ESPERA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Pérez Sanhueza</dc:creator>
  <cp:lastModifiedBy>Gonzalo Pérez sanhueza</cp:lastModifiedBy>
  <cp:lastPrinted>2026-05-28T16:20:53Z</cp:lastPrinted>
  <dcterms:created xsi:type="dcterms:W3CDTF">2024-05-03T18:57:58Z</dcterms:created>
  <dcterms:modified xsi:type="dcterms:W3CDTF">2026-07-31T16:20:01Z</dcterms:modified>
</cp:coreProperties>
</file>