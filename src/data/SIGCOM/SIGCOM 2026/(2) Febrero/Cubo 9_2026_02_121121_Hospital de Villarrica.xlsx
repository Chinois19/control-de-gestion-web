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2)Febrero\Nuevos formatos para enviar al minsal\"/>
    </mc:Choice>
  </mc:AlternateContent>
  <xr:revisionPtr revIDLastSave="0" documentId="13_ncr:1_{FBCCC73C-FE33-4F9F-8FEF-8594DD4819E0}" xr6:coauthVersionLast="47" xr6:coauthVersionMax="47" xr10:uidLastSave="{00000000-0000-0000-0000-000000000000}"/>
  <bookViews>
    <workbookView xWindow="-120" yWindow="-120" windowWidth="29040" windowHeight="15720" xr2:uid="{9D14BEA1-89DB-4A5C-9D81-97E5E5A56352}"/>
  </bookViews>
  <sheets>
    <sheet name="Cubo 9" sheetId="1" r:id="rId1"/>
    <sheet name="Hoja2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4" i="2"/>
</calcChain>
</file>

<file path=xl/sharedStrings.xml><?xml version="1.0" encoding="utf-8"?>
<sst xmlns="http://schemas.openxmlformats.org/spreadsheetml/2006/main" count="222" uniqueCount="179">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</sst>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41" fontId="0" fillId="0" borderId="0" xfId="0" applyNumberFormat="1"/>
  </cellXfs>
  <cellStyles count="3">
    <cellStyle name="Millares [0]" xfId="1" builtinId="6"/>
    <cellStyle name="Normal" xfId="0" builtinId="0"/>
    <cellStyle name="Normal 2" xfId="2" xr:uid="{2D552DCC-7DBE-4B75-9870-8154E9957911}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B2B6-3B6E-4E83-A0BF-E2A2BCD13002}">
  <dimension ref="A2:CR120"/>
  <sheetViews>
    <sheetView tabSelected="1" workbookViewId="0">
      <pane xSplit="2" ySplit="3" topLeftCell="BA4" activePane="bottomRight" state="frozen"/>
      <selection pane="topRight" activeCell="C1" sqref="C1"/>
      <selection pane="bottomLeft" activeCell="A4" sqref="A4"/>
      <selection pane="bottomRight" activeCell="BC11" sqref="BC11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95" width="20.7109375" style="10" customWidth="1"/>
    <col min="96" max="96" width="20.7109375" customWidth="1"/>
  </cols>
  <sheetData>
    <row r="2" spans="2:96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613</v>
      </c>
      <c r="AG2" s="1">
        <v>618</v>
      </c>
      <c r="AH2" s="1">
        <v>620</v>
      </c>
      <c r="AI2" s="1">
        <v>621</v>
      </c>
      <c r="AJ2" s="1">
        <v>622</v>
      </c>
      <c r="AK2" s="1">
        <v>623</v>
      </c>
      <c r="AL2" s="1">
        <v>625</v>
      </c>
      <c r="AM2" s="1">
        <v>628</v>
      </c>
      <c r="AN2" s="1">
        <v>629</v>
      </c>
      <c r="AO2" s="1">
        <v>631</v>
      </c>
      <c r="AP2" s="1">
        <v>633</v>
      </c>
      <c r="AQ2" s="1">
        <v>635</v>
      </c>
      <c r="AR2" s="1">
        <v>636</v>
      </c>
      <c r="AS2" s="1">
        <v>650</v>
      </c>
      <c r="AT2" s="1">
        <v>651</v>
      </c>
      <c r="AU2" s="1">
        <v>653</v>
      </c>
      <c r="AV2" s="1">
        <v>655</v>
      </c>
      <c r="AW2" s="1">
        <v>656</v>
      </c>
      <c r="AX2" s="1">
        <v>657</v>
      </c>
      <c r="AY2" s="1">
        <v>658</v>
      </c>
      <c r="AZ2" s="1">
        <v>659</v>
      </c>
      <c r="BA2" s="1">
        <v>680</v>
      </c>
      <c r="BB2" s="1">
        <v>691</v>
      </c>
      <c r="BC2" s="1">
        <v>701</v>
      </c>
      <c r="BD2" s="1">
        <v>702</v>
      </c>
      <c r="BE2" s="1">
        <v>704</v>
      </c>
      <c r="BF2" s="1">
        <v>705</v>
      </c>
      <c r="BG2" s="1">
        <v>706</v>
      </c>
      <c r="BH2" s="1">
        <v>801</v>
      </c>
      <c r="BI2" s="1">
        <v>803</v>
      </c>
      <c r="BJ2" s="1">
        <v>804</v>
      </c>
      <c r="BK2" s="1">
        <v>902</v>
      </c>
      <c r="BL2" s="1">
        <v>910</v>
      </c>
      <c r="BM2" s="1">
        <v>1003</v>
      </c>
      <c r="BN2" s="1">
        <v>1004</v>
      </c>
      <c r="BO2" s="1">
        <v>1005</v>
      </c>
      <c r="BP2" s="1">
        <v>1008</v>
      </c>
      <c r="BQ2" s="1">
        <v>1013</v>
      </c>
      <c r="BR2" s="1">
        <v>1014</v>
      </c>
      <c r="BS2" s="1">
        <v>1016</v>
      </c>
      <c r="BT2" s="1">
        <v>1017</v>
      </c>
      <c r="BU2" s="1">
        <v>1018</v>
      </c>
      <c r="BV2" s="1">
        <v>1021</v>
      </c>
      <c r="BW2" s="1">
        <v>1022</v>
      </c>
      <c r="BX2" s="1">
        <v>1040</v>
      </c>
      <c r="BY2" s="1">
        <v>1060</v>
      </c>
      <c r="BZ2" s="1">
        <v>1101</v>
      </c>
      <c r="CA2" s="1">
        <v>1201</v>
      </c>
      <c r="CB2" s="1">
        <v>1202</v>
      </c>
      <c r="CC2" s="1">
        <v>1205</v>
      </c>
      <c r="CD2" s="1">
        <v>1207</v>
      </c>
      <c r="CE2" s="1">
        <v>1210</v>
      </c>
      <c r="CF2" s="1">
        <v>1211</v>
      </c>
      <c r="CG2" s="1">
        <v>1212</v>
      </c>
      <c r="CH2" s="1">
        <v>1216</v>
      </c>
      <c r="CI2" s="1">
        <v>1217</v>
      </c>
      <c r="CJ2" s="1">
        <v>1218</v>
      </c>
      <c r="CK2" s="1">
        <v>1301</v>
      </c>
      <c r="CL2" s="1">
        <v>1303</v>
      </c>
      <c r="CM2" s="1">
        <v>1305</v>
      </c>
      <c r="CN2" s="1">
        <v>1306</v>
      </c>
      <c r="CO2" s="1">
        <v>1307</v>
      </c>
      <c r="CP2" s="1">
        <v>1308</v>
      </c>
      <c r="CQ2" s="1">
        <v>1350</v>
      </c>
      <c r="CR2" s="2"/>
    </row>
    <row r="3" spans="2:96" ht="51" x14ac:dyDescent="0.25">
      <c r="B3" s="18">
        <v>46113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3" t="s">
        <v>93</v>
      </c>
    </row>
    <row r="4" spans="2:96" ht="15.95" customHeight="1" x14ac:dyDescent="0.25">
      <c r="B4" s="11" t="s">
        <v>94</v>
      </c>
      <c r="C4" s="12">
        <v>229603347.20263541</v>
      </c>
      <c r="D4" s="12">
        <v>73759833.768610984</v>
      </c>
      <c r="E4" s="12">
        <v>124986593.84983233</v>
      </c>
      <c r="F4" s="12">
        <v>32738159.697765347</v>
      </c>
      <c r="G4" s="12">
        <v>14120717.267374303</v>
      </c>
      <c r="H4" s="12">
        <v>0</v>
      </c>
      <c r="I4" s="12">
        <v>0</v>
      </c>
      <c r="J4" s="12">
        <v>20801780.170446929</v>
      </c>
      <c r="K4" s="12">
        <v>12935299.318770945</v>
      </c>
      <c r="L4" s="12">
        <v>19622723.525586583</v>
      </c>
      <c r="M4" s="12">
        <v>0</v>
      </c>
      <c r="N4" s="12">
        <v>0</v>
      </c>
      <c r="O4" s="12">
        <v>1700633.1680380935</v>
      </c>
      <c r="P4" s="12">
        <v>0</v>
      </c>
      <c r="Q4" s="12">
        <v>13985916.687663678</v>
      </c>
      <c r="R4" s="12">
        <v>6851904.4256424597</v>
      </c>
      <c r="S4" s="12">
        <v>4592528.26960894</v>
      </c>
      <c r="T4" s="12">
        <v>50992838.360000007</v>
      </c>
      <c r="U4" s="12">
        <v>40473136.640000001</v>
      </c>
      <c r="V4" s="12">
        <v>32109247.150837995</v>
      </c>
      <c r="W4" s="12">
        <v>0</v>
      </c>
      <c r="X4" s="12">
        <v>233847626.45301723</v>
      </c>
      <c r="Y4" s="12">
        <v>0</v>
      </c>
      <c r="Z4" s="12">
        <v>20997119.094585899</v>
      </c>
      <c r="AA4" s="12">
        <v>16594350.039106144</v>
      </c>
      <c r="AB4" s="12">
        <v>1728500.033519553</v>
      </c>
      <c r="AC4" s="12">
        <v>3329761.005586592</v>
      </c>
      <c r="AD4" s="12">
        <v>69872185.572437406</v>
      </c>
      <c r="AE4" s="12">
        <v>1970933</v>
      </c>
      <c r="AF4" s="12">
        <v>0</v>
      </c>
      <c r="AG4" s="12">
        <v>0</v>
      </c>
      <c r="AH4" s="12">
        <v>21209318</v>
      </c>
      <c r="AI4" s="12">
        <v>10342068</v>
      </c>
      <c r="AJ4" s="12">
        <v>1684406.2122905029</v>
      </c>
      <c r="AK4" s="12">
        <v>0</v>
      </c>
      <c r="AL4" s="12">
        <v>690367.251396648</v>
      </c>
      <c r="AM4" s="12">
        <v>57790.391061452508</v>
      </c>
      <c r="AN4" s="12">
        <v>8579619.4939641356</v>
      </c>
      <c r="AO4" s="12">
        <v>1783920.5810055865</v>
      </c>
      <c r="AP4" s="12">
        <v>2675732.6131736529</v>
      </c>
      <c r="AQ4" s="12">
        <v>4284247.9050279334</v>
      </c>
      <c r="AR4" s="12">
        <v>369866.11339351762</v>
      </c>
      <c r="AS4" s="12">
        <v>0</v>
      </c>
      <c r="AT4" s="12">
        <v>10631766.425616723</v>
      </c>
      <c r="AU4" s="12">
        <v>5948750.3128491621</v>
      </c>
      <c r="AV4" s="12">
        <v>1956728.9162011174</v>
      </c>
      <c r="AW4" s="12">
        <v>363415.8379888268</v>
      </c>
      <c r="AX4" s="12">
        <v>1999029.7413793104</v>
      </c>
      <c r="AY4" s="12">
        <v>4335972.7430167599</v>
      </c>
      <c r="AZ4" s="12">
        <v>318037.5586592179</v>
      </c>
      <c r="BA4" s="12">
        <v>4335972.7430167599</v>
      </c>
      <c r="BB4" s="12">
        <v>2057022.7374301676</v>
      </c>
      <c r="BC4" s="12">
        <v>7850658.5746927401</v>
      </c>
      <c r="BD4" s="12">
        <v>50228469.634971514</v>
      </c>
      <c r="BE4" s="12">
        <v>30684195.979116168</v>
      </c>
      <c r="BF4" s="12">
        <v>4390182.121284917</v>
      </c>
      <c r="BG4" s="12">
        <v>13919748.713631287</v>
      </c>
      <c r="BH4" s="12">
        <v>1760553</v>
      </c>
      <c r="BI4" s="12">
        <v>18793799</v>
      </c>
      <c r="BJ4" s="12">
        <v>78771611.502793297</v>
      </c>
      <c r="BK4" s="12">
        <v>10925269</v>
      </c>
      <c r="BL4" s="12">
        <v>21915160.193145439</v>
      </c>
      <c r="BM4" s="12">
        <v>6888832</v>
      </c>
      <c r="BN4" s="12">
        <v>4433465</v>
      </c>
      <c r="BO4" s="12">
        <v>3694461.3966480447</v>
      </c>
      <c r="BP4" s="12">
        <v>7618991.4357541902</v>
      </c>
      <c r="BQ4" s="12">
        <v>13156338.452513965</v>
      </c>
      <c r="BR4" s="12">
        <v>6165512.0251497012</v>
      </c>
      <c r="BS4" s="12">
        <v>5310701</v>
      </c>
      <c r="BT4" s="12">
        <v>5581618</v>
      </c>
      <c r="BU4" s="12">
        <v>11356888.810055867</v>
      </c>
      <c r="BV4" s="12">
        <v>7536931.9162011165</v>
      </c>
      <c r="BW4" s="12">
        <v>3219179</v>
      </c>
      <c r="BX4" s="12">
        <v>15480110.587000187</v>
      </c>
      <c r="BY4" s="12">
        <v>8010641.1036871513</v>
      </c>
      <c r="BZ4" s="12">
        <v>53138179.466480441</v>
      </c>
      <c r="CA4" s="12">
        <v>13559637.533519555</v>
      </c>
      <c r="CB4" s="12">
        <v>0</v>
      </c>
      <c r="CC4" s="12">
        <v>13117224.547486033</v>
      </c>
      <c r="CD4" s="12">
        <v>74352955.994413406</v>
      </c>
      <c r="CE4" s="12">
        <v>79325542</v>
      </c>
      <c r="CF4" s="12">
        <v>0</v>
      </c>
      <c r="CG4" s="12">
        <v>6870613.5139664803</v>
      </c>
      <c r="CH4" s="12">
        <v>53666231</v>
      </c>
      <c r="CI4" s="12">
        <v>62103554</v>
      </c>
      <c r="CJ4" s="12">
        <v>78164173</v>
      </c>
      <c r="CK4" s="12">
        <v>0</v>
      </c>
      <c r="CL4" s="12">
        <v>62230562</v>
      </c>
      <c r="CM4" s="12">
        <v>12395736</v>
      </c>
      <c r="CN4" s="12">
        <v>6293742</v>
      </c>
      <c r="CO4" s="12">
        <v>38489122</v>
      </c>
      <c r="CP4" s="12">
        <v>0</v>
      </c>
      <c r="CQ4" s="12">
        <v>538639943.21894991</v>
      </c>
      <c r="CR4" s="4">
        <v>2541279703</v>
      </c>
    </row>
    <row r="5" spans="2:96" ht="15.95" customHeight="1" x14ac:dyDescent="0.25">
      <c r="B5" s="5" t="s">
        <v>95</v>
      </c>
      <c r="C5" s="6">
        <v>218588624.11117905</v>
      </c>
      <c r="D5" s="6">
        <v>70454815.38067995</v>
      </c>
      <c r="E5" s="6">
        <v>119792261.80008662</v>
      </c>
      <c r="F5" s="6">
        <v>31333752.505605839</v>
      </c>
      <c r="G5" s="6">
        <v>12803511.027199</v>
      </c>
      <c r="H5" s="6">
        <v>0</v>
      </c>
      <c r="I5" s="6">
        <v>0</v>
      </c>
      <c r="J5" s="6">
        <v>19572119.29044693</v>
      </c>
      <c r="K5" s="6">
        <v>12179319.12759776</v>
      </c>
      <c r="L5" s="6">
        <v>18456856.374413401</v>
      </c>
      <c r="M5" s="6">
        <v>0</v>
      </c>
      <c r="N5" s="6">
        <v>0</v>
      </c>
      <c r="O5" s="6">
        <v>1597018.176592157</v>
      </c>
      <c r="P5" s="6">
        <v>0</v>
      </c>
      <c r="Q5" s="6">
        <v>13025292.677831277</v>
      </c>
      <c r="R5" s="6">
        <v>6505811.272681566</v>
      </c>
      <c r="S5" s="6">
        <v>4348906.8566480456</v>
      </c>
      <c r="T5" s="6">
        <v>49002450.520000011</v>
      </c>
      <c r="U5" s="6">
        <v>38909260.479999997</v>
      </c>
      <c r="V5" s="6">
        <v>30201685.715083804</v>
      </c>
      <c r="W5" s="6">
        <v>0</v>
      </c>
      <c r="X5" s="6">
        <v>221723936.37775427</v>
      </c>
      <c r="Y5" s="6">
        <v>0</v>
      </c>
      <c r="Z5" s="6">
        <v>20500126.373915508</v>
      </c>
      <c r="AA5" s="6">
        <v>15242048.821229048</v>
      </c>
      <c r="AB5" s="6">
        <v>1587941.4525139665</v>
      </c>
      <c r="AC5" s="6">
        <v>3329761.005586592</v>
      </c>
      <c r="AD5" s="6">
        <v>67226021.438359186</v>
      </c>
      <c r="AE5" s="6">
        <v>1970933</v>
      </c>
      <c r="AF5" s="6">
        <v>0</v>
      </c>
      <c r="AG5" s="6">
        <v>0</v>
      </c>
      <c r="AH5" s="6">
        <v>19785199</v>
      </c>
      <c r="AI5" s="6">
        <v>9388144</v>
      </c>
      <c r="AJ5" s="6">
        <v>1684406.2122905029</v>
      </c>
      <c r="AK5" s="6">
        <v>0</v>
      </c>
      <c r="AL5" s="6">
        <v>690367.251396648</v>
      </c>
      <c r="AM5" s="6">
        <v>57790.391061452508</v>
      </c>
      <c r="AN5" s="6">
        <v>7989649.1792788208</v>
      </c>
      <c r="AO5" s="6">
        <v>1783920.5810055865</v>
      </c>
      <c r="AP5" s="6">
        <v>2467162.0143712577</v>
      </c>
      <c r="AQ5" s="6">
        <v>3767189.4078212292</v>
      </c>
      <c r="AR5" s="6">
        <v>324478.37110443722</v>
      </c>
      <c r="AS5" s="6">
        <v>0</v>
      </c>
      <c r="AT5" s="6">
        <v>9606309.6323206332</v>
      </c>
      <c r="AU5" s="6">
        <v>5730496.2625698326</v>
      </c>
      <c r="AV5" s="6">
        <v>1956728.9162011174</v>
      </c>
      <c r="AW5" s="6">
        <v>363415.8379888268</v>
      </c>
      <c r="AX5" s="6">
        <v>1756574.1379310344</v>
      </c>
      <c r="AY5" s="6">
        <v>3968638.8770949719</v>
      </c>
      <c r="AZ5" s="6">
        <v>318037.5586592179</v>
      </c>
      <c r="BA5" s="6">
        <v>3968638.8770949719</v>
      </c>
      <c r="BB5" s="6">
        <v>2057022.7374301676</v>
      </c>
      <c r="BC5" s="6">
        <v>7333264.402402238</v>
      </c>
      <c r="BD5" s="6">
        <v>47271784.325023383</v>
      </c>
      <c r="BE5" s="6">
        <v>28836286.710493416</v>
      </c>
      <c r="BF5" s="6">
        <v>4077731.4289944144</v>
      </c>
      <c r="BG5" s="6">
        <v>13099974.793631287</v>
      </c>
      <c r="BH5" s="6">
        <v>1760553</v>
      </c>
      <c r="BI5" s="6">
        <v>16636565</v>
      </c>
      <c r="BJ5" s="6">
        <v>72804470.798882678</v>
      </c>
      <c r="BK5" s="6">
        <v>10462476</v>
      </c>
      <c r="BL5" s="6">
        <v>21335703.902642649</v>
      </c>
      <c r="BM5" s="6">
        <v>4846973</v>
      </c>
      <c r="BN5" s="6">
        <v>4169013</v>
      </c>
      <c r="BO5" s="6">
        <v>3694461.3966480447</v>
      </c>
      <c r="BP5" s="6">
        <v>7306982.7039106144</v>
      </c>
      <c r="BQ5" s="6">
        <v>11891517.15642458</v>
      </c>
      <c r="BR5" s="6">
        <v>6059622.3365269462</v>
      </c>
      <c r="BS5" s="6">
        <v>4555616</v>
      </c>
      <c r="BT5" s="6">
        <v>5198824</v>
      </c>
      <c r="BU5" s="6">
        <v>10850462.810055867</v>
      </c>
      <c r="BV5" s="6">
        <v>7250806.7877094969</v>
      </c>
      <c r="BW5" s="6">
        <v>3219179</v>
      </c>
      <c r="BX5" s="6">
        <v>14171847.760184545</v>
      </c>
      <c r="BY5" s="6">
        <v>7874818.3836871516</v>
      </c>
      <c r="BZ5" s="6">
        <v>50519777.754189938</v>
      </c>
      <c r="CA5" s="6">
        <v>12612626.245810056</v>
      </c>
      <c r="CB5" s="6">
        <v>0</v>
      </c>
      <c r="CC5" s="6">
        <v>12086877.092178771</v>
      </c>
      <c r="CD5" s="6">
        <v>69505873.120111734</v>
      </c>
      <c r="CE5" s="6">
        <v>76285213</v>
      </c>
      <c r="CF5" s="6">
        <v>0</v>
      </c>
      <c r="CG5" s="6">
        <v>6445287.5139664803</v>
      </c>
      <c r="CH5" s="6">
        <v>50059737</v>
      </c>
      <c r="CI5" s="6">
        <v>56818419</v>
      </c>
      <c r="CJ5" s="6">
        <v>74734899</v>
      </c>
      <c r="CK5" s="6">
        <v>0</v>
      </c>
      <c r="CL5" s="6">
        <v>59528319</v>
      </c>
      <c r="CM5" s="6">
        <v>11364898</v>
      </c>
      <c r="CN5" s="6">
        <v>6172094</v>
      </c>
      <c r="CO5" s="6">
        <v>36552843</v>
      </c>
      <c r="CP5" s="6">
        <v>0</v>
      </c>
      <c r="CQ5" s="6">
        <v>512549784.54550076</v>
      </c>
      <c r="CR5" s="6">
        <v>2405962206</v>
      </c>
    </row>
    <row r="6" spans="2:96" ht="15.95" customHeight="1" x14ac:dyDescent="0.25">
      <c r="B6" s="5" t="s">
        <v>96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388641</v>
      </c>
      <c r="CR6" s="6">
        <v>388641</v>
      </c>
    </row>
    <row r="7" spans="2:96" ht="15.95" customHeight="1" x14ac:dyDescent="0.25">
      <c r="B7" s="5" t="s">
        <v>97</v>
      </c>
      <c r="C7" s="6">
        <v>1739442.3620689653</v>
      </c>
      <c r="D7" s="6">
        <v>579814.12068965519</v>
      </c>
      <c r="E7" s="6">
        <v>116661.10344827586</v>
      </c>
      <c r="F7" s="6">
        <v>25924.689655172406</v>
      </c>
      <c r="G7" s="6">
        <v>638319.72413793101</v>
      </c>
      <c r="H7" s="6">
        <v>0</v>
      </c>
      <c r="I7" s="6">
        <v>0</v>
      </c>
      <c r="J7" s="6">
        <v>424402.68</v>
      </c>
      <c r="K7" s="6">
        <v>247568.23000000004</v>
      </c>
      <c r="L7" s="6">
        <v>389035.79000000004</v>
      </c>
      <c r="M7" s="6">
        <v>0</v>
      </c>
      <c r="N7" s="6">
        <v>0</v>
      </c>
      <c r="O7" s="6">
        <v>35366.89</v>
      </c>
      <c r="P7" s="6">
        <v>0</v>
      </c>
      <c r="Q7" s="6">
        <v>438823.54111731844</v>
      </c>
      <c r="R7" s="6">
        <v>106100.67</v>
      </c>
      <c r="S7" s="6">
        <v>70733.78</v>
      </c>
      <c r="T7" s="6">
        <v>765805.04</v>
      </c>
      <c r="U7" s="6">
        <v>601703.96</v>
      </c>
      <c r="V7" s="6">
        <v>508711.71508379886</v>
      </c>
      <c r="W7" s="6">
        <v>0</v>
      </c>
      <c r="X7" s="6">
        <v>1495909.1981981983</v>
      </c>
      <c r="Y7" s="6">
        <v>0</v>
      </c>
      <c r="Z7" s="6">
        <v>0</v>
      </c>
      <c r="AA7" s="6">
        <v>614967.90502793295</v>
      </c>
      <c r="AB7" s="6">
        <v>0</v>
      </c>
      <c r="AC7" s="6">
        <v>0</v>
      </c>
      <c r="AD7" s="6">
        <v>167024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105640.17964071856</v>
      </c>
      <c r="AQ7" s="6">
        <v>0</v>
      </c>
      <c r="AR7" s="6">
        <v>0</v>
      </c>
      <c r="AS7" s="6">
        <v>0</v>
      </c>
      <c r="AT7" s="6">
        <v>672052.0446927374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141467.56</v>
      </c>
      <c r="BD7" s="6">
        <v>1064309.8512290502</v>
      </c>
      <c r="BE7" s="6">
        <v>654869.83658682648</v>
      </c>
      <c r="BF7" s="6">
        <v>70733.78</v>
      </c>
      <c r="BG7" s="6">
        <v>282935.12</v>
      </c>
      <c r="BH7" s="6">
        <v>0</v>
      </c>
      <c r="BI7" s="6">
        <v>937196</v>
      </c>
      <c r="BJ7" s="6">
        <v>678535</v>
      </c>
      <c r="BK7" s="6">
        <v>198341</v>
      </c>
      <c r="BL7" s="6">
        <v>177288.04469273743</v>
      </c>
      <c r="BM7" s="6">
        <v>2041859</v>
      </c>
      <c r="BN7" s="6">
        <v>0</v>
      </c>
      <c r="BO7" s="6">
        <v>0</v>
      </c>
      <c r="BP7" s="6">
        <v>0</v>
      </c>
      <c r="BQ7" s="6">
        <v>0</v>
      </c>
      <c r="BR7" s="6">
        <v>53632.706586826345</v>
      </c>
      <c r="BS7" s="6">
        <v>490633</v>
      </c>
      <c r="BT7" s="6">
        <v>0</v>
      </c>
      <c r="BU7" s="6">
        <v>0</v>
      </c>
      <c r="BV7" s="6">
        <v>0</v>
      </c>
      <c r="BW7" s="6">
        <v>0</v>
      </c>
      <c r="BX7" s="6">
        <v>986279.82122905029</v>
      </c>
      <c r="BY7" s="6">
        <v>0</v>
      </c>
      <c r="BZ7" s="6">
        <v>304843.57541899441</v>
      </c>
      <c r="CA7" s="6">
        <v>301456.42458100559</v>
      </c>
      <c r="CB7" s="6">
        <v>0</v>
      </c>
      <c r="CC7" s="6">
        <v>0</v>
      </c>
      <c r="CD7" s="6">
        <v>909220</v>
      </c>
      <c r="CE7" s="6">
        <v>0</v>
      </c>
      <c r="CF7" s="6">
        <v>0</v>
      </c>
      <c r="CG7" s="6">
        <v>0</v>
      </c>
      <c r="CH7" s="6">
        <v>1935020</v>
      </c>
      <c r="CI7" s="6">
        <v>3275094</v>
      </c>
      <c r="CJ7" s="6">
        <v>0</v>
      </c>
      <c r="CK7" s="6">
        <v>0</v>
      </c>
      <c r="CL7" s="6">
        <v>801984</v>
      </c>
      <c r="CM7" s="6">
        <v>0</v>
      </c>
      <c r="CN7" s="6">
        <v>0</v>
      </c>
      <c r="CO7" s="6">
        <v>0</v>
      </c>
      <c r="CP7" s="6">
        <v>0</v>
      </c>
      <c r="CQ7" s="6">
        <v>4602616.655914804</v>
      </c>
      <c r="CR7" s="6">
        <v>29652323</v>
      </c>
    </row>
    <row r="8" spans="2:96" ht="15.95" customHeight="1" x14ac:dyDescent="0.25">
      <c r="B8" s="5" t="s">
        <v>98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2:96" ht="15.95" customHeight="1" x14ac:dyDescent="0.25">
      <c r="B9" s="13" t="s">
        <v>99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</row>
    <row r="10" spans="2:96" ht="15.95" customHeight="1" x14ac:dyDescent="0.25">
      <c r="B10" s="13" t="s">
        <v>100</v>
      </c>
      <c r="C10" s="6">
        <v>9275280.7293874025</v>
      </c>
      <c r="D10" s="6">
        <v>2725204.2672413792</v>
      </c>
      <c r="E10" s="6">
        <v>5077670.9462974379</v>
      </c>
      <c r="F10" s="6">
        <v>1378482.5025043346</v>
      </c>
      <c r="G10" s="6">
        <v>678886.51603737241</v>
      </c>
      <c r="H10" s="6">
        <v>0</v>
      </c>
      <c r="I10" s="6">
        <v>0</v>
      </c>
      <c r="J10" s="6">
        <v>805258.20000000007</v>
      </c>
      <c r="K10" s="6">
        <v>508411.96117318439</v>
      </c>
      <c r="L10" s="6">
        <v>776831.36117318424</v>
      </c>
      <c r="M10" s="6">
        <v>0</v>
      </c>
      <c r="N10" s="6">
        <v>0</v>
      </c>
      <c r="O10" s="6">
        <v>68248.101445936671</v>
      </c>
      <c r="P10" s="6">
        <v>0</v>
      </c>
      <c r="Q10" s="6">
        <v>521800.46871508379</v>
      </c>
      <c r="R10" s="6">
        <v>239992.48296089389</v>
      </c>
      <c r="S10" s="6">
        <v>172887.63296089391</v>
      </c>
      <c r="T10" s="6">
        <v>1224582.8</v>
      </c>
      <c r="U10" s="6">
        <v>962172.2</v>
      </c>
      <c r="V10" s="6">
        <v>1398849.7206703911</v>
      </c>
      <c r="W10" s="6">
        <v>0</v>
      </c>
      <c r="X10" s="6">
        <v>10627780.877064772</v>
      </c>
      <c r="Y10" s="6">
        <v>0</v>
      </c>
      <c r="Z10" s="6">
        <v>496992.72067039105</v>
      </c>
      <c r="AA10" s="6">
        <v>737333.31284916191</v>
      </c>
      <c r="AB10" s="6">
        <v>140558.5810055866</v>
      </c>
      <c r="AC10" s="6">
        <v>0</v>
      </c>
      <c r="AD10" s="6">
        <v>2479140.1340782125</v>
      </c>
      <c r="AE10" s="6">
        <v>0</v>
      </c>
      <c r="AF10" s="6">
        <v>0</v>
      </c>
      <c r="AG10" s="6">
        <v>0</v>
      </c>
      <c r="AH10" s="6">
        <v>1424119</v>
      </c>
      <c r="AI10" s="6">
        <v>953924</v>
      </c>
      <c r="AJ10" s="6">
        <v>0</v>
      </c>
      <c r="AK10" s="6">
        <v>0</v>
      </c>
      <c r="AL10" s="6">
        <v>0</v>
      </c>
      <c r="AM10" s="6">
        <v>0</v>
      </c>
      <c r="AN10" s="6">
        <v>589970.31468531466</v>
      </c>
      <c r="AO10" s="6">
        <v>0</v>
      </c>
      <c r="AP10" s="6">
        <v>102930.41916167665</v>
      </c>
      <c r="AQ10" s="6">
        <v>517058.49720670393</v>
      </c>
      <c r="AR10" s="6">
        <v>45387.742289080394</v>
      </c>
      <c r="AS10" s="6">
        <v>0</v>
      </c>
      <c r="AT10" s="6">
        <v>353404.74860335194</v>
      </c>
      <c r="AU10" s="6">
        <v>218254.05027932959</v>
      </c>
      <c r="AV10" s="6">
        <v>0</v>
      </c>
      <c r="AW10" s="6">
        <v>0</v>
      </c>
      <c r="AX10" s="6">
        <v>242455.60344827586</v>
      </c>
      <c r="AY10" s="6">
        <v>367333.86592178768</v>
      </c>
      <c r="AZ10" s="6">
        <v>0</v>
      </c>
      <c r="BA10" s="6">
        <v>367333.86592178768</v>
      </c>
      <c r="BB10" s="6">
        <v>0</v>
      </c>
      <c r="BC10" s="6">
        <v>375926.61229050293</v>
      </c>
      <c r="BD10" s="6">
        <v>1892375.4587190836</v>
      </c>
      <c r="BE10" s="6">
        <v>1193039.4320359281</v>
      </c>
      <c r="BF10" s="6">
        <v>241716.91229050283</v>
      </c>
      <c r="BG10" s="6">
        <v>536838.79999999993</v>
      </c>
      <c r="BH10" s="6">
        <v>0</v>
      </c>
      <c r="BI10" s="6">
        <v>1220038</v>
      </c>
      <c r="BJ10" s="6">
        <v>5288605.7039106144</v>
      </c>
      <c r="BK10" s="6">
        <v>264452</v>
      </c>
      <c r="BL10" s="6">
        <v>402168.24581005587</v>
      </c>
      <c r="BM10" s="6">
        <v>0</v>
      </c>
      <c r="BN10" s="6">
        <v>264452</v>
      </c>
      <c r="BO10" s="6">
        <v>0</v>
      </c>
      <c r="BP10" s="6">
        <v>312008.73184357543</v>
      </c>
      <c r="BQ10" s="6">
        <v>1264821.2960893854</v>
      </c>
      <c r="BR10" s="6">
        <v>52256.982035928144</v>
      </c>
      <c r="BS10" s="6">
        <v>264452</v>
      </c>
      <c r="BT10" s="6">
        <v>382794</v>
      </c>
      <c r="BU10" s="6">
        <v>506426</v>
      </c>
      <c r="BV10" s="6">
        <v>286125.12849162007</v>
      </c>
      <c r="BW10" s="6">
        <v>0</v>
      </c>
      <c r="BX10" s="6">
        <v>321983.00558659219</v>
      </c>
      <c r="BY10" s="6">
        <v>135822.72</v>
      </c>
      <c r="BZ10" s="6">
        <v>2313558.1368715083</v>
      </c>
      <c r="CA10" s="6">
        <v>645554.86312849168</v>
      </c>
      <c r="CB10" s="6">
        <v>0</v>
      </c>
      <c r="CC10" s="6">
        <v>1030347.4553072626</v>
      </c>
      <c r="CD10" s="6">
        <v>3937862.8743016762</v>
      </c>
      <c r="CE10" s="6">
        <v>3040329</v>
      </c>
      <c r="CF10" s="6">
        <v>0</v>
      </c>
      <c r="CG10" s="6">
        <v>425326</v>
      </c>
      <c r="CH10" s="6">
        <v>1671474</v>
      </c>
      <c r="CI10" s="6">
        <v>2010041</v>
      </c>
      <c r="CJ10" s="6">
        <v>3429274</v>
      </c>
      <c r="CK10" s="6">
        <v>0</v>
      </c>
      <c r="CL10" s="6">
        <v>1900259</v>
      </c>
      <c r="CM10" s="6">
        <v>1030838</v>
      </c>
      <c r="CN10" s="6">
        <v>121648</v>
      </c>
      <c r="CO10" s="6">
        <v>1936279</v>
      </c>
      <c r="CP10" s="6">
        <v>0</v>
      </c>
      <c r="CQ10" s="6">
        <v>21098901.017534345</v>
      </c>
      <c r="CR10" s="6">
        <v>105276533</v>
      </c>
    </row>
    <row r="11" spans="2:96" ht="15.95" customHeight="1" x14ac:dyDescent="0.25">
      <c r="B11" s="13" t="s">
        <v>101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</row>
    <row r="12" spans="2:96" ht="15.95" customHeight="1" x14ac:dyDescent="0.25">
      <c r="B12" s="13" t="s">
        <v>102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2:96" ht="15.95" customHeight="1" x14ac:dyDescent="0.25">
      <c r="B13" s="13" t="s">
        <v>103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</row>
    <row r="14" spans="2:96" ht="15.95" customHeight="1" x14ac:dyDescent="0.25">
      <c r="B14" s="11" t="s">
        <v>104</v>
      </c>
      <c r="C14" s="12">
        <v>35788261.497367613</v>
      </c>
      <c r="D14" s="12">
        <v>15803219.190741323</v>
      </c>
      <c r="E14" s="12">
        <v>6358877.0975629119</v>
      </c>
      <c r="F14" s="12">
        <v>1315629.744323361</v>
      </c>
      <c r="G14" s="12">
        <v>11407758.243723288</v>
      </c>
      <c r="H14" s="12">
        <v>0</v>
      </c>
      <c r="I14" s="12">
        <v>0</v>
      </c>
      <c r="J14" s="12">
        <v>2470573.0987630566</v>
      </c>
      <c r="K14" s="12">
        <v>2225919.0987630566</v>
      </c>
      <c r="L14" s="12">
        <v>2392284.0987630566</v>
      </c>
      <c r="M14" s="12">
        <v>0</v>
      </c>
      <c r="N14" s="12">
        <v>0</v>
      </c>
      <c r="O14" s="12">
        <v>1981265.0987630566</v>
      </c>
      <c r="P14" s="12">
        <v>0</v>
      </c>
      <c r="Q14" s="12">
        <v>2216133.0987630566</v>
      </c>
      <c r="R14" s="12">
        <v>2059554.0987630566</v>
      </c>
      <c r="S14" s="12">
        <v>2030196.0987630566</v>
      </c>
      <c r="T14" s="12">
        <v>9999016.4810778704</v>
      </c>
      <c r="U14" s="12">
        <v>16094718.110300323</v>
      </c>
      <c r="V14" s="12">
        <v>3993876.0095530599</v>
      </c>
      <c r="W14" s="12">
        <v>0</v>
      </c>
      <c r="X14" s="12">
        <v>28473850.023074538</v>
      </c>
      <c r="Y14" s="12">
        <v>0</v>
      </c>
      <c r="Z14" s="12">
        <v>5173602.6133006886</v>
      </c>
      <c r="AA14" s="12">
        <v>642152.6133006881</v>
      </c>
      <c r="AB14" s="12">
        <v>642152.6133006881</v>
      </c>
      <c r="AC14" s="12">
        <v>642152.6133006881</v>
      </c>
      <c r="AD14" s="12">
        <v>12357522.241322998</v>
      </c>
      <c r="AE14" s="12">
        <v>642152.6133006881</v>
      </c>
      <c r="AF14" s="12">
        <v>0</v>
      </c>
      <c r="AG14" s="12">
        <v>0</v>
      </c>
      <c r="AH14" s="12">
        <v>1221656.1911574064</v>
      </c>
      <c r="AI14" s="12">
        <v>4975652.6133006886</v>
      </c>
      <c r="AJ14" s="12">
        <v>642152.61330068822</v>
      </c>
      <c r="AK14" s="12">
        <v>0</v>
      </c>
      <c r="AL14" s="12">
        <v>642152.6133006881</v>
      </c>
      <c r="AM14" s="12">
        <v>642152.6133006881</v>
      </c>
      <c r="AN14" s="12">
        <v>642152.6133006881</v>
      </c>
      <c r="AO14" s="12">
        <v>642152.6133006881</v>
      </c>
      <c r="AP14" s="12">
        <v>642152.6133006881</v>
      </c>
      <c r="AQ14" s="12">
        <v>642152.6133006881</v>
      </c>
      <c r="AR14" s="12">
        <v>642152.6133006881</v>
      </c>
      <c r="AS14" s="12">
        <v>0</v>
      </c>
      <c r="AT14" s="12">
        <v>642152.6133006881</v>
      </c>
      <c r="AU14" s="12">
        <v>642152.6133006881</v>
      </c>
      <c r="AV14" s="12">
        <v>642152.6133006881</v>
      </c>
      <c r="AW14" s="12">
        <v>642152.6133006881</v>
      </c>
      <c r="AX14" s="12">
        <v>26939.040096618359</v>
      </c>
      <c r="AY14" s="12">
        <v>642152.6133006881</v>
      </c>
      <c r="AZ14" s="12">
        <v>26939.040096618359</v>
      </c>
      <c r="BA14" s="12">
        <v>642152.6133006881</v>
      </c>
      <c r="BB14" s="12">
        <v>642152.6133006881</v>
      </c>
      <c r="BC14" s="12">
        <v>2118271.0987630566</v>
      </c>
      <c r="BD14" s="12">
        <v>3126247.0987630566</v>
      </c>
      <c r="BE14" s="12">
        <v>2666297.0987630566</v>
      </c>
      <c r="BF14" s="12">
        <v>2738246.0987630566</v>
      </c>
      <c r="BG14" s="12">
        <v>2265064.0987630566</v>
      </c>
      <c r="BH14" s="12">
        <v>234933.88291488591</v>
      </c>
      <c r="BI14" s="12">
        <v>234933.88291488591</v>
      </c>
      <c r="BJ14" s="12">
        <v>6170929.9912310028</v>
      </c>
      <c r="BK14" s="12">
        <v>3000000</v>
      </c>
      <c r="BL14" s="12">
        <v>3000000</v>
      </c>
      <c r="BM14" s="12">
        <v>2458974.6411758056</v>
      </c>
      <c r="BN14" s="12">
        <v>2458974.6411758056</v>
      </c>
      <c r="BO14" s="12">
        <v>2458974.6411758056</v>
      </c>
      <c r="BP14" s="12">
        <v>2458974.6411758056</v>
      </c>
      <c r="BQ14" s="12">
        <v>2458974.6411758056</v>
      </c>
      <c r="BR14" s="12">
        <v>2458974.6411758056</v>
      </c>
      <c r="BS14" s="12">
        <v>2458974.6411758056</v>
      </c>
      <c r="BT14" s="12">
        <v>4124945.6411758056</v>
      </c>
      <c r="BU14" s="12">
        <v>3666824.6411758056</v>
      </c>
      <c r="BV14" s="12">
        <v>3696293.0911942045</v>
      </c>
      <c r="BW14" s="12">
        <v>2458974.6411758056</v>
      </c>
      <c r="BX14" s="12">
        <v>2458974.6411758056</v>
      </c>
      <c r="BY14" s="12">
        <v>8645566.8912678007</v>
      </c>
      <c r="BZ14" s="12">
        <v>6862064.6411758056</v>
      </c>
      <c r="CA14" s="12">
        <v>4933611.5412126034</v>
      </c>
      <c r="CB14" s="12">
        <v>0</v>
      </c>
      <c r="CC14" s="12">
        <v>2458974.6411758056</v>
      </c>
      <c r="CD14" s="12">
        <v>9882885.341286201</v>
      </c>
      <c r="CE14" s="12">
        <v>4933611.5412126034</v>
      </c>
      <c r="CF14" s="12">
        <v>0</v>
      </c>
      <c r="CG14" s="12">
        <v>7568400</v>
      </c>
      <c r="CH14" s="12">
        <v>6170929.9912310028</v>
      </c>
      <c r="CI14" s="12">
        <v>1566225.8860992393</v>
      </c>
      <c r="CJ14" s="12">
        <v>9221092.250091996</v>
      </c>
      <c r="CK14" s="12">
        <v>0</v>
      </c>
      <c r="CL14" s="12">
        <v>16053815.332517203</v>
      </c>
      <c r="CM14" s="12">
        <v>6170929.9912310028</v>
      </c>
      <c r="CN14" s="12">
        <v>391556.47152480984</v>
      </c>
      <c r="CO14" s="12">
        <v>31444195.641175807</v>
      </c>
      <c r="CP14" s="12">
        <v>0</v>
      </c>
      <c r="CQ14" s="12">
        <v>254414352.23472092</v>
      </c>
      <c r="CR14" s="4">
        <v>610486313.27198064</v>
      </c>
    </row>
    <row r="15" spans="2:96" ht="15.95" customHeight="1" x14ac:dyDescent="0.25">
      <c r="B15" s="5" t="s">
        <v>105</v>
      </c>
      <c r="C15" s="6">
        <v>815456.67506907752</v>
      </c>
      <c r="D15" s="6">
        <v>360085.68277667364</v>
      </c>
      <c r="E15" s="6">
        <v>144890.77027485578</v>
      </c>
      <c r="F15" s="6">
        <v>29977.400746521886</v>
      </c>
      <c r="G15" s="6">
        <v>80296.609142469344</v>
      </c>
      <c r="H15" s="6">
        <v>0</v>
      </c>
      <c r="I15" s="6">
        <v>0</v>
      </c>
      <c r="J15" s="6">
        <v>44252.353482960883</v>
      </c>
      <c r="K15" s="6">
        <v>44252.353482960883</v>
      </c>
      <c r="L15" s="6">
        <v>44252.353482960883</v>
      </c>
      <c r="M15" s="6">
        <v>0</v>
      </c>
      <c r="N15" s="6">
        <v>0</v>
      </c>
      <c r="O15" s="6">
        <v>44252.353482960883</v>
      </c>
      <c r="P15" s="6">
        <v>0</v>
      </c>
      <c r="Q15" s="6">
        <v>44252.353482960883</v>
      </c>
      <c r="R15" s="6">
        <v>44252.353482960883</v>
      </c>
      <c r="S15" s="6">
        <v>44252.353482960883</v>
      </c>
      <c r="T15" s="6">
        <v>99924.669155072959</v>
      </c>
      <c r="U15" s="6">
        <v>266227.86853458721</v>
      </c>
      <c r="V15" s="6">
        <v>91002.823694798586</v>
      </c>
      <c r="W15" s="6">
        <v>0</v>
      </c>
      <c r="X15" s="6">
        <v>443951.03010325273</v>
      </c>
      <c r="Y15" s="6">
        <v>0</v>
      </c>
      <c r="Z15" s="6">
        <v>14631.826554849969</v>
      </c>
      <c r="AA15" s="6">
        <v>14631.826554849969</v>
      </c>
      <c r="AB15" s="6">
        <v>14631.826554849969</v>
      </c>
      <c r="AC15" s="6">
        <v>14631.826554849969</v>
      </c>
      <c r="AD15" s="6">
        <v>281573.44272625918</v>
      </c>
      <c r="AE15" s="6">
        <v>14631.826554849969</v>
      </c>
      <c r="AF15" s="6">
        <v>0</v>
      </c>
      <c r="AG15" s="6">
        <v>0</v>
      </c>
      <c r="AH15" s="6">
        <v>27836.157836056038</v>
      </c>
      <c r="AI15" s="6">
        <v>14631.826554849969</v>
      </c>
      <c r="AJ15" s="6">
        <v>14631.826554849969</v>
      </c>
      <c r="AK15" s="6">
        <v>0</v>
      </c>
      <c r="AL15" s="6">
        <v>14631.826554849969</v>
      </c>
      <c r="AM15" s="6">
        <v>14631.826554849969</v>
      </c>
      <c r="AN15" s="6">
        <v>14631.826554849969</v>
      </c>
      <c r="AO15" s="6">
        <v>14631.826554849969</v>
      </c>
      <c r="AP15" s="6">
        <v>14631.826554849969</v>
      </c>
      <c r="AQ15" s="6">
        <v>14631.826554849969</v>
      </c>
      <c r="AR15" s="6">
        <v>14631.826554849969</v>
      </c>
      <c r="AS15" s="6">
        <v>0</v>
      </c>
      <c r="AT15" s="6">
        <v>14631.826554849969</v>
      </c>
      <c r="AU15" s="6">
        <v>14631.826554849969</v>
      </c>
      <c r="AV15" s="6">
        <v>14631.826554849969</v>
      </c>
      <c r="AW15" s="6">
        <v>14631.826554849969</v>
      </c>
      <c r="AX15" s="6">
        <v>0</v>
      </c>
      <c r="AY15" s="6">
        <v>14631.826554849969</v>
      </c>
      <c r="AZ15" s="6">
        <v>0</v>
      </c>
      <c r="BA15" s="6">
        <v>14631.826554849969</v>
      </c>
      <c r="BB15" s="6">
        <v>14631.826554849969</v>
      </c>
      <c r="BC15" s="6">
        <v>44252.353482960883</v>
      </c>
      <c r="BD15" s="6">
        <v>44252.353482960883</v>
      </c>
      <c r="BE15" s="6">
        <v>44252.353482960883</v>
      </c>
      <c r="BF15" s="6">
        <v>44252.353482960883</v>
      </c>
      <c r="BG15" s="6">
        <v>44252.353482960883</v>
      </c>
      <c r="BH15" s="6">
        <v>5353.1072761646228</v>
      </c>
      <c r="BI15" s="6">
        <v>5353.1072761646228</v>
      </c>
      <c r="BJ15" s="6">
        <v>140608.28445392408</v>
      </c>
      <c r="BK15" s="6">
        <v>0</v>
      </c>
      <c r="BL15" s="6">
        <v>0</v>
      </c>
      <c r="BM15" s="6">
        <v>56029.189490523051</v>
      </c>
      <c r="BN15" s="6">
        <v>56029.189490523051</v>
      </c>
      <c r="BO15" s="6">
        <v>56029.189490523051</v>
      </c>
      <c r="BP15" s="6">
        <v>56029.189490523051</v>
      </c>
      <c r="BQ15" s="6">
        <v>56029.189490523051</v>
      </c>
      <c r="BR15" s="6">
        <v>56029.189490523051</v>
      </c>
      <c r="BS15" s="6">
        <v>56029.189490523051</v>
      </c>
      <c r="BT15" s="6">
        <v>56029.189490523051</v>
      </c>
      <c r="BU15" s="6">
        <v>56029.189490523051</v>
      </c>
      <c r="BV15" s="6">
        <v>84222.221144990064</v>
      </c>
      <c r="BW15" s="6">
        <v>56029.189490523051</v>
      </c>
      <c r="BX15" s="6">
        <v>56029.189490523051</v>
      </c>
      <c r="BY15" s="6">
        <v>196994.34776285812</v>
      </c>
      <c r="BZ15" s="6">
        <v>56029.189490523051</v>
      </c>
      <c r="CA15" s="6">
        <v>112415.25279945707</v>
      </c>
      <c r="CB15" s="6">
        <v>0</v>
      </c>
      <c r="CC15" s="6">
        <v>56029.189490523051</v>
      </c>
      <c r="CD15" s="6">
        <v>225187.37941732514</v>
      </c>
      <c r="CE15" s="6">
        <v>112415.25279945707</v>
      </c>
      <c r="CF15" s="6">
        <v>0</v>
      </c>
      <c r="CG15" s="6">
        <v>0</v>
      </c>
      <c r="CH15" s="6">
        <v>140608.28445392408</v>
      </c>
      <c r="CI15" s="6">
        <v>35687.381841097485</v>
      </c>
      <c r="CJ15" s="6">
        <v>140965.15827233507</v>
      </c>
      <c r="CK15" s="6">
        <v>0</v>
      </c>
      <c r="CL15" s="6">
        <v>365795.66387124918</v>
      </c>
      <c r="CM15" s="6">
        <v>140608.28445392408</v>
      </c>
      <c r="CN15" s="6">
        <v>8921.8454602743714</v>
      </c>
      <c r="CO15" s="6">
        <v>56029.189490523051</v>
      </c>
      <c r="CP15" s="6">
        <v>0</v>
      </c>
      <c r="CQ15" s="6">
        <v>1382886.0463425275</v>
      </c>
      <c r="CR15" s="6">
        <v>7361949.9999999963</v>
      </c>
    </row>
    <row r="16" spans="2:96" ht="15.95" customHeight="1" x14ac:dyDescent="0.25">
      <c r="B16" s="5" t="s">
        <v>106</v>
      </c>
      <c r="C16" s="6">
        <v>0</v>
      </c>
      <c r="D16" s="6">
        <v>0</v>
      </c>
      <c r="E16" s="6">
        <v>0</v>
      </c>
      <c r="F16" s="6">
        <v>0</v>
      </c>
      <c r="G16" s="6">
        <v>7883750</v>
      </c>
      <c r="H16" s="6">
        <v>0</v>
      </c>
      <c r="I16" s="6">
        <v>0</v>
      </c>
      <c r="J16" s="6">
        <v>528453</v>
      </c>
      <c r="K16" s="6">
        <v>283799</v>
      </c>
      <c r="L16" s="6">
        <v>450164</v>
      </c>
      <c r="M16" s="6">
        <v>0</v>
      </c>
      <c r="N16" s="6">
        <v>0</v>
      </c>
      <c r="O16" s="6">
        <v>39145</v>
      </c>
      <c r="P16" s="6">
        <v>0</v>
      </c>
      <c r="Q16" s="6">
        <v>274013</v>
      </c>
      <c r="R16" s="6">
        <v>117434</v>
      </c>
      <c r="S16" s="6">
        <v>88076</v>
      </c>
      <c r="T16" s="6">
        <v>5613584</v>
      </c>
      <c r="U16" s="6">
        <v>4410673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176151</v>
      </c>
      <c r="BD16" s="6">
        <v>1184127</v>
      </c>
      <c r="BE16" s="6">
        <v>724177</v>
      </c>
      <c r="BF16" s="6">
        <v>796126</v>
      </c>
      <c r="BG16" s="6">
        <v>322944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1665971</v>
      </c>
      <c r="BU16" s="6">
        <v>1207850</v>
      </c>
      <c r="BV16" s="6">
        <v>0</v>
      </c>
      <c r="BW16" s="6">
        <v>0</v>
      </c>
      <c r="BX16" s="6">
        <v>0</v>
      </c>
      <c r="BY16" s="6">
        <v>0</v>
      </c>
      <c r="BZ16" s="6">
        <v>4403090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7568400</v>
      </c>
      <c r="CH16" s="6">
        <v>0</v>
      </c>
      <c r="CI16" s="6">
        <v>0</v>
      </c>
      <c r="CJ16" s="6">
        <v>3034500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835309</v>
      </c>
      <c r="CR16" s="6">
        <v>41607736</v>
      </c>
    </row>
    <row r="17" spans="2:96" ht="15.95" customHeight="1" x14ac:dyDescent="0.25">
      <c r="B17" s="5" t="s">
        <v>107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</row>
    <row r="18" spans="2:96" ht="15.95" customHeight="1" x14ac:dyDescent="0.25">
      <c r="B18" s="5" t="s">
        <v>108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2:96" ht="15.95" customHeight="1" x14ac:dyDescent="0.25">
      <c r="B19" s="5" t="s">
        <v>109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</row>
    <row r="20" spans="2:96" ht="15.95" customHeight="1" x14ac:dyDescent="0.25">
      <c r="B20" s="5" t="s">
        <v>110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</row>
    <row r="21" spans="2:96" ht="15.95" customHeight="1" x14ac:dyDescent="0.25">
      <c r="B21" s="5" t="s">
        <v>111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</row>
    <row r="22" spans="2:96" ht="15.95" customHeight="1" x14ac:dyDescent="0.25">
      <c r="B22" s="5" t="s">
        <v>112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2:96" ht="15.95" customHeight="1" x14ac:dyDescent="0.25">
      <c r="B23" s="5" t="s">
        <v>113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4531450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4333500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28985221</v>
      </c>
      <c r="CP23" s="6">
        <v>0</v>
      </c>
      <c r="CQ23" s="6">
        <v>146894486</v>
      </c>
      <c r="CR23" s="6">
        <v>184744657</v>
      </c>
    </row>
    <row r="24" spans="2:96" ht="15.95" customHeight="1" x14ac:dyDescent="0.25">
      <c r="B24" s="5" t="s">
        <v>114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2:96" ht="15.95" customHeight="1" x14ac:dyDescent="0.25">
      <c r="B25" s="5" t="s">
        <v>115</v>
      </c>
      <c r="C25" s="6">
        <v>9275271.1939146724</v>
      </c>
      <c r="D25" s="6">
        <v>4095732.4440524746</v>
      </c>
      <c r="E25" s="6">
        <v>1648035.0567743359</v>
      </c>
      <c r="F25" s="6">
        <v>340972.77036710392</v>
      </c>
      <c r="G25" s="6">
        <v>913319.9206261714</v>
      </c>
      <c r="H25" s="6">
        <v>0</v>
      </c>
      <c r="I25" s="6">
        <v>0</v>
      </c>
      <c r="J25" s="6">
        <v>503340.75625620107</v>
      </c>
      <c r="K25" s="6">
        <v>503340.75625620107</v>
      </c>
      <c r="L25" s="6">
        <v>503340.75625620107</v>
      </c>
      <c r="M25" s="6">
        <v>0</v>
      </c>
      <c r="N25" s="6">
        <v>0</v>
      </c>
      <c r="O25" s="6">
        <v>503340.75625620107</v>
      </c>
      <c r="P25" s="6">
        <v>0</v>
      </c>
      <c r="Q25" s="6">
        <v>503340.75625620107</v>
      </c>
      <c r="R25" s="6">
        <v>503340.75625620107</v>
      </c>
      <c r="S25" s="6">
        <v>503340.75625620107</v>
      </c>
      <c r="T25" s="6">
        <v>1136575.9012236798</v>
      </c>
      <c r="U25" s="6">
        <v>3028162.936831661</v>
      </c>
      <c r="V25" s="6">
        <v>1035095.9100429942</v>
      </c>
      <c r="W25" s="6">
        <v>0</v>
      </c>
      <c r="X25" s="6">
        <v>5049644.3611509204</v>
      </c>
      <c r="Y25" s="6">
        <v>0</v>
      </c>
      <c r="Z25" s="6">
        <v>166427.18553632457</v>
      </c>
      <c r="AA25" s="6">
        <v>166427.18553632457</v>
      </c>
      <c r="AB25" s="6">
        <v>166427.18553632457</v>
      </c>
      <c r="AC25" s="6">
        <v>166427.18553632457</v>
      </c>
      <c r="AD25" s="6">
        <v>3202708.5216624406</v>
      </c>
      <c r="AE25" s="6">
        <v>166427.18553632457</v>
      </c>
      <c r="AF25" s="6">
        <v>0</v>
      </c>
      <c r="AG25" s="6">
        <v>0</v>
      </c>
      <c r="AH25" s="6">
        <v>316617.57248373935</v>
      </c>
      <c r="AI25" s="6">
        <v>166427.18553632457</v>
      </c>
      <c r="AJ25" s="6">
        <v>166427.18553632457</v>
      </c>
      <c r="AK25" s="6">
        <v>0</v>
      </c>
      <c r="AL25" s="6">
        <v>166427.18553632457</v>
      </c>
      <c r="AM25" s="6">
        <v>166427.18553632457</v>
      </c>
      <c r="AN25" s="6">
        <v>166427.18553632457</v>
      </c>
      <c r="AO25" s="6">
        <v>166427.18553632457</v>
      </c>
      <c r="AP25" s="6">
        <v>166427.18553632457</v>
      </c>
      <c r="AQ25" s="6">
        <v>166427.18553632457</v>
      </c>
      <c r="AR25" s="6">
        <v>166427.18553632457</v>
      </c>
      <c r="AS25" s="6">
        <v>0</v>
      </c>
      <c r="AT25" s="6">
        <v>166427.18553632457</v>
      </c>
      <c r="AU25" s="6">
        <v>166427.18553632457</v>
      </c>
      <c r="AV25" s="6">
        <v>166427.18553632457</v>
      </c>
      <c r="AW25" s="6">
        <v>166427.18553632457</v>
      </c>
      <c r="AX25" s="6">
        <v>0</v>
      </c>
      <c r="AY25" s="6">
        <v>166427.18553632457</v>
      </c>
      <c r="AZ25" s="6">
        <v>0</v>
      </c>
      <c r="BA25" s="6">
        <v>166427.18553632457</v>
      </c>
      <c r="BB25" s="6">
        <v>166427.18553632457</v>
      </c>
      <c r="BC25" s="6">
        <v>503340.75625620107</v>
      </c>
      <c r="BD25" s="6">
        <v>503340.75625620107</v>
      </c>
      <c r="BE25" s="6">
        <v>503340.75625620107</v>
      </c>
      <c r="BF25" s="6">
        <v>503340.75625620107</v>
      </c>
      <c r="BG25" s="6">
        <v>503340.75625620107</v>
      </c>
      <c r="BH25" s="6">
        <v>60887.994708411425</v>
      </c>
      <c r="BI25" s="6">
        <v>60887.994708411425</v>
      </c>
      <c r="BJ25" s="6">
        <v>1599324.6610076067</v>
      </c>
      <c r="BK25" s="6">
        <v>0</v>
      </c>
      <c r="BL25" s="6">
        <v>0</v>
      </c>
      <c r="BM25" s="6">
        <v>637294.34461470624</v>
      </c>
      <c r="BN25" s="6">
        <v>637294.34461470624</v>
      </c>
      <c r="BO25" s="6">
        <v>637294.34461470624</v>
      </c>
      <c r="BP25" s="6">
        <v>637294.34461470624</v>
      </c>
      <c r="BQ25" s="6">
        <v>637294.34461470624</v>
      </c>
      <c r="BR25" s="6">
        <v>637294.34461470624</v>
      </c>
      <c r="BS25" s="6">
        <v>637294.34461470624</v>
      </c>
      <c r="BT25" s="6">
        <v>637294.34461470624</v>
      </c>
      <c r="BU25" s="6">
        <v>637294.34461470624</v>
      </c>
      <c r="BV25" s="6">
        <v>957971.116745673</v>
      </c>
      <c r="BW25" s="6">
        <v>637294.34461470624</v>
      </c>
      <c r="BX25" s="6">
        <v>637294.34461470624</v>
      </c>
      <c r="BY25" s="6">
        <v>2240678.2052695402</v>
      </c>
      <c r="BZ25" s="6">
        <v>637294.34461470624</v>
      </c>
      <c r="CA25" s="6">
        <v>1278647.88887664</v>
      </c>
      <c r="CB25" s="6">
        <v>0</v>
      </c>
      <c r="CC25" s="6">
        <v>637294.34461470624</v>
      </c>
      <c r="CD25" s="6">
        <v>2561354.9774005068</v>
      </c>
      <c r="CE25" s="6">
        <v>1278647.88887664</v>
      </c>
      <c r="CF25" s="6">
        <v>0</v>
      </c>
      <c r="CG25" s="6">
        <v>0</v>
      </c>
      <c r="CH25" s="6">
        <v>1599324.6610076067</v>
      </c>
      <c r="CI25" s="6">
        <v>405919.96472274279</v>
      </c>
      <c r="CJ25" s="6">
        <v>1603383.8606548342</v>
      </c>
      <c r="CK25" s="6">
        <v>0</v>
      </c>
      <c r="CL25" s="6">
        <v>4160679.6384081137</v>
      </c>
      <c r="CM25" s="6">
        <v>1599324.6610076067</v>
      </c>
      <c r="CN25" s="6">
        <v>101479.9911806857</v>
      </c>
      <c r="CO25" s="6">
        <v>637294.34461470624</v>
      </c>
      <c r="CP25" s="6">
        <v>0</v>
      </c>
      <c r="CQ25" s="6">
        <v>5634169.1103516696</v>
      </c>
      <c r="CR25" s="6">
        <v>73642000</v>
      </c>
    </row>
    <row r="26" spans="2:96" ht="15.95" customHeight="1" x14ac:dyDescent="0.25">
      <c r="B26" s="5" t="s">
        <v>116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1964226</v>
      </c>
      <c r="CR26" s="6">
        <v>1964226</v>
      </c>
    </row>
    <row r="27" spans="2:96" ht="15.95" customHeight="1" x14ac:dyDescent="0.25">
      <c r="B27" s="5" t="s">
        <v>117</v>
      </c>
      <c r="C27" s="6">
        <v>1501358.6980676327</v>
      </c>
      <c r="D27" s="6">
        <v>662963.20628019318</v>
      </c>
      <c r="E27" s="6">
        <v>266762.20193236717</v>
      </c>
      <c r="F27" s="6">
        <v>55192.179710144927</v>
      </c>
      <c r="G27" s="6">
        <v>147836.19565217392</v>
      </c>
      <c r="H27" s="6">
        <v>0</v>
      </c>
      <c r="I27" s="6">
        <v>0</v>
      </c>
      <c r="J27" s="6">
        <v>81474.17004830917</v>
      </c>
      <c r="K27" s="6">
        <v>81474.17004830917</v>
      </c>
      <c r="L27" s="6">
        <v>81474.17004830917</v>
      </c>
      <c r="M27" s="6">
        <v>0</v>
      </c>
      <c r="N27" s="6">
        <v>0</v>
      </c>
      <c r="O27" s="6">
        <v>81474.17004830917</v>
      </c>
      <c r="P27" s="6">
        <v>0</v>
      </c>
      <c r="Q27" s="6">
        <v>81474.17004830917</v>
      </c>
      <c r="R27" s="6">
        <v>81474.17004830917</v>
      </c>
      <c r="S27" s="6">
        <v>81474.17004830917</v>
      </c>
      <c r="T27" s="6">
        <v>183973.93236714974</v>
      </c>
      <c r="U27" s="6">
        <v>490159.11980676325</v>
      </c>
      <c r="V27" s="6">
        <v>167547.68840579709</v>
      </c>
      <c r="W27" s="6">
        <v>0</v>
      </c>
      <c r="X27" s="6">
        <v>817369.89951690822</v>
      </c>
      <c r="Y27" s="6">
        <v>0</v>
      </c>
      <c r="Z27" s="6">
        <v>26939.040096618359</v>
      </c>
      <c r="AA27" s="6">
        <v>26939.040096618359</v>
      </c>
      <c r="AB27" s="6">
        <v>26939.040096618359</v>
      </c>
      <c r="AC27" s="6">
        <v>26939.040096618359</v>
      </c>
      <c r="AD27" s="6">
        <v>518412.25942028983</v>
      </c>
      <c r="AE27" s="6">
        <v>26939.040096618359</v>
      </c>
      <c r="AF27" s="6">
        <v>0</v>
      </c>
      <c r="AG27" s="6">
        <v>0</v>
      </c>
      <c r="AH27" s="6">
        <v>51249.881159420285</v>
      </c>
      <c r="AI27" s="6">
        <v>26939.040096618359</v>
      </c>
      <c r="AJ27" s="6">
        <v>26939.040096618399</v>
      </c>
      <c r="AK27" s="6">
        <v>0</v>
      </c>
      <c r="AL27" s="6">
        <v>26939.040096618359</v>
      </c>
      <c r="AM27" s="6">
        <v>26939.040096618359</v>
      </c>
      <c r="AN27" s="6">
        <v>26939.040096618359</v>
      </c>
      <c r="AO27" s="6">
        <v>26939.040096618359</v>
      </c>
      <c r="AP27" s="6">
        <v>26939.040096618359</v>
      </c>
      <c r="AQ27" s="6">
        <v>26939.040096618359</v>
      </c>
      <c r="AR27" s="6">
        <v>26939.040096618359</v>
      </c>
      <c r="AS27" s="6">
        <v>0</v>
      </c>
      <c r="AT27" s="6">
        <v>26939.040096618359</v>
      </c>
      <c r="AU27" s="6">
        <v>26939.040096618359</v>
      </c>
      <c r="AV27" s="6">
        <v>26939.040096618359</v>
      </c>
      <c r="AW27" s="6">
        <v>26939.040096618359</v>
      </c>
      <c r="AX27" s="6">
        <v>26939.040096618359</v>
      </c>
      <c r="AY27" s="6">
        <v>26939.040096618359</v>
      </c>
      <c r="AZ27" s="6">
        <v>26939.040096618359</v>
      </c>
      <c r="BA27" s="6">
        <v>26939.040096618359</v>
      </c>
      <c r="BB27" s="6">
        <v>26939.040096618359</v>
      </c>
      <c r="BC27" s="6">
        <v>81474.17004830917</v>
      </c>
      <c r="BD27" s="6">
        <v>81474.17004830917</v>
      </c>
      <c r="BE27" s="6">
        <v>81474.17004830917</v>
      </c>
      <c r="BF27" s="6">
        <v>81474.17004830917</v>
      </c>
      <c r="BG27" s="6">
        <v>81474.17004830917</v>
      </c>
      <c r="BH27" s="6">
        <v>9855.746376811594</v>
      </c>
      <c r="BI27" s="6">
        <v>9855.746376811594</v>
      </c>
      <c r="BJ27" s="6">
        <v>258877.60483091787</v>
      </c>
      <c r="BK27" s="6">
        <v>0</v>
      </c>
      <c r="BL27" s="6">
        <v>0</v>
      </c>
      <c r="BM27" s="6">
        <v>103156.81207729469</v>
      </c>
      <c r="BN27" s="6">
        <v>103156.81207729469</v>
      </c>
      <c r="BO27" s="6">
        <v>103156.81207729469</v>
      </c>
      <c r="BP27" s="6">
        <v>103156.81207729469</v>
      </c>
      <c r="BQ27" s="6">
        <v>103156.81207729469</v>
      </c>
      <c r="BR27" s="6">
        <v>103156.81207729469</v>
      </c>
      <c r="BS27" s="6">
        <v>103156.81207729469</v>
      </c>
      <c r="BT27" s="6">
        <v>103156.81207729469</v>
      </c>
      <c r="BU27" s="6">
        <v>103156.81207729469</v>
      </c>
      <c r="BV27" s="6">
        <v>155063.74299516907</v>
      </c>
      <c r="BW27" s="6">
        <v>103156.81207729469</v>
      </c>
      <c r="BX27" s="6">
        <v>103156.81207729469</v>
      </c>
      <c r="BY27" s="6">
        <v>362691.46666666667</v>
      </c>
      <c r="BZ27" s="6">
        <v>103156.81207729469</v>
      </c>
      <c r="CA27" s="6">
        <v>206970.67391304349</v>
      </c>
      <c r="CB27" s="6">
        <v>0</v>
      </c>
      <c r="CC27" s="6">
        <v>103156.81207729469</v>
      </c>
      <c r="CD27" s="6">
        <v>414598.39758454106</v>
      </c>
      <c r="CE27" s="6">
        <v>206970.67391304349</v>
      </c>
      <c r="CF27" s="6">
        <v>0</v>
      </c>
      <c r="CG27" s="6">
        <v>0</v>
      </c>
      <c r="CH27" s="6">
        <v>258877.60483091787</v>
      </c>
      <c r="CI27" s="6">
        <v>65704.975845410634</v>
      </c>
      <c r="CJ27" s="6">
        <v>259534.65458937199</v>
      </c>
      <c r="CK27" s="6">
        <v>0</v>
      </c>
      <c r="CL27" s="6">
        <v>673476.0024154589</v>
      </c>
      <c r="CM27" s="6">
        <v>258877.60483091787</v>
      </c>
      <c r="CN27" s="6">
        <v>16426.243961352659</v>
      </c>
      <c r="CO27" s="6">
        <v>103156.81207729469</v>
      </c>
      <c r="CP27" s="6">
        <v>0</v>
      </c>
      <c r="CQ27" s="6">
        <v>2546067.8140096618</v>
      </c>
      <c r="CR27" s="6">
        <v>13608157.547342993</v>
      </c>
    </row>
    <row r="28" spans="2:96" ht="15.95" customHeight="1" x14ac:dyDescent="0.25">
      <c r="B28" s="5" t="s">
        <v>118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1166200</v>
      </c>
      <c r="CR28" s="6">
        <v>1166200</v>
      </c>
    </row>
    <row r="29" spans="2:96" ht="15.95" customHeight="1" x14ac:dyDescent="0.25">
      <c r="B29" s="5" t="s">
        <v>119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</row>
    <row r="30" spans="2:96" ht="15.95" customHeight="1" x14ac:dyDescent="0.25">
      <c r="B30" s="5" t="s">
        <v>120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2:96" ht="15.95" customHeight="1" x14ac:dyDescent="0.25">
      <c r="B31" s="5" t="s">
        <v>121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</row>
    <row r="32" spans="2:96" ht="15.95" customHeight="1" x14ac:dyDescent="0.25">
      <c r="B32" s="5" t="s">
        <v>122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2:96" ht="15.95" customHeight="1" x14ac:dyDescent="0.25">
      <c r="B33" s="5" t="s">
        <v>123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609340</v>
      </c>
      <c r="CR33" s="6">
        <v>609340</v>
      </c>
    </row>
    <row r="34" spans="2:96" ht="15.95" customHeight="1" x14ac:dyDescent="0.25">
      <c r="B34" s="5" t="s">
        <v>124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23310234</v>
      </c>
      <c r="CR34" s="6">
        <v>23310234</v>
      </c>
    </row>
    <row r="35" spans="2:96" ht="15.95" customHeight="1" x14ac:dyDescent="0.25">
      <c r="B35" s="5" t="s">
        <v>125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</row>
    <row r="36" spans="2:96" ht="15.95" customHeight="1" x14ac:dyDescent="0.25">
      <c r="B36" s="5" t="s">
        <v>126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22493211</v>
      </c>
      <c r="CR36" s="6">
        <v>22493211</v>
      </c>
    </row>
    <row r="37" spans="2:96" ht="15.95" customHeight="1" x14ac:dyDescent="0.25">
      <c r="B37" s="5" t="s">
        <v>127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8990000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15408410</v>
      </c>
      <c r="CR37" s="6">
        <v>24398410</v>
      </c>
    </row>
    <row r="38" spans="2:96" ht="15.95" customHeight="1" x14ac:dyDescent="0.25">
      <c r="B38" s="5" t="s">
        <v>128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2:96" ht="15.95" customHeight="1" x14ac:dyDescent="0.25">
      <c r="B39" s="5" t="s">
        <v>129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3000000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7157308</v>
      </c>
      <c r="CR39" s="6">
        <v>10157308</v>
      </c>
    </row>
    <row r="40" spans="2:96" ht="15.95" customHeight="1" x14ac:dyDescent="0.25">
      <c r="B40" s="5" t="s">
        <v>130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</row>
    <row r="41" spans="2:96" ht="15.95" customHeight="1" x14ac:dyDescent="0.25">
      <c r="B41" s="5" t="s">
        <v>131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</row>
    <row r="42" spans="2:96" ht="15.95" customHeight="1" x14ac:dyDescent="0.25">
      <c r="B42" s="5" t="s">
        <v>132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2:96" ht="15.95" customHeight="1" x14ac:dyDescent="0.25">
      <c r="B43" s="5" t="s">
        <v>133</v>
      </c>
      <c r="C43" s="6">
        <v>15006236.089736521</v>
      </c>
      <c r="D43" s="6">
        <v>6626386.0895160399</v>
      </c>
      <c r="E43" s="6">
        <v>2666315.9091610629</v>
      </c>
      <c r="F43" s="6">
        <v>551651.56741263368</v>
      </c>
      <c r="G43" s="6">
        <v>1477638.126998126</v>
      </c>
      <c r="H43" s="6">
        <v>0</v>
      </c>
      <c r="I43" s="6">
        <v>0</v>
      </c>
      <c r="J43" s="6">
        <v>814342.78999007819</v>
      </c>
      <c r="K43" s="6">
        <v>814342.78999007819</v>
      </c>
      <c r="L43" s="6">
        <v>814342.78999007819</v>
      </c>
      <c r="M43" s="6">
        <v>0</v>
      </c>
      <c r="N43" s="6">
        <v>0</v>
      </c>
      <c r="O43" s="6">
        <v>814342.78999007819</v>
      </c>
      <c r="P43" s="6">
        <v>0</v>
      </c>
      <c r="Q43" s="6">
        <v>814342.78999007819</v>
      </c>
      <c r="R43" s="6">
        <v>814342.78999007819</v>
      </c>
      <c r="S43" s="6">
        <v>814342.78999007819</v>
      </c>
      <c r="T43" s="6">
        <v>1838838.5580421123</v>
      </c>
      <c r="U43" s="6">
        <v>4899191.3010693416</v>
      </c>
      <c r="V43" s="6">
        <v>1674656.5439312092</v>
      </c>
      <c r="W43" s="6">
        <v>0</v>
      </c>
      <c r="X43" s="6">
        <v>8169697.0221585268</v>
      </c>
      <c r="Y43" s="6">
        <v>0</v>
      </c>
      <c r="Z43" s="6">
        <v>269258.50314188073</v>
      </c>
      <c r="AA43" s="6">
        <v>269258.50314188073</v>
      </c>
      <c r="AB43" s="6">
        <v>269258.50314188073</v>
      </c>
      <c r="AC43" s="6">
        <v>269258.50314188073</v>
      </c>
      <c r="AD43" s="6">
        <v>5181584.365340095</v>
      </c>
      <c r="AE43" s="6">
        <v>269258.50314188073</v>
      </c>
      <c r="AF43" s="6">
        <v>0</v>
      </c>
      <c r="AG43" s="6">
        <v>0</v>
      </c>
      <c r="AH43" s="6">
        <v>512247.88402601698</v>
      </c>
      <c r="AI43" s="6">
        <v>269258.50314188073</v>
      </c>
      <c r="AJ43" s="6">
        <v>269258.50314188073</v>
      </c>
      <c r="AK43" s="6">
        <v>0</v>
      </c>
      <c r="AL43" s="6">
        <v>269258.50314188073</v>
      </c>
      <c r="AM43" s="6">
        <v>269258.50314188073</v>
      </c>
      <c r="AN43" s="6">
        <v>269258.50314188073</v>
      </c>
      <c r="AO43" s="6">
        <v>269258.50314188073</v>
      </c>
      <c r="AP43" s="6">
        <v>269258.50314188073</v>
      </c>
      <c r="AQ43" s="6">
        <v>269258.50314188073</v>
      </c>
      <c r="AR43" s="6">
        <v>269258.50314188073</v>
      </c>
      <c r="AS43" s="6">
        <v>0</v>
      </c>
      <c r="AT43" s="6">
        <v>269258.50314188073</v>
      </c>
      <c r="AU43" s="6">
        <v>269258.50314188073</v>
      </c>
      <c r="AV43" s="6">
        <v>269258.50314188073</v>
      </c>
      <c r="AW43" s="6">
        <v>269258.50314188073</v>
      </c>
      <c r="AX43" s="6">
        <v>0</v>
      </c>
      <c r="AY43" s="6">
        <v>269258.50314188073</v>
      </c>
      <c r="AZ43" s="6">
        <v>0</v>
      </c>
      <c r="BA43" s="6">
        <v>269258.50314188073</v>
      </c>
      <c r="BB43" s="6">
        <v>269258.50314188073</v>
      </c>
      <c r="BC43" s="6">
        <v>814342.78999007819</v>
      </c>
      <c r="BD43" s="6">
        <v>814342.78999007819</v>
      </c>
      <c r="BE43" s="6">
        <v>814342.78999007819</v>
      </c>
      <c r="BF43" s="6">
        <v>814342.78999007819</v>
      </c>
      <c r="BG43" s="6">
        <v>814342.78999007819</v>
      </c>
      <c r="BH43" s="6">
        <v>98509.208466541735</v>
      </c>
      <c r="BI43" s="6">
        <v>98509.208466541735</v>
      </c>
      <c r="BJ43" s="6">
        <v>2587508.5423878296</v>
      </c>
      <c r="BK43" s="6">
        <v>0</v>
      </c>
      <c r="BL43" s="6">
        <v>0</v>
      </c>
      <c r="BM43" s="6">
        <v>1031063.0486164701</v>
      </c>
      <c r="BN43" s="6">
        <v>1031063.0486164701</v>
      </c>
      <c r="BO43" s="6">
        <v>1031063.0486164701</v>
      </c>
      <c r="BP43" s="6">
        <v>1031063.0486164701</v>
      </c>
      <c r="BQ43" s="6">
        <v>1031063.0486164701</v>
      </c>
      <c r="BR43" s="6">
        <v>1031063.0486164701</v>
      </c>
      <c r="BS43" s="6">
        <v>1031063.0486164701</v>
      </c>
      <c r="BT43" s="6">
        <v>1031063.0486164701</v>
      </c>
      <c r="BU43" s="6">
        <v>1031063.0486164701</v>
      </c>
      <c r="BV43" s="6">
        <v>1549878.2132069231</v>
      </c>
      <c r="BW43" s="6">
        <v>1031063.0486164701</v>
      </c>
      <c r="BX43" s="6">
        <v>1031063.0486164701</v>
      </c>
      <c r="BY43" s="6">
        <v>3625138.8715687357</v>
      </c>
      <c r="BZ43" s="6">
        <v>1031063.0486164701</v>
      </c>
      <c r="CA43" s="6">
        <v>2068693.3777973764</v>
      </c>
      <c r="CB43" s="6">
        <v>0</v>
      </c>
      <c r="CC43" s="6">
        <v>1031063.0486164701</v>
      </c>
      <c r="CD43" s="6">
        <v>4143954.0361591885</v>
      </c>
      <c r="CE43" s="6">
        <v>2068693.3777973764</v>
      </c>
      <c r="CF43" s="6">
        <v>0</v>
      </c>
      <c r="CG43" s="6">
        <v>0</v>
      </c>
      <c r="CH43" s="6">
        <v>2587508.5423878296</v>
      </c>
      <c r="CI43" s="6">
        <v>656728.05644361151</v>
      </c>
      <c r="CJ43" s="6">
        <v>2594075.8229522654</v>
      </c>
      <c r="CK43" s="6">
        <v>0</v>
      </c>
      <c r="CL43" s="6">
        <v>6731462.5785470176</v>
      </c>
      <c r="CM43" s="6">
        <v>2587508.5423878296</v>
      </c>
      <c r="CN43" s="6">
        <v>164182.01411090288</v>
      </c>
      <c r="CO43" s="6">
        <v>1031063.0486164701</v>
      </c>
      <c r="CP43" s="6">
        <v>0</v>
      </c>
      <c r="CQ43" s="6">
        <v>9115385.4234373271</v>
      </c>
      <c r="CR43" s="6">
        <v>119143603.99999997</v>
      </c>
    </row>
    <row r="44" spans="2:96" ht="15.95" customHeight="1" x14ac:dyDescent="0.25">
      <c r="B44" s="5" t="s">
        <v>134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</row>
    <row r="45" spans="2:96" ht="15.95" customHeight="1" x14ac:dyDescent="0.25">
      <c r="B45" s="5" t="s">
        <v>135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3000000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3000000</v>
      </c>
    </row>
    <row r="46" spans="2:96" ht="15.95" customHeight="1" x14ac:dyDescent="0.25">
      <c r="B46" s="5" t="s">
        <v>136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2567734</v>
      </c>
      <c r="CR46" s="6">
        <v>2567734</v>
      </c>
    </row>
    <row r="47" spans="2:96" ht="15.95" customHeight="1" x14ac:dyDescent="0.25">
      <c r="B47" s="5" t="s">
        <v>137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618240</v>
      </c>
      <c r="CR47" s="6">
        <v>618240</v>
      </c>
    </row>
    <row r="48" spans="2:96" ht="15.95" customHeight="1" x14ac:dyDescent="0.25">
      <c r="B48" s="5" t="s">
        <v>138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2:96" ht="15.95" customHeight="1" x14ac:dyDescent="0.25">
      <c r="B49" s="5" t="s">
        <v>139</v>
      </c>
      <c r="C49" s="6">
        <v>9189938.840579709</v>
      </c>
      <c r="D49" s="6">
        <v>4058051.7681159419</v>
      </c>
      <c r="E49" s="6">
        <v>1632873.1594202898</v>
      </c>
      <c r="F49" s="6">
        <v>337835.82608695654</v>
      </c>
      <c r="G49" s="6">
        <v>904917.39130434778</v>
      </c>
      <c r="H49" s="6">
        <v>0</v>
      </c>
      <c r="I49" s="6">
        <v>0</v>
      </c>
      <c r="J49" s="6">
        <v>498710.0289855072</v>
      </c>
      <c r="K49" s="6">
        <v>498710.0289855072</v>
      </c>
      <c r="L49" s="6">
        <v>498710.0289855072</v>
      </c>
      <c r="M49" s="6">
        <v>0</v>
      </c>
      <c r="N49" s="6">
        <v>0</v>
      </c>
      <c r="O49" s="6">
        <v>498710.0289855072</v>
      </c>
      <c r="P49" s="6">
        <v>0</v>
      </c>
      <c r="Q49" s="6">
        <v>498710.0289855072</v>
      </c>
      <c r="R49" s="6">
        <v>498710.0289855072</v>
      </c>
      <c r="S49" s="6">
        <v>498710.0289855072</v>
      </c>
      <c r="T49" s="6">
        <v>1126119.420289855</v>
      </c>
      <c r="U49" s="6">
        <v>3000303.8840579707</v>
      </c>
      <c r="V49" s="6">
        <v>1025573.0434782609</v>
      </c>
      <c r="W49" s="6">
        <v>0</v>
      </c>
      <c r="X49" s="6">
        <v>5003187.7101449277</v>
      </c>
      <c r="Y49" s="6">
        <v>0</v>
      </c>
      <c r="Z49" s="6">
        <v>164896.0579710145</v>
      </c>
      <c r="AA49" s="6">
        <v>164896.0579710145</v>
      </c>
      <c r="AB49" s="6">
        <v>164896.0579710145</v>
      </c>
      <c r="AC49" s="6">
        <v>164896.0579710145</v>
      </c>
      <c r="AD49" s="6">
        <v>3173243.6521739131</v>
      </c>
      <c r="AE49" s="6">
        <v>164896.0579710145</v>
      </c>
      <c r="AF49" s="6">
        <v>0</v>
      </c>
      <c r="AG49" s="6">
        <v>0</v>
      </c>
      <c r="AH49" s="6">
        <v>313704.69565217389</v>
      </c>
      <c r="AI49" s="6">
        <v>164896.0579710145</v>
      </c>
      <c r="AJ49" s="6">
        <v>164896.0579710145</v>
      </c>
      <c r="AK49" s="6">
        <v>0</v>
      </c>
      <c r="AL49" s="6">
        <v>164896.0579710145</v>
      </c>
      <c r="AM49" s="6">
        <v>164896.0579710145</v>
      </c>
      <c r="AN49" s="6">
        <v>164896.0579710145</v>
      </c>
      <c r="AO49" s="6">
        <v>164896.0579710145</v>
      </c>
      <c r="AP49" s="6">
        <v>164896.0579710145</v>
      </c>
      <c r="AQ49" s="6">
        <v>164896.0579710145</v>
      </c>
      <c r="AR49" s="6">
        <v>164896.0579710145</v>
      </c>
      <c r="AS49" s="6">
        <v>0</v>
      </c>
      <c r="AT49" s="6">
        <v>164896.0579710145</v>
      </c>
      <c r="AU49" s="6">
        <v>164896.0579710145</v>
      </c>
      <c r="AV49" s="6">
        <v>164896.0579710145</v>
      </c>
      <c r="AW49" s="6">
        <v>164896.0579710145</v>
      </c>
      <c r="AX49" s="6">
        <v>0</v>
      </c>
      <c r="AY49" s="6">
        <v>164896.0579710145</v>
      </c>
      <c r="AZ49" s="6">
        <v>0</v>
      </c>
      <c r="BA49" s="6">
        <v>164896.0579710145</v>
      </c>
      <c r="BB49" s="6">
        <v>164896.0579710145</v>
      </c>
      <c r="BC49" s="6">
        <v>498710.0289855072</v>
      </c>
      <c r="BD49" s="6">
        <v>498710.0289855072</v>
      </c>
      <c r="BE49" s="6">
        <v>498710.0289855072</v>
      </c>
      <c r="BF49" s="6">
        <v>498710.0289855072</v>
      </c>
      <c r="BG49" s="6">
        <v>498710.0289855072</v>
      </c>
      <c r="BH49" s="6">
        <v>60327.82608695652</v>
      </c>
      <c r="BI49" s="6">
        <v>60327.82608695652</v>
      </c>
      <c r="BJ49" s="6">
        <v>1584610.8985507246</v>
      </c>
      <c r="BK49" s="6">
        <v>0</v>
      </c>
      <c r="BL49" s="6">
        <v>0</v>
      </c>
      <c r="BM49" s="6">
        <v>631431.24637681153</v>
      </c>
      <c r="BN49" s="6">
        <v>631431.24637681153</v>
      </c>
      <c r="BO49" s="6">
        <v>631431.24637681153</v>
      </c>
      <c r="BP49" s="6">
        <v>631431.24637681153</v>
      </c>
      <c r="BQ49" s="6">
        <v>631431.24637681153</v>
      </c>
      <c r="BR49" s="6">
        <v>631431.24637681153</v>
      </c>
      <c r="BS49" s="6">
        <v>631431.24637681153</v>
      </c>
      <c r="BT49" s="6">
        <v>631431.24637681153</v>
      </c>
      <c r="BU49" s="6">
        <v>631431.24637681153</v>
      </c>
      <c r="BV49" s="6">
        <v>949157.79710144922</v>
      </c>
      <c r="BW49" s="6">
        <v>631431.24637681153</v>
      </c>
      <c r="BX49" s="6">
        <v>631431.24637681153</v>
      </c>
      <c r="BY49" s="6">
        <v>2220064</v>
      </c>
      <c r="BZ49" s="6">
        <v>631431.24637681153</v>
      </c>
      <c r="CA49" s="6">
        <v>1266884.3478260869</v>
      </c>
      <c r="CB49" s="6">
        <v>0</v>
      </c>
      <c r="CC49" s="6">
        <v>631431.24637681153</v>
      </c>
      <c r="CD49" s="6">
        <v>2537790.5507246377</v>
      </c>
      <c r="CE49" s="6">
        <v>1266884.3478260869</v>
      </c>
      <c r="CF49" s="6">
        <v>0</v>
      </c>
      <c r="CG49" s="6">
        <v>0</v>
      </c>
      <c r="CH49" s="6">
        <v>1584610.8985507246</v>
      </c>
      <c r="CI49" s="6">
        <v>402185.50724637683</v>
      </c>
      <c r="CJ49" s="6">
        <v>1588632.7536231885</v>
      </c>
      <c r="CK49" s="6">
        <v>0</v>
      </c>
      <c r="CL49" s="6">
        <v>4122401.4492753623</v>
      </c>
      <c r="CM49" s="6">
        <v>1584610.8985507246</v>
      </c>
      <c r="CN49" s="6">
        <v>100546.37681159421</v>
      </c>
      <c r="CO49" s="6">
        <v>631431.24637681153</v>
      </c>
      <c r="CP49" s="6">
        <v>0</v>
      </c>
      <c r="CQ49" s="6">
        <v>5582334.84057971</v>
      </c>
      <c r="CR49" s="6">
        <v>72964494.724637702</v>
      </c>
    </row>
    <row r="50" spans="2:96" ht="15.95" customHeight="1" x14ac:dyDescent="0.25">
      <c r="B50" s="5" t="s">
        <v>140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7128811</v>
      </c>
      <c r="CR50" s="6">
        <v>7128811</v>
      </c>
    </row>
    <row r="51" spans="2:96" ht="15.95" customHeight="1" x14ac:dyDescent="0.25">
      <c r="B51" s="5" t="s">
        <v>141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</row>
    <row r="52" spans="2:96" ht="15.95" customHeight="1" x14ac:dyDescent="0.25">
      <c r="B52" s="11" t="s">
        <v>142</v>
      </c>
      <c r="C52" s="12">
        <v>51039795.023213446</v>
      </c>
      <c r="D52" s="12">
        <v>14287333.589588333</v>
      </c>
      <c r="E52" s="12">
        <v>2453924.6293949648</v>
      </c>
      <c r="F52" s="12">
        <v>1703567.8466275297</v>
      </c>
      <c r="G52" s="12">
        <v>431395.80391280283</v>
      </c>
      <c r="H52" s="12">
        <v>0</v>
      </c>
      <c r="I52" s="12">
        <v>0</v>
      </c>
      <c r="J52" s="12">
        <v>909027</v>
      </c>
      <c r="K52" s="12">
        <v>488181</v>
      </c>
      <c r="L52" s="12">
        <v>774356</v>
      </c>
      <c r="M52" s="12">
        <v>0</v>
      </c>
      <c r="N52" s="12">
        <v>0</v>
      </c>
      <c r="O52" s="12">
        <v>67335</v>
      </c>
      <c r="P52" s="12">
        <v>0</v>
      </c>
      <c r="Q52" s="12">
        <v>76645836</v>
      </c>
      <c r="R52" s="12">
        <v>202006</v>
      </c>
      <c r="S52" s="12">
        <v>151504</v>
      </c>
      <c r="T52" s="12">
        <v>8352515</v>
      </c>
      <c r="U52" s="12">
        <v>6549988</v>
      </c>
      <c r="V52" s="12">
        <v>2881493</v>
      </c>
      <c r="W52" s="12">
        <v>0</v>
      </c>
      <c r="X52" s="12">
        <v>27138945</v>
      </c>
      <c r="Y52" s="12">
        <v>0</v>
      </c>
      <c r="Z52" s="12">
        <v>95812473</v>
      </c>
      <c r="AA52" s="12">
        <v>24354221</v>
      </c>
      <c r="AB52" s="12">
        <v>1496890</v>
      </c>
      <c r="AC52" s="12">
        <v>9119882</v>
      </c>
      <c r="AD52" s="12">
        <v>32021974</v>
      </c>
      <c r="AE52" s="12">
        <v>2312834</v>
      </c>
      <c r="AF52" s="12">
        <v>0</v>
      </c>
      <c r="AG52" s="12">
        <v>0</v>
      </c>
      <c r="AH52" s="12">
        <v>1925254</v>
      </c>
      <c r="AI52" s="12">
        <v>448800</v>
      </c>
      <c r="AJ52" s="12">
        <v>143642</v>
      </c>
      <c r="AK52" s="12">
        <v>0</v>
      </c>
      <c r="AL52" s="12">
        <v>3210572</v>
      </c>
      <c r="AM52" s="12">
        <v>75898</v>
      </c>
      <c r="AN52" s="12">
        <v>907609</v>
      </c>
      <c r="AO52" s="12">
        <v>6886527</v>
      </c>
      <c r="AP52" s="12">
        <v>3835038</v>
      </c>
      <c r="AQ52" s="12">
        <v>793600</v>
      </c>
      <c r="AR52" s="12">
        <v>255283</v>
      </c>
      <c r="AS52" s="12">
        <v>0</v>
      </c>
      <c r="AT52" s="12">
        <v>1419778</v>
      </c>
      <c r="AU52" s="12">
        <v>2587814</v>
      </c>
      <c r="AV52" s="12">
        <v>3796917</v>
      </c>
      <c r="AW52" s="12">
        <v>97608</v>
      </c>
      <c r="AX52" s="12">
        <v>38278</v>
      </c>
      <c r="AY52" s="12">
        <v>7246364</v>
      </c>
      <c r="AZ52" s="12">
        <v>53165</v>
      </c>
      <c r="BA52" s="12">
        <v>943061</v>
      </c>
      <c r="BB52" s="12">
        <v>329260</v>
      </c>
      <c r="BC52" s="12">
        <v>100810</v>
      </c>
      <c r="BD52" s="12">
        <v>879870</v>
      </c>
      <c r="BE52" s="12">
        <v>1773666</v>
      </c>
      <c r="BF52" s="12">
        <v>881665</v>
      </c>
      <c r="BG52" s="12">
        <v>285919</v>
      </c>
      <c r="BH52" s="12">
        <v>370697</v>
      </c>
      <c r="BI52" s="12">
        <v>107171</v>
      </c>
      <c r="BJ52" s="12">
        <v>6908663</v>
      </c>
      <c r="BK52" s="12">
        <v>2700855</v>
      </c>
      <c r="BL52" s="12">
        <v>0</v>
      </c>
      <c r="BM52" s="12">
        <v>171375</v>
      </c>
      <c r="BN52" s="12">
        <v>171375</v>
      </c>
      <c r="BO52" s="12">
        <v>171375</v>
      </c>
      <c r="BP52" s="12">
        <v>191661</v>
      </c>
      <c r="BQ52" s="12">
        <v>171375</v>
      </c>
      <c r="BR52" s="12">
        <v>174139</v>
      </c>
      <c r="BS52" s="12">
        <v>171375</v>
      </c>
      <c r="BT52" s="12">
        <v>171375</v>
      </c>
      <c r="BU52" s="12">
        <v>171375</v>
      </c>
      <c r="BV52" s="12">
        <v>6722710</v>
      </c>
      <c r="BW52" s="12">
        <v>171375</v>
      </c>
      <c r="BX52" s="12">
        <v>171375</v>
      </c>
      <c r="BY52" s="12">
        <v>2300849</v>
      </c>
      <c r="BZ52" s="12">
        <v>73446606</v>
      </c>
      <c r="CA52" s="12">
        <v>381164</v>
      </c>
      <c r="CB52" s="12">
        <v>0</v>
      </c>
      <c r="CC52" s="12">
        <v>155499</v>
      </c>
      <c r="CD52" s="12">
        <v>2930447</v>
      </c>
      <c r="CE52" s="12">
        <v>1384302</v>
      </c>
      <c r="CF52" s="12">
        <v>0</v>
      </c>
      <c r="CG52" s="12">
        <v>1982367</v>
      </c>
      <c r="CH52" s="12">
        <v>25599985</v>
      </c>
      <c r="CI52" s="12">
        <v>1645120</v>
      </c>
      <c r="CJ52" s="12">
        <v>8568369</v>
      </c>
      <c r="CK52" s="12">
        <v>0</v>
      </c>
      <c r="CL52" s="12">
        <v>21320302</v>
      </c>
      <c r="CM52" s="12">
        <v>1075479</v>
      </c>
      <c r="CN52" s="12">
        <v>3575479</v>
      </c>
      <c r="CO52" s="12">
        <v>1075479</v>
      </c>
      <c r="CP52" s="12">
        <v>0</v>
      </c>
      <c r="CQ52" s="12">
        <v>72814499</v>
      </c>
      <c r="CR52" s="4">
        <v>635086091.89273715</v>
      </c>
    </row>
    <row r="53" spans="2:96" ht="15.95" customHeight="1" x14ac:dyDescent="0.25">
      <c r="B53" s="5" t="s">
        <v>143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2500000</v>
      </c>
      <c r="CO53" s="6">
        <v>0</v>
      </c>
      <c r="CP53" s="6">
        <v>0</v>
      </c>
      <c r="CQ53" s="6">
        <v>0</v>
      </c>
      <c r="CR53" s="6">
        <v>2500000</v>
      </c>
    </row>
    <row r="54" spans="2:96" ht="15.95" customHeight="1" x14ac:dyDescent="0.25">
      <c r="B54" s="5" t="s">
        <v>144</v>
      </c>
      <c r="C54" s="6">
        <v>0</v>
      </c>
      <c r="D54" s="6">
        <v>152325</v>
      </c>
      <c r="E54" s="6">
        <v>5296</v>
      </c>
      <c r="F54" s="6">
        <v>5296</v>
      </c>
      <c r="G54" s="6">
        <v>0</v>
      </c>
      <c r="H54" s="6">
        <v>0</v>
      </c>
      <c r="I54" s="6">
        <v>0</v>
      </c>
      <c r="J54" s="6">
        <v>7668</v>
      </c>
      <c r="K54" s="6">
        <v>4118</v>
      </c>
      <c r="L54" s="6">
        <v>6532</v>
      </c>
      <c r="M54" s="6">
        <v>0</v>
      </c>
      <c r="N54" s="6">
        <v>0</v>
      </c>
      <c r="O54" s="6">
        <v>568</v>
      </c>
      <c r="P54" s="6">
        <v>0</v>
      </c>
      <c r="Q54" s="6">
        <v>3976</v>
      </c>
      <c r="R54" s="6">
        <v>1704</v>
      </c>
      <c r="S54" s="6">
        <v>1278</v>
      </c>
      <c r="T54" s="6">
        <v>60351</v>
      </c>
      <c r="U54" s="6">
        <v>47418</v>
      </c>
      <c r="V54" s="6">
        <v>68948</v>
      </c>
      <c r="W54" s="6">
        <v>0</v>
      </c>
      <c r="X54" s="6">
        <v>86376</v>
      </c>
      <c r="Y54" s="6">
        <v>0</v>
      </c>
      <c r="Z54" s="6">
        <v>252333</v>
      </c>
      <c r="AA54" s="6">
        <v>156089</v>
      </c>
      <c r="AB54" s="6">
        <v>24061</v>
      </c>
      <c r="AC54" s="6">
        <v>21593</v>
      </c>
      <c r="AD54" s="6">
        <v>339323</v>
      </c>
      <c r="AE54" s="6">
        <v>48122</v>
      </c>
      <c r="AF54" s="6">
        <v>0</v>
      </c>
      <c r="AG54" s="6">
        <v>0</v>
      </c>
      <c r="AH54" s="6">
        <v>101797</v>
      </c>
      <c r="AI54" s="6">
        <v>66014</v>
      </c>
      <c r="AJ54" s="6">
        <v>29614</v>
      </c>
      <c r="AK54" s="6">
        <v>0</v>
      </c>
      <c r="AL54" s="6">
        <v>64780</v>
      </c>
      <c r="AM54" s="6">
        <v>2468</v>
      </c>
      <c r="AN54" s="6">
        <v>175214</v>
      </c>
      <c r="AO54" s="6">
        <v>78353</v>
      </c>
      <c r="AP54" s="6">
        <v>423229</v>
      </c>
      <c r="AQ54" s="6">
        <v>31465</v>
      </c>
      <c r="AR54" s="6">
        <v>20976</v>
      </c>
      <c r="AS54" s="6">
        <v>0</v>
      </c>
      <c r="AT54" s="6">
        <v>226421</v>
      </c>
      <c r="AU54" s="6">
        <v>132028</v>
      </c>
      <c r="AV54" s="6">
        <v>39485</v>
      </c>
      <c r="AW54" s="6">
        <v>41336</v>
      </c>
      <c r="AX54" s="6">
        <v>25682</v>
      </c>
      <c r="AY54" s="6">
        <v>5151950</v>
      </c>
      <c r="AZ54" s="6">
        <v>16582</v>
      </c>
      <c r="BA54" s="6">
        <v>15887</v>
      </c>
      <c r="BB54" s="6">
        <v>10565</v>
      </c>
      <c r="BC54" s="6">
        <v>2556</v>
      </c>
      <c r="BD54" s="6">
        <v>17182</v>
      </c>
      <c r="BE54" s="6">
        <v>10508</v>
      </c>
      <c r="BF54" s="6">
        <v>1278</v>
      </c>
      <c r="BG54" s="6">
        <v>4686</v>
      </c>
      <c r="BH54" s="6">
        <v>0</v>
      </c>
      <c r="BI54" s="6">
        <v>0</v>
      </c>
      <c r="BJ54" s="6">
        <v>0</v>
      </c>
      <c r="BK54" s="6">
        <v>248054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22756</v>
      </c>
      <c r="BZ54" s="6">
        <v>2150925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126758</v>
      </c>
      <c r="CH54" s="6">
        <v>0</v>
      </c>
      <c r="CI54" s="6">
        <v>0</v>
      </c>
      <c r="CJ54" s="6">
        <v>3855600</v>
      </c>
      <c r="CK54" s="6">
        <v>0</v>
      </c>
      <c r="CL54" s="6">
        <v>134355</v>
      </c>
      <c r="CM54" s="6">
        <v>0</v>
      </c>
      <c r="CN54" s="6">
        <v>0</v>
      </c>
      <c r="CO54" s="6">
        <v>0</v>
      </c>
      <c r="CP54" s="6">
        <v>0</v>
      </c>
      <c r="CQ54" s="6">
        <v>24009094</v>
      </c>
      <c r="CR54" s="6">
        <v>38530973</v>
      </c>
    </row>
    <row r="55" spans="2:96" ht="15.95" customHeight="1" x14ac:dyDescent="0.25">
      <c r="B55" s="5" t="s">
        <v>145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</row>
    <row r="56" spans="2:96" ht="15.95" customHeight="1" x14ac:dyDescent="0.25">
      <c r="B56" s="5" t="s">
        <v>146</v>
      </c>
      <c r="C56" s="6">
        <v>0</v>
      </c>
      <c r="D56" s="6">
        <v>195739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7668</v>
      </c>
      <c r="K56" s="6">
        <v>4118</v>
      </c>
      <c r="L56" s="6">
        <v>6532</v>
      </c>
      <c r="M56" s="6">
        <v>0</v>
      </c>
      <c r="N56" s="6">
        <v>0</v>
      </c>
      <c r="O56" s="6">
        <v>568</v>
      </c>
      <c r="P56" s="6">
        <v>0</v>
      </c>
      <c r="Q56" s="6">
        <v>3976</v>
      </c>
      <c r="R56" s="6">
        <v>1704</v>
      </c>
      <c r="S56" s="6">
        <v>1278</v>
      </c>
      <c r="T56" s="6">
        <v>0</v>
      </c>
      <c r="U56" s="6">
        <v>0</v>
      </c>
      <c r="V56" s="6">
        <v>0</v>
      </c>
      <c r="W56" s="6">
        <v>0</v>
      </c>
      <c r="X56" s="6">
        <v>10476</v>
      </c>
      <c r="Y56" s="6">
        <v>0</v>
      </c>
      <c r="Z56" s="6">
        <v>24240</v>
      </c>
      <c r="AA56" s="6">
        <v>14994</v>
      </c>
      <c r="AB56" s="6">
        <v>2311</v>
      </c>
      <c r="AC56" s="6">
        <v>2074</v>
      </c>
      <c r="AD56" s="6">
        <v>35597</v>
      </c>
      <c r="AE56" s="6">
        <v>4623</v>
      </c>
      <c r="AF56" s="6">
        <v>0</v>
      </c>
      <c r="AG56" s="6">
        <v>0</v>
      </c>
      <c r="AH56" s="6">
        <v>9779</v>
      </c>
      <c r="AI56" s="6">
        <v>6342</v>
      </c>
      <c r="AJ56" s="6">
        <v>2845</v>
      </c>
      <c r="AK56" s="6">
        <v>0</v>
      </c>
      <c r="AL56" s="6">
        <v>6223</v>
      </c>
      <c r="AM56" s="6">
        <v>237</v>
      </c>
      <c r="AN56" s="6">
        <v>16832</v>
      </c>
      <c r="AO56" s="6">
        <v>7527</v>
      </c>
      <c r="AP56" s="6">
        <v>40657</v>
      </c>
      <c r="AQ56" s="6">
        <v>3023</v>
      </c>
      <c r="AR56" s="6">
        <v>2015</v>
      </c>
      <c r="AS56" s="6">
        <v>0</v>
      </c>
      <c r="AT56" s="6">
        <v>21751</v>
      </c>
      <c r="AU56" s="6">
        <v>12683</v>
      </c>
      <c r="AV56" s="6">
        <v>3793</v>
      </c>
      <c r="AW56" s="6">
        <v>3971</v>
      </c>
      <c r="AX56" s="6">
        <v>0</v>
      </c>
      <c r="AY56" s="6">
        <v>15646</v>
      </c>
      <c r="AZ56" s="6">
        <v>0</v>
      </c>
      <c r="BA56" s="6">
        <v>11853</v>
      </c>
      <c r="BB56" s="6">
        <v>7882</v>
      </c>
      <c r="BC56" s="6">
        <v>2556</v>
      </c>
      <c r="BD56" s="6">
        <v>17182</v>
      </c>
      <c r="BE56" s="6">
        <v>10508</v>
      </c>
      <c r="BF56" s="6">
        <v>1278</v>
      </c>
      <c r="BG56" s="6">
        <v>4686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419517</v>
      </c>
      <c r="CR56" s="6">
        <v>944684</v>
      </c>
    </row>
    <row r="57" spans="2:96" ht="15.95" customHeight="1" x14ac:dyDescent="0.25">
      <c r="B57" s="5" t="s">
        <v>147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76174488</v>
      </c>
      <c r="R57" s="6">
        <v>0</v>
      </c>
      <c r="S57" s="6">
        <v>0</v>
      </c>
      <c r="T57" s="6">
        <v>18065</v>
      </c>
      <c r="U57" s="6">
        <v>14194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1125293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77332040</v>
      </c>
    </row>
    <row r="58" spans="2:96" ht="15.95" customHeight="1" x14ac:dyDescent="0.25">
      <c r="B58" s="5" t="s">
        <v>148</v>
      </c>
      <c r="C58" s="6">
        <v>0</v>
      </c>
      <c r="D58" s="6">
        <v>267081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3099117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54213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1189121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4609532</v>
      </c>
    </row>
    <row r="59" spans="2:96" ht="15.95" customHeight="1" x14ac:dyDescent="0.25">
      <c r="B59" s="5" t="s">
        <v>149</v>
      </c>
      <c r="C59" s="6">
        <v>0</v>
      </c>
      <c r="D59" s="6">
        <v>5162949</v>
      </c>
      <c r="E59" s="6">
        <v>428984</v>
      </c>
      <c r="F59" s="6">
        <v>428984</v>
      </c>
      <c r="G59" s="6">
        <v>0</v>
      </c>
      <c r="H59" s="6">
        <v>0</v>
      </c>
      <c r="I59" s="6">
        <v>0</v>
      </c>
      <c r="J59" s="6">
        <v>198397</v>
      </c>
      <c r="K59" s="6">
        <v>106547</v>
      </c>
      <c r="L59" s="6">
        <v>169005</v>
      </c>
      <c r="M59" s="6">
        <v>0</v>
      </c>
      <c r="N59" s="6">
        <v>0</v>
      </c>
      <c r="O59" s="6">
        <v>14696</v>
      </c>
      <c r="P59" s="6">
        <v>0</v>
      </c>
      <c r="Q59" s="6">
        <v>102873</v>
      </c>
      <c r="R59" s="6">
        <v>44088</v>
      </c>
      <c r="S59" s="6">
        <v>33066</v>
      </c>
      <c r="T59" s="6">
        <v>3541899</v>
      </c>
      <c r="U59" s="6">
        <v>2782921</v>
      </c>
      <c r="V59" s="6">
        <v>984353</v>
      </c>
      <c r="W59" s="6">
        <v>0</v>
      </c>
      <c r="X59" s="6">
        <v>8241028</v>
      </c>
      <c r="Y59" s="6">
        <v>0</v>
      </c>
      <c r="Z59" s="6">
        <v>165227</v>
      </c>
      <c r="AA59" s="6">
        <v>102206</v>
      </c>
      <c r="AB59" s="6">
        <v>15755</v>
      </c>
      <c r="AC59" s="6">
        <v>14139</v>
      </c>
      <c r="AD59" s="6">
        <v>222187</v>
      </c>
      <c r="AE59" s="6">
        <v>31510</v>
      </c>
      <c r="AF59" s="6">
        <v>0</v>
      </c>
      <c r="AG59" s="6">
        <v>0</v>
      </c>
      <c r="AH59" s="6">
        <v>66656</v>
      </c>
      <c r="AI59" s="6">
        <v>43226</v>
      </c>
      <c r="AJ59" s="6">
        <v>19391</v>
      </c>
      <c r="AK59" s="6">
        <v>0</v>
      </c>
      <c r="AL59" s="6">
        <v>42418</v>
      </c>
      <c r="AM59" s="6">
        <v>1616</v>
      </c>
      <c r="AN59" s="6">
        <v>114730</v>
      </c>
      <c r="AO59" s="6">
        <v>51305</v>
      </c>
      <c r="AP59" s="6">
        <v>277128</v>
      </c>
      <c r="AQ59" s="6">
        <v>20603</v>
      </c>
      <c r="AR59" s="6">
        <v>13735</v>
      </c>
      <c r="AS59" s="6">
        <v>0</v>
      </c>
      <c r="AT59" s="6">
        <v>148260</v>
      </c>
      <c r="AU59" s="6">
        <v>86451</v>
      </c>
      <c r="AV59" s="6">
        <v>25855</v>
      </c>
      <c r="AW59" s="6">
        <v>27066</v>
      </c>
      <c r="AX59" s="6">
        <v>0</v>
      </c>
      <c r="AY59" s="6">
        <v>341556</v>
      </c>
      <c r="AZ59" s="6">
        <v>0</v>
      </c>
      <c r="BA59" s="6">
        <v>80795</v>
      </c>
      <c r="BB59" s="6">
        <v>53729</v>
      </c>
      <c r="BC59" s="6">
        <v>66132</v>
      </c>
      <c r="BD59" s="6">
        <v>444557</v>
      </c>
      <c r="BE59" s="6">
        <v>271878</v>
      </c>
      <c r="BF59" s="6">
        <v>33066</v>
      </c>
      <c r="BG59" s="6">
        <v>121243</v>
      </c>
      <c r="BH59" s="6">
        <v>0</v>
      </c>
      <c r="BI59" s="6">
        <v>0</v>
      </c>
      <c r="BJ59" s="6">
        <v>1389194</v>
      </c>
      <c r="BK59" s="6">
        <v>381321</v>
      </c>
      <c r="BL59" s="6">
        <v>0</v>
      </c>
      <c r="BM59" s="6">
        <v>171375</v>
      </c>
      <c r="BN59" s="6">
        <v>171375</v>
      </c>
      <c r="BO59" s="6">
        <v>171375</v>
      </c>
      <c r="BP59" s="6">
        <v>171375</v>
      </c>
      <c r="BQ59" s="6">
        <v>171375</v>
      </c>
      <c r="BR59" s="6">
        <v>171375</v>
      </c>
      <c r="BS59" s="6">
        <v>171375</v>
      </c>
      <c r="BT59" s="6">
        <v>171375</v>
      </c>
      <c r="BU59" s="6">
        <v>171375</v>
      </c>
      <c r="BV59" s="6">
        <v>1542387</v>
      </c>
      <c r="BW59" s="6">
        <v>171375</v>
      </c>
      <c r="BX59" s="6">
        <v>171375</v>
      </c>
      <c r="BY59" s="6">
        <v>1487321</v>
      </c>
      <c r="BZ59" s="6">
        <v>3430475</v>
      </c>
      <c r="CA59" s="6">
        <v>381164</v>
      </c>
      <c r="CB59" s="6">
        <v>0</v>
      </c>
      <c r="CC59" s="6">
        <v>155499</v>
      </c>
      <c r="CD59" s="6">
        <v>1399498</v>
      </c>
      <c r="CE59" s="6">
        <v>37869</v>
      </c>
      <c r="CF59" s="6">
        <v>0</v>
      </c>
      <c r="CG59" s="6">
        <v>501737</v>
      </c>
      <c r="CH59" s="6">
        <v>9020051</v>
      </c>
      <c r="CI59" s="6">
        <v>834809</v>
      </c>
      <c r="CJ59" s="6">
        <v>2431353</v>
      </c>
      <c r="CK59" s="6">
        <v>0</v>
      </c>
      <c r="CL59" s="6">
        <v>5224797</v>
      </c>
      <c r="CM59" s="6">
        <v>1075479</v>
      </c>
      <c r="CN59" s="6">
        <v>1075479</v>
      </c>
      <c r="CO59" s="6">
        <v>1075479</v>
      </c>
      <c r="CP59" s="6">
        <v>0</v>
      </c>
      <c r="CQ59" s="6">
        <v>9679315</v>
      </c>
      <c r="CR59" s="6">
        <v>68150562</v>
      </c>
    </row>
    <row r="60" spans="2:96" ht="15.95" customHeight="1" x14ac:dyDescent="0.25">
      <c r="B60" s="5" t="s">
        <v>150</v>
      </c>
      <c r="C60" s="6">
        <v>0</v>
      </c>
      <c r="D60" s="6">
        <v>2375191</v>
      </c>
      <c r="E60" s="6">
        <v>77736</v>
      </c>
      <c r="F60" s="6">
        <v>77736</v>
      </c>
      <c r="G60" s="6">
        <v>0</v>
      </c>
      <c r="H60" s="6">
        <v>0</v>
      </c>
      <c r="I60" s="6">
        <v>0</v>
      </c>
      <c r="J60" s="6">
        <v>88699</v>
      </c>
      <c r="K60" s="6">
        <v>47634</v>
      </c>
      <c r="L60" s="6">
        <v>75558</v>
      </c>
      <c r="M60" s="6">
        <v>0</v>
      </c>
      <c r="N60" s="6">
        <v>0</v>
      </c>
      <c r="O60" s="6">
        <v>6570</v>
      </c>
      <c r="P60" s="6">
        <v>0</v>
      </c>
      <c r="Q60" s="6">
        <v>45992</v>
      </c>
      <c r="R60" s="6">
        <v>19711</v>
      </c>
      <c r="S60" s="6">
        <v>14783</v>
      </c>
      <c r="T60" s="6">
        <v>669894</v>
      </c>
      <c r="U60" s="6">
        <v>526345</v>
      </c>
      <c r="V60" s="6">
        <v>55511</v>
      </c>
      <c r="W60" s="6">
        <v>0</v>
      </c>
      <c r="X60" s="6">
        <v>463838</v>
      </c>
      <c r="Y60" s="6">
        <v>0</v>
      </c>
      <c r="Z60" s="6">
        <v>151413</v>
      </c>
      <c r="AA60" s="6">
        <v>93661</v>
      </c>
      <c r="AB60" s="6">
        <v>14438</v>
      </c>
      <c r="AC60" s="6">
        <v>12957</v>
      </c>
      <c r="AD60" s="6">
        <v>203612</v>
      </c>
      <c r="AE60" s="6">
        <v>28876</v>
      </c>
      <c r="AF60" s="6">
        <v>0</v>
      </c>
      <c r="AG60" s="6">
        <v>0</v>
      </c>
      <c r="AH60" s="6">
        <v>61083</v>
      </c>
      <c r="AI60" s="6">
        <v>39612</v>
      </c>
      <c r="AJ60" s="6">
        <v>17770</v>
      </c>
      <c r="AK60" s="6">
        <v>0</v>
      </c>
      <c r="AL60" s="6">
        <v>38871</v>
      </c>
      <c r="AM60" s="6">
        <v>1481</v>
      </c>
      <c r="AN60" s="6">
        <v>105138</v>
      </c>
      <c r="AO60" s="6">
        <v>47016</v>
      </c>
      <c r="AP60" s="6">
        <v>253959</v>
      </c>
      <c r="AQ60" s="6">
        <v>18880</v>
      </c>
      <c r="AR60" s="6">
        <v>12587</v>
      </c>
      <c r="AS60" s="6">
        <v>0</v>
      </c>
      <c r="AT60" s="6">
        <v>135864</v>
      </c>
      <c r="AU60" s="6">
        <v>79223</v>
      </c>
      <c r="AV60" s="6">
        <v>23693</v>
      </c>
      <c r="AW60" s="6">
        <v>24804</v>
      </c>
      <c r="AX60" s="6">
        <v>0</v>
      </c>
      <c r="AY60" s="6">
        <v>97734</v>
      </c>
      <c r="AZ60" s="6">
        <v>0</v>
      </c>
      <c r="BA60" s="6">
        <v>74041</v>
      </c>
      <c r="BB60" s="6">
        <v>49237</v>
      </c>
      <c r="BC60" s="6">
        <v>29566</v>
      </c>
      <c r="BD60" s="6">
        <v>198751</v>
      </c>
      <c r="BE60" s="6">
        <v>121550</v>
      </c>
      <c r="BF60" s="6">
        <v>14783</v>
      </c>
      <c r="BG60" s="6">
        <v>54205</v>
      </c>
      <c r="BH60" s="6">
        <v>0</v>
      </c>
      <c r="BI60" s="6">
        <v>0</v>
      </c>
      <c r="BJ60" s="6">
        <v>0</v>
      </c>
      <c r="BK60" s="6">
        <v>946164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18564</v>
      </c>
      <c r="BW60" s="6">
        <v>0</v>
      </c>
      <c r="BX60" s="6">
        <v>0</v>
      </c>
      <c r="BY60" s="6">
        <v>205347</v>
      </c>
      <c r="BZ60" s="6">
        <v>0</v>
      </c>
      <c r="CA60" s="6">
        <v>0</v>
      </c>
      <c r="CB60" s="6">
        <v>0</v>
      </c>
      <c r="CC60" s="6">
        <v>0</v>
      </c>
      <c r="CD60" s="6">
        <v>203031</v>
      </c>
      <c r="CE60" s="6">
        <v>0</v>
      </c>
      <c r="CF60" s="6">
        <v>0</v>
      </c>
      <c r="CG60" s="6">
        <v>30780</v>
      </c>
      <c r="CH60" s="6">
        <v>0</v>
      </c>
      <c r="CI60" s="6">
        <v>43655</v>
      </c>
      <c r="CJ60" s="6">
        <v>44216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8041760</v>
      </c>
    </row>
    <row r="61" spans="2:96" ht="15.95" customHeight="1" x14ac:dyDescent="0.25">
      <c r="B61" s="5" t="s">
        <v>151</v>
      </c>
      <c r="C61" s="6">
        <v>0</v>
      </c>
      <c r="D61" s="6">
        <v>656733</v>
      </c>
      <c r="E61" s="6">
        <v>35202</v>
      </c>
      <c r="F61" s="6">
        <v>35202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162378</v>
      </c>
      <c r="U61" s="6">
        <v>127582</v>
      </c>
      <c r="V61" s="6">
        <v>71312</v>
      </c>
      <c r="W61" s="6">
        <v>0</v>
      </c>
      <c r="X61" s="6">
        <v>377837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2999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60277</v>
      </c>
      <c r="BK61" s="6">
        <v>41239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68224</v>
      </c>
      <c r="BW61" s="6">
        <v>0</v>
      </c>
      <c r="BX61" s="6">
        <v>0</v>
      </c>
      <c r="BY61" s="6">
        <v>145899</v>
      </c>
      <c r="BZ61" s="6">
        <v>130036</v>
      </c>
      <c r="CA61" s="6">
        <v>0</v>
      </c>
      <c r="CB61" s="6">
        <v>0</v>
      </c>
      <c r="CC61" s="6">
        <v>0</v>
      </c>
      <c r="CD61" s="6">
        <v>76262</v>
      </c>
      <c r="CE61" s="6">
        <v>49980</v>
      </c>
      <c r="CF61" s="6">
        <v>0</v>
      </c>
      <c r="CG61" s="6">
        <v>28643</v>
      </c>
      <c r="CH61" s="6">
        <v>431002</v>
      </c>
      <c r="CI61" s="6">
        <v>49229</v>
      </c>
      <c r="CJ61" s="6">
        <v>875743</v>
      </c>
      <c r="CK61" s="6">
        <v>0</v>
      </c>
      <c r="CL61" s="6">
        <v>171483</v>
      </c>
      <c r="CM61" s="6">
        <v>0</v>
      </c>
      <c r="CN61" s="6">
        <v>0</v>
      </c>
      <c r="CO61" s="6">
        <v>0</v>
      </c>
      <c r="CP61" s="6">
        <v>0</v>
      </c>
      <c r="CQ61" s="6">
        <v>4231552</v>
      </c>
      <c r="CR61" s="6">
        <v>7828814</v>
      </c>
    </row>
    <row r="62" spans="2:96" ht="15.95" customHeight="1" x14ac:dyDescent="0.25">
      <c r="B62" s="5" t="s">
        <v>152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</row>
    <row r="63" spans="2:96" ht="15.95" customHeight="1" x14ac:dyDescent="0.25">
      <c r="B63" s="5" t="s">
        <v>153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20944</v>
      </c>
      <c r="CA63" s="6">
        <v>0</v>
      </c>
      <c r="CB63" s="6">
        <v>0</v>
      </c>
      <c r="CC63" s="6">
        <v>0</v>
      </c>
      <c r="CD63" s="6">
        <v>444096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128549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593589</v>
      </c>
    </row>
    <row r="64" spans="2:96" ht="15.95" customHeight="1" x14ac:dyDescent="0.25">
      <c r="B64" s="5" t="s">
        <v>154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</row>
    <row r="65" spans="2:96" ht="15.95" customHeight="1" x14ac:dyDescent="0.25">
      <c r="B65" s="5" t="s">
        <v>155</v>
      </c>
      <c r="C65" s="6">
        <v>0</v>
      </c>
      <c r="D65" s="6">
        <v>537161</v>
      </c>
      <c r="E65" s="6">
        <v>44220</v>
      </c>
      <c r="F65" s="6">
        <v>44220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139225</v>
      </c>
      <c r="U65" s="6">
        <v>109391</v>
      </c>
      <c r="V65" s="6">
        <v>2785</v>
      </c>
      <c r="W65" s="6">
        <v>0</v>
      </c>
      <c r="X65" s="6">
        <v>243952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46754</v>
      </c>
      <c r="BK65" s="6">
        <v>14887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1392</v>
      </c>
      <c r="BW65" s="6">
        <v>0</v>
      </c>
      <c r="BX65" s="6">
        <v>0</v>
      </c>
      <c r="BY65" s="6">
        <v>53989</v>
      </c>
      <c r="BZ65" s="6">
        <v>31015</v>
      </c>
      <c r="CA65" s="6">
        <v>0</v>
      </c>
      <c r="CB65" s="6">
        <v>0</v>
      </c>
      <c r="CC65" s="6">
        <v>0</v>
      </c>
      <c r="CD65" s="6">
        <v>587564</v>
      </c>
      <c r="CE65" s="6">
        <v>43197</v>
      </c>
      <c r="CF65" s="6">
        <v>0</v>
      </c>
      <c r="CG65" s="6">
        <v>25618</v>
      </c>
      <c r="CH65" s="6">
        <v>25216</v>
      </c>
      <c r="CI65" s="6">
        <v>517948</v>
      </c>
      <c r="CJ65" s="6">
        <v>309028</v>
      </c>
      <c r="CK65" s="6">
        <v>0</v>
      </c>
      <c r="CL65" s="6">
        <v>1647729</v>
      </c>
      <c r="CM65" s="6">
        <v>0</v>
      </c>
      <c r="CN65" s="6">
        <v>0</v>
      </c>
      <c r="CO65" s="6">
        <v>0</v>
      </c>
      <c r="CP65" s="6">
        <v>0</v>
      </c>
      <c r="CQ65" s="6">
        <v>1751132</v>
      </c>
      <c r="CR65" s="6">
        <v>6176423</v>
      </c>
    </row>
    <row r="66" spans="2:96" ht="15.95" customHeight="1" x14ac:dyDescent="0.25">
      <c r="B66" s="5" t="s">
        <v>156</v>
      </c>
      <c r="C66" s="6">
        <v>51039795.023213446</v>
      </c>
      <c r="D66" s="6">
        <v>4212289.5895883329</v>
      </c>
      <c r="E66" s="6">
        <v>1843026.6293949648</v>
      </c>
      <c r="F66" s="6">
        <v>1092668.8466275297</v>
      </c>
      <c r="G66" s="6">
        <v>431395.80391280283</v>
      </c>
      <c r="H66" s="6">
        <v>0</v>
      </c>
      <c r="I66" s="6">
        <v>0</v>
      </c>
      <c r="J66" s="6">
        <v>606595</v>
      </c>
      <c r="K66" s="6">
        <v>325764</v>
      </c>
      <c r="L66" s="6">
        <v>516729</v>
      </c>
      <c r="M66" s="6">
        <v>0</v>
      </c>
      <c r="N66" s="6">
        <v>0</v>
      </c>
      <c r="O66" s="6">
        <v>44933</v>
      </c>
      <c r="P66" s="6">
        <v>0</v>
      </c>
      <c r="Q66" s="6">
        <v>314531</v>
      </c>
      <c r="R66" s="6">
        <v>134799</v>
      </c>
      <c r="S66" s="6">
        <v>101099</v>
      </c>
      <c r="T66" s="6">
        <v>3330454</v>
      </c>
      <c r="U66" s="6">
        <v>2616785</v>
      </c>
      <c r="V66" s="6">
        <v>1694121</v>
      </c>
      <c r="W66" s="6">
        <v>0</v>
      </c>
      <c r="X66" s="6">
        <v>16948377</v>
      </c>
      <c r="Y66" s="6">
        <v>0</v>
      </c>
      <c r="Z66" s="6">
        <v>95219260</v>
      </c>
      <c r="AA66" s="6">
        <v>23987271</v>
      </c>
      <c r="AB66" s="6">
        <v>1440325</v>
      </c>
      <c r="AC66" s="6">
        <v>9069119</v>
      </c>
      <c r="AD66" s="6">
        <v>31221255</v>
      </c>
      <c r="AE66" s="6">
        <v>2199703</v>
      </c>
      <c r="AF66" s="6">
        <v>0</v>
      </c>
      <c r="AG66" s="6">
        <v>0</v>
      </c>
      <c r="AH66" s="6">
        <v>1685939</v>
      </c>
      <c r="AI66" s="6">
        <v>293606</v>
      </c>
      <c r="AJ66" s="6">
        <v>74022</v>
      </c>
      <c r="AK66" s="6">
        <v>0</v>
      </c>
      <c r="AL66" s="6">
        <v>3058280</v>
      </c>
      <c r="AM66" s="6">
        <v>70096</v>
      </c>
      <c r="AN66" s="6">
        <v>495695</v>
      </c>
      <c r="AO66" s="6">
        <v>6702326</v>
      </c>
      <c r="AP66" s="6">
        <v>2840065</v>
      </c>
      <c r="AQ66" s="6">
        <v>719629</v>
      </c>
      <c r="AR66" s="6">
        <v>205970</v>
      </c>
      <c r="AS66" s="6">
        <v>0</v>
      </c>
      <c r="AT66" s="6">
        <v>887482</v>
      </c>
      <c r="AU66" s="6">
        <v>2277429</v>
      </c>
      <c r="AV66" s="6">
        <v>3704091</v>
      </c>
      <c r="AW66" s="6">
        <v>431</v>
      </c>
      <c r="AX66" s="6">
        <v>12596</v>
      </c>
      <c r="AY66" s="6">
        <v>1639478</v>
      </c>
      <c r="AZ66" s="6">
        <v>36583</v>
      </c>
      <c r="BA66" s="6">
        <v>757486</v>
      </c>
      <c r="BB66" s="6">
        <v>207847</v>
      </c>
      <c r="BC66" s="6">
        <v>0</v>
      </c>
      <c r="BD66" s="6">
        <v>202198</v>
      </c>
      <c r="BE66" s="6">
        <v>1359222</v>
      </c>
      <c r="BF66" s="6">
        <v>831260</v>
      </c>
      <c r="BG66" s="6">
        <v>101099</v>
      </c>
      <c r="BH66" s="6">
        <v>370697</v>
      </c>
      <c r="BI66" s="6">
        <v>107171</v>
      </c>
      <c r="BJ66" s="6">
        <v>268402</v>
      </c>
      <c r="BK66" s="6">
        <v>886963</v>
      </c>
      <c r="BL66" s="6">
        <v>0</v>
      </c>
      <c r="BM66" s="6">
        <v>0</v>
      </c>
      <c r="BN66" s="6">
        <v>0</v>
      </c>
      <c r="BO66" s="6">
        <v>0</v>
      </c>
      <c r="BP66" s="6">
        <v>20286</v>
      </c>
      <c r="BQ66" s="6">
        <v>0</v>
      </c>
      <c r="BR66" s="6">
        <v>2764</v>
      </c>
      <c r="BS66" s="6">
        <v>0</v>
      </c>
      <c r="BT66" s="6">
        <v>0</v>
      </c>
      <c r="BU66" s="6">
        <v>0</v>
      </c>
      <c r="BV66" s="6">
        <v>4857643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82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283067133.89273709</v>
      </c>
    </row>
    <row r="67" spans="2:96" ht="15.95" customHeight="1" x14ac:dyDescent="0.25">
      <c r="B67" s="5" t="s">
        <v>157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942338</v>
      </c>
      <c r="CR67" s="6">
        <v>942338</v>
      </c>
    </row>
    <row r="68" spans="2:96" ht="15.95" customHeight="1" x14ac:dyDescent="0.25">
      <c r="B68" s="5" t="s">
        <v>158</v>
      </c>
      <c r="C68" s="6">
        <v>0</v>
      </c>
      <c r="D68" s="6">
        <v>727865</v>
      </c>
      <c r="E68" s="6">
        <v>19460</v>
      </c>
      <c r="F68" s="6">
        <v>19461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414085</v>
      </c>
      <c r="U68" s="6">
        <v>325352</v>
      </c>
      <c r="V68" s="6">
        <v>4463</v>
      </c>
      <c r="W68" s="6">
        <v>0</v>
      </c>
      <c r="X68" s="6">
        <v>767061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919626</v>
      </c>
      <c r="BK68" s="6">
        <v>182227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73187</v>
      </c>
      <c r="BW68" s="6">
        <v>0</v>
      </c>
      <c r="BX68" s="6">
        <v>0</v>
      </c>
      <c r="BY68" s="6">
        <v>153487</v>
      </c>
      <c r="BZ68" s="6">
        <v>917583</v>
      </c>
      <c r="CA68" s="6">
        <v>0</v>
      </c>
      <c r="CB68" s="6">
        <v>0</v>
      </c>
      <c r="CC68" s="6">
        <v>0</v>
      </c>
      <c r="CD68" s="6">
        <v>219914</v>
      </c>
      <c r="CE68" s="6">
        <v>64135</v>
      </c>
      <c r="CF68" s="6">
        <v>0</v>
      </c>
      <c r="CG68" s="6">
        <v>1268831</v>
      </c>
      <c r="CH68" s="6">
        <v>1216</v>
      </c>
      <c r="CI68" s="6">
        <v>199479</v>
      </c>
      <c r="CJ68" s="6">
        <v>518563</v>
      </c>
      <c r="CK68" s="6">
        <v>0</v>
      </c>
      <c r="CL68" s="6">
        <v>47009</v>
      </c>
      <c r="CM68" s="6">
        <v>0</v>
      </c>
      <c r="CN68" s="6">
        <v>0</v>
      </c>
      <c r="CO68" s="6">
        <v>0</v>
      </c>
      <c r="CP68" s="6">
        <v>0</v>
      </c>
      <c r="CQ68" s="6">
        <v>3972505</v>
      </c>
      <c r="CR68" s="6">
        <v>10815509</v>
      </c>
    </row>
    <row r="69" spans="2:96" ht="15.95" customHeight="1" x14ac:dyDescent="0.25">
      <c r="B69" s="5" t="s">
        <v>159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107100</v>
      </c>
      <c r="BW69" s="6">
        <v>0</v>
      </c>
      <c r="BX69" s="6">
        <v>0</v>
      </c>
      <c r="BY69" s="6">
        <v>232050</v>
      </c>
      <c r="BZ69" s="6">
        <v>66765628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9635419</v>
      </c>
      <c r="CI69" s="6">
        <v>0</v>
      </c>
      <c r="CJ69" s="6">
        <v>405317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18285702</v>
      </c>
      <c r="CR69" s="6">
        <v>95431216</v>
      </c>
    </row>
    <row r="70" spans="2:96" ht="15.95" customHeight="1" x14ac:dyDescent="0.25">
      <c r="B70" s="5" t="s">
        <v>160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8990428</v>
      </c>
      <c r="CR70" s="6">
        <v>8990428</v>
      </c>
    </row>
    <row r="71" spans="2:96" ht="15.95" customHeight="1" x14ac:dyDescent="0.25">
      <c r="B71" s="7" t="s">
        <v>161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</row>
    <row r="72" spans="2:96" ht="15.95" customHeight="1" x14ac:dyDescent="0.25">
      <c r="B72" s="7" t="s">
        <v>162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16164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6487081</v>
      </c>
      <c r="CI72" s="6">
        <v>0</v>
      </c>
      <c r="CJ72" s="6">
        <v>0</v>
      </c>
      <c r="CK72" s="6">
        <v>0</v>
      </c>
      <c r="CL72" s="6">
        <v>14094929</v>
      </c>
      <c r="CM72" s="6">
        <v>0</v>
      </c>
      <c r="CN72" s="6">
        <v>0</v>
      </c>
      <c r="CO72" s="6">
        <v>0</v>
      </c>
      <c r="CP72" s="6">
        <v>0</v>
      </c>
      <c r="CQ72" s="6">
        <v>532916</v>
      </c>
      <c r="CR72" s="6">
        <v>21131090</v>
      </c>
    </row>
    <row r="73" spans="2:96" ht="15.95" customHeight="1" x14ac:dyDescent="0.25">
      <c r="B73" s="11" t="s">
        <v>163</v>
      </c>
      <c r="C73" s="12">
        <v>316431403.72321647</v>
      </c>
      <c r="D73" s="12">
        <v>103850386.54894064</v>
      </c>
      <c r="E73" s="12">
        <v>133799395.5767902</v>
      </c>
      <c r="F73" s="12">
        <v>35757357.288716234</v>
      </c>
      <c r="G73" s="12">
        <v>25959871.315010395</v>
      </c>
      <c r="H73" s="12">
        <v>0</v>
      </c>
      <c r="I73" s="12">
        <v>0</v>
      </c>
      <c r="J73" s="12">
        <v>24181380.269209985</v>
      </c>
      <c r="K73" s="12">
        <v>15649399.417534001</v>
      </c>
      <c r="L73" s="12">
        <v>22789363.624349639</v>
      </c>
      <c r="M73" s="12">
        <v>0</v>
      </c>
      <c r="N73" s="12">
        <v>0</v>
      </c>
      <c r="O73" s="12">
        <v>3749233.2668011501</v>
      </c>
      <c r="P73" s="12">
        <v>0</v>
      </c>
      <c r="Q73" s="12">
        <v>92847885.786426738</v>
      </c>
      <c r="R73" s="12">
        <v>9113464.5244055167</v>
      </c>
      <c r="S73" s="12">
        <v>6774228.368371997</v>
      </c>
      <c r="T73" s="12">
        <v>69344369.841077879</v>
      </c>
      <c r="U73" s="12">
        <v>63117842.750300325</v>
      </c>
      <c r="V73" s="12">
        <v>38984616.160391055</v>
      </c>
      <c r="W73" s="12">
        <v>0</v>
      </c>
      <c r="X73" s="12">
        <v>289460421.47609174</v>
      </c>
      <c r="Y73" s="12">
        <v>0</v>
      </c>
      <c r="Z73" s="12">
        <v>121983194.70788658</v>
      </c>
      <c r="AA73" s="12">
        <v>41590723.652406834</v>
      </c>
      <c r="AB73" s="12">
        <v>3867542.6468202411</v>
      </c>
      <c r="AC73" s="12">
        <v>13091795.618887281</v>
      </c>
      <c r="AD73" s="12">
        <v>114251681.8137604</v>
      </c>
      <c r="AE73" s="12">
        <v>4925919.6133006886</v>
      </c>
      <c r="AF73" s="12">
        <v>0</v>
      </c>
      <c r="AG73" s="12">
        <v>0</v>
      </c>
      <c r="AH73" s="12">
        <v>24356228.191157408</v>
      </c>
      <c r="AI73" s="12">
        <v>15766520.613300689</v>
      </c>
      <c r="AJ73" s="12">
        <v>2470200.8255911912</v>
      </c>
      <c r="AK73" s="12">
        <v>0</v>
      </c>
      <c r="AL73" s="12">
        <v>4543091.8646973362</v>
      </c>
      <c r="AM73" s="12">
        <v>775841.00436214055</v>
      </c>
      <c r="AN73" s="12">
        <v>10129381.107264824</v>
      </c>
      <c r="AO73" s="12">
        <v>9312600.1943062749</v>
      </c>
      <c r="AP73" s="12">
        <v>7152923.226474341</v>
      </c>
      <c r="AQ73" s="12">
        <v>5720000.518328622</v>
      </c>
      <c r="AR73" s="12">
        <v>1267301.7266942058</v>
      </c>
      <c r="AS73" s="12">
        <v>0</v>
      </c>
      <c r="AT73" s="12">
        <v>12693697.038917411</v>
      </c>
      <c r="AU73" s="12">
        <v>9178716.9261498507</v>
      </c>
      <c r="AV73" s="12">
        <v>6395798.529501806</v>
      </c>
      <c r="AW73" s="12">
        <v>1103176.451289515</v>
      </c>
      <c r="AX73" s="12">
        <v>2064246.7814759288</v>
      </c>
      <c r="AY73" s="12">
        <v>12224489.356317449</v>
      </c>
      <c r="AZ73" s="12">
        <v>398141.59875583625</v>
      </c>
      <c r="BA73" s="12">
        <v>5921186.3563174475</v>
      </c>
      <c r="BB73" s="12">
        <v>3028435.3507308559</v>
      </c>
      <c r="BC73" s="12">
        <v>10069739.673455797</v>
      </c>
      <c r="BD73" s="12">
        <v>54234586.73373457</v>
      </c>
      <c r="BE73" s="12">
        <v>35124159.07787922</v>
      </c>
      <c r="BF73" s="12">
        <v>8010093.2200479731</v>
      </c>
      <c r="BG73" s="12">
        <v>16470731.812394343</v>
      </c>
      <c r="BH73" s="12">
        <v>2366183.8829148859</v>
      </c>
      <c r="BI73" s="12">
        <v>19135903.882914886</v>
      </c>
      <c r="BJ73" s="12">
        <v>91851204.494024307</v>
      </c>
      <c r="BK73" s="12">
        <v>16626124</v>
      </c>
      <c r="BL73" s="12">
        <v>24915160.193145439</v>
      </c>
      <c r="BM73" s="12">
        <v>9519181.6411758065</v>
      </c>
      <c r="BN73" s="12">
        <v>7063814.6411758056</v>
      </c>
      <c r="BO73" s="12">
        <v>6324811.0378238503</v>
      </c>
      <c r="BP73" s="12">
        <v>10269627.076929996</v>
      </c>
      <c r="BQ73" s="12">
        <v>15786688.09368977</v>
      </c>
      <c r="BR73" s="12">
        <v>8798625.6663255058</v>
      </c>
      <c r="BS73" s="12">
        <v>7941050.6411758056</v>
      </c>
      <c r="BT73" s="12">
        <v>9877938.6411758065</v>
      </c>
      <c r="BU73" s="12">
        <v>15195088.451231673</v>
      </c>
      <c r="BV73" s="12">
        <v>17955935.00739532</v>
      </c>
      <c r="BW73" s="12">
        <v>5849528.6411758056</v>
      </c>
      <c r="BX73" s="12">
        <v>18110460.228175994</v>
      </c>
      <c r="BY73" s="12">
        <v>18957056.994954951</v>
      </c>
      <c r="BZ73" s="12">
        <v>133446850.10765624</v>
      </c>
      <c r="CA73" s="12">
        <v>18874413.074732158</v>
      </c>
      <c r="CB73" s="12">
        <v>0</v>
      </c>
      <c r="CC73" s="12">
        <v>15731698.18866184</v>
      </c>
      <c r="CD73" s="12">
        <v>87166288.335699603</v>
      </c>
      <c r="CE73" s="12">
        <v>85643455.541212603</v>
      </c>
      <c r="CF73" s="12">
        <v>0</v>
      </c>
      <c r="CG73" s="12">
        <v>16421380.51396648</v>
      </c>
      <c r="CH73" s="12">
        <v>85437145.991230994</v>
      </c>
      <c r="CI73" s="12">
        <v>65314899.886099242</v>
      </c>
      <c r="CJ73" s="12">
        <v>95953634.250092</v>
      </c>
      <c r="CK73" s="12">
        <v>0</v>
      </c>
      <c r="CL73" s="12">
        <v>99604679.332517207</v>
      </c>
      <c r="CM73" s="12">
        <v>19642144.991231002</v>
      </c>
      <c r="CN73" s="12">
        <v>10260777.47152481</v>
      </c>
      <c r="CO73" s="12">
        <v>71008796.641175807</v>
      </c>
      <c r="CP73" s="12">
        <v>0</v>
      </c>
      <c r="CQ73" s="12">
        <v>865868794.45367086</v>
      </c>
      <c r="CR73" s="4">
        <v>3786852108.1647177</v>
      </c>
    </row>
    <row r="74" spans="2:96" ht="15.95" customHeight="1" x14ac:dyDescent="0.25">
      <c r="B74" s="11" t="s">
        <v>164</v>
      </c>
      <c r="C74" s="12">
        <v>345223643.45148444</v>
      </c>
      <c r="D74" s="12">
        <v>109596526.63123146</v>
      </c>
      <c r="E74" s="12">
        <v>120951444.75605272</v>
      </c>
      <c r="F74" s="12">
        <v>30757614.497633737</v>
      </c>
      <c r="G74" s="12">
        <v>29511689.833048016</v>
      </c>
      <c r="H74" s="12">
        <v>0</v>
      </c>
      <c r="I74" s="12">
        <v>0</v>
      </c>
      <c r="J74" s="12">
        <v>16454090.495158151</v>
      </c>
      <c r="K74" s="12">
        <v>8987126.9667138495</v>
      </c>
      <c r="L74" s="12">
        <v>13602519.725063428</v>
      </c>
      <c r="M74" s="12">
        <v>0</v>
      </c>
      <c r="N74" s="12">
        <v>0</v>
      </c>
      <c r="O74" s="12">
        <v>3291777.5257538725</v>
      </c>
      <c r="P74" s="12">
        <v>0</v>
      </c>
      <c r="Q74" s="12">
        <v>35247609.139148973</v>
      </c>
      <c r="R74" s="12">
        <v>4962560.4515744708</v>
      </c>
      <c r="S74" s="12">
        <v>6973591.5051898398</v>
      </c>
      <c r="T74" s="12">
        <v>40188837.333757132</v>
      </c>
      <c r="U74" s="12">
        <v>34434386.475962006</v>
      </c>
      <c r="V74" s="12">
        <v>19214200.483659565</v>
      </c>
      <c r="W74" s="12">
        <v>0</v>
      </c>
      <c r="X74" s="12">
        <v>238803045.43390727</v>
      </c>
      <c r="Y74" s="12">
        <v>0</v>
      </c>
      <c r="Z74" s="12">
        <v>87884512.613247335</v>
      </c>
      <c r="AA74" s="12">
        <v>30941161.838844135</v>
      </c>
      <c r="AB74" s="12">
        <v>11036132.407545207</v>
      </c>
      <c r="AC74" s="12">
        <v>17288713.840686291</v>
      </c>
      <c r="AD74" s="12">
        <v>46501701.071741566</v>
      </c>
      <c r="AE74" s="12">
        <v>1861249.4524455159</v>
      </c>
      <c r="AF74" s="12">
        <v>0</v>
      </c>
      <c r="AG74" s="12">
        <v>0</v>
      </c>
      <c r="AH74" s="12">
        <v>8578106.6509037428</v>
      </c>
      <c r="AI74" s="12">
        <v>8932819.8966469634</v>
      </c>
      <c r="AJ74" s="12">
        <v>829548.22438424546</v>
      </c>
      <c r="AK74" s="12">
        <v>0</v>
      </c>
      <c r="AL74" s="12">
        <v>2280514.1405160059</v>
      </c>
      <c r="AM74" s="12">
        <v>316279.25749132095</v>
      </c>
      <c r="AN74" s="12">
        <v>6077121.3809908442</v>
      </c>
      <c r="AO74" s="12">
        <v>32574032.488118973</v>
      </c>
      <c r="AP74" s="12">
        <v>17022202.463511683</v>
      </c>
      <c r="AQ74" s="12">
        <v>12820671.652269846</v>
      </c>
      <c r="AR74" s="12">
        <v>462444.90031842666</v>
      </c>
      <c r="AS74" s="12">
        <v>0</v>
      </c>
      <c r="AT74" s="12">
        <v>22956418.155906852</v>
      </c>
      <c r="AU74" s="12">
        <v>5212633.309452544</v>
      </c>
      <c r="AV74" s="12">
        <v>2922604.3419107981</v>
      </c>
      <c r="AW74" s="12">
        <v>765623.18279198743</v>
      </c>
      <c r="AX74" s="12">
        <v>1338025.3706014156</v>
      </c>
      <c r="AY74" s="12">
        <v>21648648.681395587</v>
      </c>
      <c r="AZ74" s="12">
        <v>946822.77353754092</v>
      </c>
      <c r="BA74" s="12">
        <v>11165601.118554477</v>
      </c>
      <c r="BB74" s="12">
        <v>1104080.9401617576</v>
      </c>
      <c r="BC74" s="12">
        <v>6057517.7914533615</v>
      </c>
      <c r="BD74" s="12">
        <v>44628296.322656721</v>
      </c>
      <c r="BE74" s="12">
        <v>21892580.472153861</v>
      </c>
      <c r="BF74" s="12">
        <v>3899079.1646632096</v>
      </c>
      <c r="BG74" s="12">
        <v>10537877.648320014</v>
      </c>
      <c r="BH74" s="12">
        <v>913486.54665225651</v>
      </c>
      <c r="BI74" s="12">
        <v>31606163.398216195</v>
      </c>
      <c r="BJ74" s="12">
        <v>129214617.29135156</v>
      </c>
      <c r="BK74" s="12">
        <v>5707889.8416282786</v>
      </c>
      <c r="BL74" s="12">
        <v>155898922.20544332</v>
      </c>
      <c r="BM74" s="12">
        <v>2956188.4604064436</v>
      </c>
      <c r="BN74" s="12">
        <v>2193672.5357112382</v>
      </c>
      <c r="BO74" s="12">
        <v>6706654.4425209593</v>
      </c>
      <c r="BP74" s="12">
        <v>3236597.1966875535</v>
      </c>
      <c r="BQ74" s="12">
        <v>20118023.565144278</v>
      </c>
      <c r="BR74" s="12">
        <v>2738877.128027746</v>
      </c>
      <c r="BS74" s="12">
        <v>2466098.7838916215</v>
      </c>
      <c r="BT74" s="12">
        <v>3067600.6955614644</v>
      </c>
      <c r="BU74" s="12">
        <v>4718845.2566220639</v>
      </c>
      <c r="BV74" s="12">
        <v>7514383.6855615526</v>
      </c>
      <c r="BW74" s="12">
        <v>1816575.176280065</v>
      </c>
      <c r="BX74" s="12">
        <v>7973179.7077173814</v>
      </c>
      <c r="BY74" s="12">
        <v>16318350.763476111</v>
      </c>
      <c r="BZ74" s="12">
        <v>45067750.589880697</v>
      </c>
      <c r="CA74" s="12">
        <v>5861462.0701339785</v>
      </c>
      <c r="CB74" s="12">
        <v>0</v>
      </c>
      <c r="CC74" s="12">
        <v>4885489.7827303875</v>
      </c>
      <c r="CD74" s="12">
        <v>28244997.578118253</v>
      </c>
      <c r="CE74" s="12">
        <v>28409503.884210076</v>
      </c>
      <c r="CF74" s="12">
        <v>0</v>
      </c>
      <c r="CG74" s="12">
        <v>19976429.3017736</v>
      </c>
      <c r="CH74" s="12">
        <v>27136854.730070766</v>
      </c>
      <c r="CI74" s="12">
        <v>24046659.918363538</v>
      </c>
      <c r="CJ74" s="12">
        <v>31611337.032563861</v>
      </c>
      <c r="CK74" s="12">
        <v>0</v>
      </c>
      <c r="CL74" s="12">
        <v>34558040.985451631</v>
      </c>
      <c r="CM74" s="12">
        <v>6099881.7492398471</v>
      </c>
      <c r="CN74" s="12">
        <v>3186491.5598325902</v>
      </c>
      <c r="CO74" s="12">
        <v>22051831.042911276</v>
      </c>
      <c r="CP74" s="12">
        <v>0</v>
      </c>
      <c r="CQ74" s="12">
        <v>41244599.378551558</v>
      </c>
      <c r="CR74" s="4">
        <v>2226231142.5432935</v>
      </c>
    </row>
    <row r="75" spans="2:96" ht="15.95" customHeight="1" x14ac:dyDescent="0.25">
      <c r="B75" s="7" t="s">
        <v>62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12475370.101582043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6">
        <v>12475370.101582043</v>
      </c>
    </row>
    <row r="76" spans="2:96" ht="15.95" customHeight="1" x14ac:dyDescent="0.25">
      <c r="B76" s="7" t="s">
        <v>63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9257487.1768868901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6">
        <v>9257487.1768868901</v>
      </c>
    </row>
    <row r="77" spans="2:96" ht="15.95" customHeight="1" x14ac:dyDescent="0.25">
      <c r="B77" s="7" t="s">
        <v>64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13031465.480344014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6">
        <v>13031465.480344014</v>
      </c>
    </row>
    <row r="78" spans="2:96" ht="15.95" customHeight="1" x14ac:dyDescent="0.25">
      <c r="B78" s="7" t="s">
        <v>65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6753112.1368086608</v>
      </c>
      <c r="AZ78" s="8">
        <v>0</v>
      </c>
      <c r="BA78" s="8">
        <v>6753112.1368086608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6">
        <v>13506224.273617322</v>
      </c>
    </row>
    <row r="79" spans="2:96" ht="15.95" customHeight="1" x14ac:dyDescent="0.25">
      <c r="B79" s="7" t="s">
        <v>66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35904711.658831596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6">
        <v>35904711.658831596</v>
      </c>
    </row>
    <row r="80" spans="2:96" ht="15.95" customHeight="1" x14ac:dyDescent="0.25">
      <c r="B80" s="7" t="s">
        <v>67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11537502.79435306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6">
        <v>11537502.79435306</v>
      </c>
    </row>
    <row r="81" spans="2:96" ht="15.95" customHeight="1" x14ac:dyDescent="0.25">
      <c r="B81" s="7" t="s">
        <v>68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10407149.425067253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6">
        <v>10407149.425067253</v>
      </c>
    </row>
    <row r="82" spans="2:96" ht="15.95" customHeight="1" x14ac:dyDescent="0.25">
      <c r="B82" s="7" t="s">
        <v>69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12945539.336737055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6">
        <v>12945539.336737055</v>
      </c>
    </row>
    <row r="83" spans="2:96" ht="15.95" customHeight="1" x14ac:dyDescent="0.25">
      <c r="B83" s="7" t="s">
        <v>70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19913933.707853407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6">
        <v>19913933.707853407</v>
      </c>
    </row>
    <row r="84" spans="2:96" ht="15.95" customHeight="1" x14ac:dyDescent="0.25">
      <c r="B84" s="7" t="s">
        <v>71</v>
      </c>
      <c r="C84" s="8">
        <v>2394645.3472010335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217695.03156373033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16109432.335716045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6748545.9784756405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6">
        <v>25470318.692956451</v>
      </c>
    </row>
    <row r="85" spans="2:96" ht="15.95" customHeight="1" x14ac:dyDescent="0.25">
      <c r="B85" s="7" t="s">
        <v>72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7666103.8174557425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6">
        <v>7666103.8174557425</v>
      </c>
    </row>
    <row r="86" spans="2:96" ht="15.95" customHeight="1" x14ac:dyDescent="0.25">
      <c r="B86" s="7" t="s">
        <v>73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197603.33284767391</v>
      </c>
      <c r="K86" s="8">
        <v>0</v>
      </c>
      <c r="L86" s="8">
        <v>0</v>
      </c>
      <c r="M86" s="8">
        <v>0</v>
      </c>
      <c r="N86" s="8">
        <v>0</v>
      </c>
      <c r="O86" s="8">
        <v>1580826.6627813913</v>
      </c>
      <c r="P86" s="8">
        <v>0</v>
      </c>
      <c r="Q86" s="8">
        <v>790413.33139069565</v>
      </c>
      <c r="R86" s="8">
        <v>0</v>
      </c>
      <c r="S86" s="8">
        <v>3556859.9912581304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4742479.9883441739</v>
      </c>
      <c r="BP86" s="8">
        <v>0</v>
      </c>
      <c r="BQ86" s="8">
        <v>15215456.629270891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6">
        <v>26083639.935892954</v>
      </c>
    </row>
    <row r="87" spans="2:96" ht="15.95" customHeight="1" x14ac:dyDescent="0.25">
      <c r="B87" s="7" t="s">
        <v>74</v>
      </c>
      <c r="C87" s="8">
        <v>0</v>
      </c>
      <c r="D87" s="8">
        <v>0</v>
      </c>
      <c r="E87" s="8">
        <v>35275407.758430459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6">
        <v>35275407.758430459</v>
      </c>
    </row>
    <row r="88" spans="2:96" ht="15.95" customHeight="1" x14ac:dyDescent="0.25">
      <c r="B88" s="7" t="s">
        <v>75</v>
      </c>
      <c r="C88" s="8">
        <v>33789.185164738905</v>
      </c>
      <c r="D88" s="8">
        <v>22712667.902922932</v>
      </c>
      <c r="E88" s="8">
        <v>705349.24031392462</v>
      </c>
      <c r="F88" s="8">
        <v>707461.06438672077</v>
      </c>
      <c r="G88" s="8">
        <v>1351567.4065895563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7370266.0140586738</v>
      </c>
      <c r="U88" s="8">
        <v>5790621.60760713</v>
      </c>
      <c r="V88" s="8">
        <v>3036803.0166809089</v>
      </c>
      <c r="W88" s="8">
        <v>0</v>
      </c>
      <c r="X88" s="8">
        <v>60850098.833549172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202735.11098843341</v>
      </c>
      <c r="AI88" s="8">
        <v>2918540.8686043229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33789.185164738905</v>
      </c>
      <c r="BL88" s="8">
        <v>70530700.383246869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194287.81469724872</v>
      </c>
      <c r="BW88" s="8">
        <v>0</v>
      </c>
      <c r="BX88" s="8">
        <v>0</v>
      </c>
      <c r="BY88" s="8">
        <v>751809.36991544068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1324113.6936432058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6">
        <v>178514600.69753402</v>
      </c>
    </row>
    <row r="89" spans="2:96" ht="15.95" customHeight="1" x14ac:dyDescent="0.25">
      <c r="B89" s="7" t="s">
        <v>76</v>
      </c>
      <c r="C89" s="8">
        <v>0</v>
      </c>
      <c r="D89" s="8">
        <v>3219494.4507324798</v>
      </c>
      <c r="E89" s="8">
        <v>131993.53363074339</v>
      </c>
      <c r="F89" s="8">
        <v>130558.82130867009</v>
      </c>
      <c r="G89" s="8">
        <v>216641.56063306794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984212.65294228215</v>
      </c>
      <c r="U89" s="8">
        <v>773309.94159750745</v>
      </c>
      <c r="V89" s="8">
        <v>713052.02407042892</v>
      </c>
      <c r="W89" s="8">
        <v>0</v>
      </c>
      <c r="X89" s="8">
        <v>5946882.574993819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21520.684831099465</v>
      </c>
      <c r="AI89" s="8">
        <v>281203.61512636632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11456177.891755281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176469.61561501562</v>
      </c>
      <c r="BW89" s="8">
        <v>0</v>
      </c>
      <c r="BX89" s="8">
        <v>7173.5616103664879</v>
      </c>
      <c r="BY89" s="8">
        <v>390241.75160393695</v>
      </c>
      <c r="BZ89" s="8">
        <v>0</v>
      </c>
      <c r="CA89" s="8">
        <v>0</v>
      </c>
      <c r="CB89" s="8">
        <v>0</v>
      </c>
      <c r="CC89" s="8">
        <v>0</v>
      </c>
      <c r="CD89" s="8">
        <v>60257.917527078498</v>
      </c>
      <c r="CE89" s="8">
        <v>0</v>
      </c>
      <c r="CF89" s="8">
        <v>0</v>
      </c>
      <c r="CG89" s="8">
        <v>226684.54688758103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6">
        <v>24735875.144865725</v>
      </c>
    </row>
    <row r="90" spans="2:96" ht="15.95" customHeight="1" x14ac:dyDescent="0.25">
      <c r="B90" s="7" t="s">
        <v>77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6">
        <v>0</v>
      </c>
    </row>
    <row r="91" spans="2:96" ht="15.95" customHeight="1" x14ac:dyDescent="0.25">
      <c r="B91" s="7" t="s">
        <v>78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20617187.971391883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6">
        <v>20617187.971391883</v>
      </c>
    </row>
    <row r="92" spans="2:96" ht="15.95" customHeight="1" x14ac:dyDescent="0.25">
      <c r="B92" s="7" t="s">
        <v>79</v>
      </c>
      <c r="C92" s="8">
        <v>3820872.5041762195</v>
      </c>
      <c r="D92" s="8">
        <v>2250650.9271174991</v>
      </c>
      <c r="E92" s="8">
        <v>523407.1923529068</v>
      </c>
      <c r="F92" s="8">
        <v>157022.15770587203</v>
      </c>
      <c r="G92" s="8">
        <v>261703.5961764534</v>
      </c>
      <c r="H92" s="8">
        <v>0</v>
      </c>
      <c r="I92" s="8">
        <v>0</v>
      </c>
      <c r="J92" s="8">
        <v>889792.22699994151</v>
      </c>
      <c r="K92" s="8">
        <v>52340.719235290679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1360858.7001175575</v>
      </c>
      <c r="R92" s="8">
        <v>261703.5961764534</v>
      </c>
      <c r="S92" s="8">
        <v>0</v>
      </c>
      <c r="T92" s="8">
        <v>0</v>
      </c>
      <c r="U92" s="8">
        <v>0</v>
      </c>
      <c r="V92" s="8">
        <v>104681.43847058136</v>
      </c>
      <c r="W92" s="8">
        <v>0</v>
      </c>
      <c r="X92" s="8">
        <v>46897284.434820451</v>
      </c>
      <c r="Y92" s="8">
        <v>0</v>
      </c>
      <c r="Z92" s="8">
        <v>942132.94623523217</v>
      </c>
      <c r="AA92" s="8">
        <v>52340.719235290679</v>
      </c>
      <c r="AB92" s="8">
        <v>52340.719235290679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2460013.8040586617</v>
      </c>
      <c r="AO92" s="8">
        <v>785110.7885293602</v>
      </c>
      <c r="AP92" s="8">
        <v>0</v>
      </c>
      <c r="AQ92" s="8">
        <v>0</v>
      </c>
      <c r="AR92" s="8">
        <v>0</v>
      </c>
      <c r="AS92" s="8">
        <v>0</v>
      </c>
      <c r="AT92" s="8">
        <v>4867686.8888820335</v>
      </c>
      <c r="AU92" s="8">
        <v>889792.22699994151</v>
      </c>
      <c r="AV92" s="8">
        <v>0</v>
      </c>
      <c r="AW92" s="8">
        <v>418725.75388232543</v>
      </c>
      <c r="AX92" s="8">
        <v>628088.63082348811</v>
      </c>
      <c r="AY92" s="8">
        <v>9997077.37394052</v>
      </c>
      <c r="AZ92" s="8">
        <v>732770.06929406954</v>
      </c>
      <c r="BA92" s="8">
        <v>2093628.7694116272</v>
      </c>
      <c r="BB92" s="8">
        <v>0</v>
      </c>
      <c r="BC92" s="8">
        <v>104681.43847058136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25594611.706057142</v>
      </c>
      <c r="BJ92" s="8">
        <v>0</v>
      </c>
      <c r="BK92" s="8">
        <v>52340.719235290679</v>
      </c>
      <c r="BL92" s="8">
        <v>9159625.8661758695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6">
        <v>115411285.91381595</v>
      </c>
    </row>
    <row r="93" spans="2:96" ht="15.95" customHeight="1" x14ac:dyDescent="0.25">
      <c r="B93" s="7" t="s">
        <v>80</v>
      </c>
      <c r="C93" s="8">
        <v>103486216.90321863</v>
      </c>
      <c r="D93" s="8">
        <v>2229679.6147766071</v>
      </c>
      <c r="E93" s="8">
        <v>969425.91946809017</v>
      </c>
      <c r="F93" s="8">
        <v>48471.295973404507</v>
      </c>
      <c r="G93" s="8">
        <v>5961969.4047287544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1357196.2872553263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6">
        <v>114052959.42542082</v>
      </c>
    </row>
    <row r="94" spans="2:96" ht="15.95" customHeight="1" x14ac:dyDescent="0.25">
      <c r="B94" s="7" t="s">
        <v>81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6">
        <v>0</v>
      </c>
    </row>
    <row r="95" spans="2:96" ht="15.95" customHeight="1" x14ac:dyDescent="0.25">
      <c r="B95" s="7" t="s">
        <v>82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36397809.815739498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6">
        <v>36397809.815739498</v>
      </c>
    </row>
    <row r="96" spans="2:96" ht="15.95" customHeight="1" x14ac:dyDescent="0.25">
      <c r="B96" s="7" t="s">
        <v>83</v>
      </c>
      <c r="C96" s="8">
        <v>21008572.839789994</v>
      </c>
      <c r="D96" s="8">
        <v>5333758.9175216444</v>
      </c>
      <c r="E96" s="8">
        <v>2643889.1185990912</v>
      </c>
      <c r="F96" s="8">
        <v>2213969.757574717</v>
      </c>
      <c r="G96" s="8">
        <v>487395.21142870199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424063.86338748108</v>
      </c>
      <c r="U96" s="8">
        <v>333654.30875664752</v>
      </c>
      <c r="V96" s="8">
        <v>1440095.0487625627</v>
      </c>
      <c r="W96" s="8">
        <v>0</v>
      </c>
      <c r="X96" s="8">
        <v>20764061.046881434</v>
      </c>
      <c r="Y96" s="8">
        <v>0</v>
      </c>
      <c r="Z96" s="8">
        <v>20475611.515440203</v>
      </c>
      <c r="AA96" s="8">
        <v>10306689.227915023</v>
      </c>
      <c r="AB96" s="8">
        <v>525236.46023627091</v>
      </c>
      <c r="AC96" s="8">
        <v>191582.15147962343</v>
      </c>
      <c r="AD96" s="8">
        <v>10416472.258538177</v>
      </c>
      <c r="AE96" s="8">
        <v>331501.70031305624</v>
      </c>
      <c r="AF96" s="8">
        <v>0</v>
      </c>
      <c r="AG96" s="8">
        <v>0</v>
      </c>
      <c r="AH96" s="8">
        <v>790007.29879799776</v>
      </c>
      <c r="AI96" s="8">
        <v>232481.71190785762</v>
      </c>
      <c r="AJ96" s="8">
        <v>62425.644864146961</v>
      </c>
      <c r="AK96" s="8">
        <v>0</v>
      </c>
      <c r="AL96" s="8">
        <v>869653.81121087482</v>
      </c>
      <c r="AM96" s="8">
        <v>75341.295525694601</v>
      </c>
      <c r="AN96" s="8">
        <v>471421.24914648908</v>
      </c>
      <c r="AO96" s="8">
        <v>2234407.5644477429</v>
      </c>
      <c r="AP96" s="8">
        <v>3263354.4004843719</v>
      </c>
      <c r="AQ96" s="8">
        <v>637172.09930301725</v>
      </c>
      <c r="AR96" s="8">
        <v>68883.470194920781</v>
      </c>
      <c r="AS96" s="8">
        <v>0</v>
      </c>
      <c r="AT96" s="8">
        <v>1201155.5115239311</v>
      </c>
      <c r="AU96" s="8">
        <v>1472384.1754164316</v>
      </c>
      <c r="AV96" s="8">
        <v>936384.67296220432</v>
      </c>
      <c r="AW96" s="8">
        <v>4305.2168871825488</v>
      </c>
      <c r="AX96" s="8">
        <v>68883.470194920781</v>
      </c>
      <c r="AY96" s="8">
        <v>1102135.5231187325</v>
      </c>
      <c r="AZ96" s="8">
        <v>90409.554630833532</v>
      </c>
      <c r="BA96" s="8">
        <v>480031.68292085419</v>
      </c>
      <c r="BB96" s="8">
        <v>163598.24171293684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178666.50081807579</v>
      </c>
      <c r="BI96" s="8">
        <v>68883.470194920781</v>
      </c>
      <c r="BJ96" s="8">
        <v>191582.15147962343</v>
      </c>
      <c r="BK96" s="8">
        <v>458505.59848494147</v>
      </c>
      <c r="BL96" s="8">
        <v>0</v>
      </c>
      <c r="BM96" s="8">
        <v>0</v>
      </c>
      <c r="BN96" s="8">
        <v>0</v>
      </c>
      <c r="BO96" s="8">
        <v>0</v>
      </c>
      <c r="BP96" s="8">
        <v>47357.385759008037</v>
      </c>
      <c r="BQ96" s="8">
        <v>0</v>
      </c>
      <c r="BR96" s="8">
        <v>6457.8253307738232</v>
      </c>
      <c r="BS96" s="8">
        <v>0</v>
      </c>
      <c r="BT96" s="8">
        <v>0</v>
      </c>
      <c r="BU96" s="8">
        <v>0</v>
      </c>
      <c r="BV96" s="8">
        <v>501557.76735676691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6">
        <v>112574000.72129987</v>
      </c>
    </row>
    <row r="97" spans="2:96" ht="15.95" customHeight="1" x14ac:dyDescent="0.25">
      <c r="B97" s="7" t="s">
        <v>84</v>
      </c>
      <c r="C97" s="8">
        <v>32377098.429174758</v>
      </c>
      <c r="D97" s="8">
        <v>11656523.574441921</v>
      </c>
      <c r="E97" s="8">
        <v>29788466.834718794</v>
      </c>
      <c r="F97" s="8">
        <v>9064051.2802909166</v>
      </c>
      <c r="G97" s="8">
        <v>6475419.6858349517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6">
        <v>89361559.80446133</v>
      </c>
    </row>
    <row r="98" spans="2:96" ht="15.95" customHeight="1" x14ac:dyDescent="0.25">
      <c r="B98" s="7" t="s">
        <v>85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7379966.0654390557</v>
      </c>
      <c r="K98" s="8">
        <v>3963338.4723103452</v>
      </c>
      <c r="L98" s="8">
        <v>6286674.8181474442</v>
      </c>
      <c r="M98" s="8">
        <v>0</v>
      </c>
      <c r="N98" s="8">
        <v>0</v>
      </c>
      <c r="O98" s="8">
        <v>546623.87180052896</v>
      </c>
      <c r="P98" s="8">
        <v>0</v>
      </c>
      <c r="Q98" s="8">
        <v>3826671.6284375745</v>
      </c>
      <c r="R98" s="8">
        <v>1640002.1264732464</v>
      </c>
      <c r="S98" s="8">
        <v>1230001.5948549348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2460003.1897098697</v>
      </c>
      <c r="BD98" s="8">
        <v>16125373.765532216</v>
      </c>
      <c r="BE98" s="8">
        <v>10113368.198430296</v>
      </c>
      <c r="BF98" s="8">
        <v>1230001.5948549348</v>
      </c>
      <c r="BG98" s="8">
        <v>4510005.8478014274</v>
      </c>
      <c r="BH98" s="8">
        <v>0</v>
      </c>
      <c r="BI98" s="8">
        <v>0</v>
      </c>
      <c r="BJ98" s="8">
        <v>63989578.43465165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1065840.4185525633</v>
      </c>
      <c r="BW98" s="8">
        <v>0</v>
      </c>
      <c r="BX98" s="8">
        <v>1065840.4185525633</v>
      </c>
      <c r="BY98" s="8">
        <v>2131680.8371051266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6">
        <v>127564971.28265378</v>
      </c>
    </row>
    <row r="99" spans="2:96" ht="15.95" customHeight="1" x14ac:dyDescent="0.25">
      <c r="B99" s="7" t="s">
        <v>86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6">
        <v>0</v>
      </c>
    </row>
    <row r="100" spans="2:96" ht="15.95" customHeight="1" x14ac:dyDescent="0.25">
      <c r="B100" s="7" t="s">
        <v>87</v>
      </c>
      <c r="C100" s="8">
        <v>71621874.641721755</v>
      </c>
      <c r="D100" s="8">
        <v>21731995.607799686</v>
      </c>
      <c r="E100" s="8">
        <v>8724035.1977922767</v>
      </c>
      <c r="F100" s="8">
        <v>6693633.1440861458</v>
      </c>
      <c r="G100" s="8">
        <v>2164274.7165878536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5466467.0676703528</v>
      </c>
      <c r="U100" s="8">
        <v>4283925.212215133</v>
      </c>
      <c r="V100" s="8">
        <v>0</v>
      </c>
      <c r="W100" s="8">
        <v>0</v>
      </c>
      <c r="X100" s="8">
        <v>6448199.9288029866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2766701.699555607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4261613.1017348459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6">
        <v>134162720.31796663</v>
      </c>
    </row>
    <row r="101" spans="2:96" ht="15.95" customHeight="1" x14ac:dyDescent="0.25">
      <c r="B101" s="7" t="s">
        <v>88</v>
      </c>
      <c r="C101" s="8">
        <v>6169683.8218395254</v>
      </c>
      <c r="D101" s="8">
        <v>2772337.959456264</v>
      </c>
      <c r="E101" s="8">
        <v>637974.87186739105</v>
      </c>
      <c r="F101" s="8">
        <v>637974.87186739105</v>
      </c>
      <c r="G101" s="8">
        <v>300833.67941714375</v>
      </c>
      <c r="H101" s="8">
        <v>0</v>
      </c>
      <c r="I101" s="8">
        <v>0</v>
      </c>
      <c r="J101" s="8">
        <v>477184.45700650383</v>
      </c>
      <c r="K101" s="8">
        <v>111515.93288738948</v>
      </c>
      <c r="L101" s="8">
        <v>238592.22850325191</v>
      </c>
      <c r="M101" s="8">
        <v>0</v>
      </c>
      <c r="N101" s="8">
        <v>0</v>
      </c>
      <c r="O101" s="8">
        <v>0</v>
      </c>
      <c r="P101" s="8">
        <v>0</v>
      </c>
      <c r="Q101" s="8">
        <v>435690.15639724268</v>
      </c>
      <c r="R101" s="8">
        <v>12966.968940394127</v>
      </c>
      <c r="S101" s="8">
        <v>82988.60121852241</v>
      </c>
      <c r="T101" s="8">
        <v>1991726.4292445378</v>
      </c>
      <c r="U101" s="8">
        <v>1838716.1957478873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365668.52411911439</v>
      </c>
      <c r="BD101" s="8">
        <v>2595987.1818669043</v>
      </c>
      <c r="BE101" s="8">
        <v>871380.31279448536</v>
      </c>
      <c r="BF101" s="8">
        <v>181537.56516551776</v>
      </c>
      <c r="BG101" s="8">
        <v>912874.61340374651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1275949.7437347821</v>
      </c>
      <c r="BY101" s="8">
        <v>765051.16748325352</v>
      </c>
      <c r="BZ101" s="8">
        <v>0</v>
      </c>
      <c r="CA101" s="8">
        <v>0</v>
      </c>
      <c r="CB101" s="8">
        <v>0</v>
      </c>
      <c r="CC101" s="8">
        <v>0</v>
      </c>
      <c r="CD101" s="8">
        <v>510898.57625152858</v>
      </c>
      <c r="CE101" s="8">
        <v>0</v>
      </c>
      <c r="CF101" s="8">
        <v>0</v>
      </c>
      <c r="CG101" s="8">
        <v>0</v>
      </c>
      <c r="CH101" s="8">
        <v>0</v>
      </c>
      <c r="CI101" s="8">
        <v>2554492.881257643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6">
        <v>25742026.740470413</v>
      </c>
    </row>
    <row r="102" spans="2:96" ht="15.95" customHeight="1" x14ac:dyDescent="0.25">
      <c r="B102" s="7" t="s">
        <v>89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13447269.031357177</v>
      </c>
      <c r="CR102" s="6">
        <v>13447269.031357177</v>
      </c>
    </row>
    <row r="103" spans="2:96" ht="15.95" customHeight="1" x14ac:dyDescent="0.25">
      <c r="B103" s="7" t="s">
        <v>90</v>
      </c>
      <c r="C103" s="8">
        <v>6042897.9015639964</v>
      </c>
      <c r="D103" s="8">
        <v>5438608.1114075966</v>
      </c>
      <c r="E103" s="8">
        <v>0</v>
      </c>
      <c r="F103" s="8">
        <v>0</v>
      </c>
      <c r="G103" s="8">
        <v>4230028.531094797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2417159.1606255984</v>
      </c>
      <c r="U103" s="8">
        <v>1812869.3704691988</v>
      </c>
      <c r="V103" s="8">
        <v>1812869.3704691988</v>
      </c>
      <c r="W103" s="8">
        <v>0</v>
      </c>
      <c r="X103" s="8">
        <v>6647187.6917203953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604289.7901563996</v>
      </c>
      <c r="AE103" s="8">
        <v>0</v>
      </c>
      <c r="AF103" s="8">
        <v>0</v>
      </c>
      <c r="AG103" s="8">
        <v>0</v>
      </c>
      <c r="AH103" s="8">
        <v>0</v>
      </c>
      <c r="AI103" s="8">
        <v>604289.7901563996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  <c r="BD103" s="8">
        <v>9064346.8523459937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604289.7901563996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3625738.7409383976</v>
      </c>
      <c r="BZ103" s="8">
        <v>3625738.7409383976</v>
      </c>
      <c r="CA103" s="8">
        <v>0</v>
      </c>
      <c r="CB103" s="8">
        <v>0</v>
      </c>
      <c r="CC103" s="8">
        <v>0</v>
      </c>
      <c r="CD103" s="8">
        <v>604289.7901563996</v>
      </c>
      <c r="CE103" s="8">
        <v>1812869.3704691988</v>
      </c>
      <c r="CF103" s="8">
        <v>0</v>
      </c>
      <c r="CG103" s="8">
        <v>9064346.8523459937</v>
      </c>
      <c r="CH103" s="8">
        <v>604289.7901563996</v>
      </c>
      <c r="CI103" s="8">
        <v>1208579.5803127992</v>
      </c>
      <c r="CJ103" s="8">
        <v>1812869.3704691988</v>
      </c>
      <c r="CK103" s="8">
        <v>0</v>
      </c>
      <c r="CL103" s="8">
        <v>3625738.7409383976</v>
      </c>
      <c r="CM103" s="8">
        <v>0</v>
      </c>
      <c r="CN103" s="8">
        <v>0</v>
      </c>
      <c r="CO103" s="8">
        <v>0</v>
      </c>
      <c r="CP103" s="8">
        <v>0</v>
      </c>
      <c r="CQ103" s="8">
        <v>27797330.347194381</v>
      </c>
      <c r="CR103" s="6">
        <v>93060627.684085518</v>
      </c>
    </row>
    <row r="104" spans="2:96" ht="15.95" customHeight="1" x14ac:dyDescent="0.25">
      <c r="B104" s="7" t="s">
        <v>91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6">
        <v>0</v>
      </c>
    </row>
    <row r="105" spans="2:96" ht="15.95" customHeight="1" x14ac:dyDescent="0.25">
      <c r="B105" s="5" t="s">
        <v>92</v>
      </c>
      <c r="C105" s="8">
        <v>98267991.877633825</v>
      </c>
      <c r="D105" s="8">
        <v>32250809.565054815</v>
      </c>
      <c r="E105" s="8">
        <v>41551495.088879049</v>
      </c>
      <c r="F105" s="8">
        <v>11104472.104439899</v>
      </c>
      <c r="G105" s="8">
        <v>8061856.0405567382</v>
      </c>
      <c r="H105" s="8">
        <v>0</v>
      </c>
      <c r="I105" s="8">
        <v>0</v>
      </c>
      <c r="J105" s="8">
        <v>7509544.4128649756</v>
      </c>
      <c r="K105" s="8">
        <v>4859931.8422808237</v>
      </c>
      <c r="L105" s="8">
        <v>7077252.6784127308</v>
      </c>
      <c r="M105" s="8">
        <v>0</v>
      </c>
      <c r="N105" s="8">
        <v>0</v>
      </c>
      <c r="O105" s="8">
        <v>1164326.9911719521</v>
      </c>
      <c r="P105" s="8">
        <v>0</v>
      </c>
      <c r="Q105" s="8">
        <v>28833975.322805904</v>
      </c>
      <c r="R105" s="8">
        <v>2830192.7284206469</v>
      </c>
      <c r="S105" s="8">
        <v>2103741.3178582522</v>
      </c>
      <c r="T105" s="8">
        <v>21534942.14582821</v>
      </c>
      <c r="U105" s="8">
        <v>19601289.839568499</v>
      </c>
      <c r="V105" s="8">
        <v>12106699.585205883</v>
      </c>
      <c r="W105" s="8">
        <v>0</v>
      </c>
      <c r="X105" s="8">
        <v>89892134.635883704</v>
      </c>
      <c r="Y105" s="8">
        <v>0</v>
      </c>
      <c r="Z105" s="8">
        <v>37881965.714273818</v>
      </c>
      <c r="AA105" s="8">
        <v>12916028.074238079</v>
      </c>
      <c r="AB105" s="8">
        <v>1201068.0511867579</v>
      </c>
      <c r="AC105" s="8">
        <v>4065666.2088626539</v>
      </c>
      <c r="AD105" s="8">
        <v>35480939.023046993</v>
      </c>
      <c r="AE105" s="8">
        <v>1529747.7521324595</v>
      </c>
      <c r="AF105" s="8">
        <v>0</v>
      </c>
      <c r="AG105" s="8">
        <v>0</v>
      </c>
      <c r="AH105" s="8">
        <v>7563843.556286213</v>
      </c>
      <c r="AI105" s="8">
        <v>4896303.9108520169</v>
      </c>
      <c r="AJ105" s="8">
        <v>767122.57952009852</v>
      </c>
      <c r="AK105" s="8">
        <v>0</v>
      </c>
      <c r="AL105" s="8">
        <v>1410860.3293051312</v>
      </c>
      <c r="AM105" s="8">
        <v>240937.96196562637</v>
      </c>
      <c r="AN105" s="8">
        <v>3145686.327785694</v>
      </c>
      <c r="AO105" s="8">
        <v>2892034.4488128228</v>
      </c>
      <c r="AP105" s="8">
        <v>2221345.2686742512</v>
      </c>
      <c r="AQ105" s="8">
        <v>1776350.1278995767</v>
      </c>
      <c r="AR105" s="8">
        <v>393561.43012350588</v>
      </c>
      <c r="AS105" s="8">
        <v>0</v>
      </c>
      <c r="AT105" s="8">
        <v>3942036.4187638317</v>
      </c>
      <c r="AU105" s="8">
        <v>2850456.9070361708</v>
      </c>
      <c r="AV105" s="8">
        <v>1986219.6689485935</v>
      </c>
      <c r="AW105" s="8">
        <v>342592.21202247939</v>
      </c>
      <c r="AX105" s="8">
        <v>641053.26958300674</v>
      </c>
      <c r="AY105" s="8">
        <v>3796323.647527677</v>
      </c>
      <c r="AZ105" s="8">
        <v>123643.14961263783</v>
      </c>
      <c r="BA105" s="8">
        <v>1838828.5294133341</v>
      </c>
      <c r="BB105" s="8">
        <v>940482.69844882085</v>
      </c>
      <c r="BC105" s="8">
        <v>3127164.6391537958</v>
      </c>
      <c r="BD105" s="8">
        <v>16842588.522911608</v>
      </c>
      <c r="BE105" s="8">
        <v>10907831.960929079</v>
      </c>
      <c r="BF105" s="8">
        <v>2487540.0046427567</v>
      </c>
      <c r="BG105" s="8">
        <v>5114997.1871148394</v>
      </c>
      <c r="BH105" s="8">
        <v>734820.04583418067</v>
      </c>
      <c r="BI105" s="8">
        <v>5942668.221964133</v>
      </c>
      <c r="BJ105" s="8">
        <v>28524455.256232288</v>
      </c>
      <c r="BK105" s="8">
        <v>5163254.3387433076</v>
      </c>
      <c r="BL105" s="8">
        <v>7737420.2771339091</v>
      </c>
      <c r="BM105" s="8">
        <v>2956188.4604064436</v>
      </c>
      <c r="BN105" s="8">
        <v>2193672.5357112382</v>
      </c>
      <c r="BO105" s="8">
        <v>1964174.4541767857</v>
      </c>
      <c r="BP105" s="8">
        <v>3189239.8109285454</v>
      </c>
      <c r="BQ105" s="8">
        <v>4902566.9358733892</v>
      </c>
      <c r="BR105" s="8">
        <v>2732419.3026969722</v>
      </c>
      <c r="BS105" s="8">
        <v>2466098.7838916215</v>
      </c>
      <c r="BT105" s="8">
        <v>3067600.6955614644</v>
      </c>
      <c r="BU105" s="8">
        <v>4718845.2566220639</v>
      </c>
      <c r="BV105" s="8">
        <v>5576228.069339958</v>
      </c>
      <c r="BW105" s="8">
        <v>1816575.176280065</v>
      </c>
      <c r="BX105" s="8">
        <v>5624215.9838196691</v>
      </c>
      <c r="BY105" s="8">
        <v>5887127.1968743484</v>
      </c>
      <c r="BZ105" s="8">
        <v>41442011.848942302</v>
      </c>
      <c r="CA105" s="8">
        <v>5861462.0701339785</v>
      </c>
      <c r="CB105" s="8">
        <v>0</v>
      </c>
      <c r="CC105" s="8">
        <v>4885489.7827303875</v>
      </c>
      <c r="CD105" s="8">
        <v>27069551.294183247</v>
      </c>
      <c r="CE105" s="8">
        <v>26596634.513740879</v>
      </c>
      <c r="CF105" s="8">
        <v>0</v>
      </c>
      <c r="CG105" s="8">
        <v>5099671.1071619717</v>
      </c>
      <c r="CH105" s="8">
        <v>26532564.939914368</v>
      </c>
      <c r="CI105" s="8">
        <v>20283587.456793096</v>
      </c>
      <c r="CJ105" s="8">
        <v>29798467.662094664</v>
      </c>
      <c r="CK105" s="8">
        <v>0</v>
      </c>
      <c r="CL105" s="8">
        <v>30932302.244513232</v>
      </c>
      <c r="CM105" s="8">
        <v>6099881.7492398471</v>
      </c>
      <c r="CN105" s="8">
        <v>3186491.5598325902</v>
      </c>
      <c r="CO105" s="8">
        <v>22051831.042911276</v>
      </c>
      <c r="CP105" s="8">
        <v>0</v>
      </c>
      <c r="CQ105" s="8">
        <v>0</v>
      </c>
      <c r="CR105" s="6">
        <v>907113393.83222246</v>
      </c>
    </row>
    <row r="106" spans="2:96" ht="15.95" customHeight="1" x14ac:dyDescent="0.25">
      <c r="B106" s="11" t="s">
        <v>165</v>
      </c>
      <c r="C106" s="14">
        <v>661655047.17470098</v>
      </c>
      <c r="D106" s="14">
        <v>213446913.18017209</v>
      </c>
      <c r="E106" s="14">
        <v>254750840.33284292</v>
      </c>
      <c r="F106" s="14">
        <v>66514971.786349967</v>
      </c>
      <c r="G106" s="14">
        <v>55471561.148058414</v>
      </c>
      <c r="H106" s="14">
        <v>0</v>
      </c>
      <c r="I106" s="14">
        <v>0</v>
      </c>
      <c r="J106" s="14">
        <v>40635470.764368132</v>
      </c>
      <c r="K106" s="14">
        <v>24636526.384247851</v>
      </c>
      <c r="L106" s="14">
        <v>36391883.349413067</v>
      </c>
      <c r="M106" s="14">
        <v>0</v>
      </c>
      <c r="N106" s="14">
        <v>0</v>
      </c>
      <c r="O106" s="14">
        <v>7041010.792555023</v>
      </c>
      <c r="P106" s="14">
        <v>0</v>
      </c>
      <c r="Q106" s="14">
        <v>128095494.9255757</v>
      </c>
      <c r="R106" s="14">
        <v>14076024.975979988</v>
      </c>
      <c r="S106" s="14">
        <v>13747819.873561837</v>
      </c>
      <c r="T106" s="14">
        <v>109533207.17483501</v>
      </c>
      <c r="U106" s="14">
        <v>97552229.226262331</v>
      </c>
      <c r="V106" s="14">
        <v>58198816.64405062</v>
      </c>
      <c r="W106" s="14">
        <v>0</v>
      </c>
      <c r="X106" s="14">
        <v>528263466.90999901</v>
      </c>
      <c r="Y106" s="14">
        <v>0</v>
      </c>
      <c r="Z106" s="14">
        <v>209867707.32113391</v>
      </c>
      <c r="AA106" s="14">
        <v>72531885.491250962</v>
      </c>
      <c r="AB106" s="14">
        <v>14903675.054365449</v>
      </c>
      <c r="AC106" s="14">
        <v>30380509.459573574</v>
      </c>
      <c r="AD106" s="14">
        <v>160753382.88550198</v>
      </c>
      <c r="AE106" s="14">
        <v>6787169.0657462049</v>
      </c>
      <c r="AF106" s="14">
        <v>0</v>
      </c>
      <c r="AG106" s="14">
        <v>0</v>
      </c>
      <c r="AH106" s="14">
        <v>32934334.842061151</v>
      </c>
      <c r="AI106" s="14">
        <v>24699340.50994765</v>
      </c>
      <c r="AJ106" s="14">
        <v>3299749.0499754366</v>
      </c>
      <c r="AK106" s="14">
        <v>0</v>
      </c>
      <c r="AL106" s="14">
        <v>6823606.0052133426</v>
      </c>
      <c r="AM106" s="14">
        <v>1092120.2618534616</v>
      </c>
      <c r="AN106" s="14">
        <v>16206502.488255668</v>
      </c>
      <c r="AO106" s="14">
        <v>41886632.682425246</v>
      </c>
      <c r="AP106" s="14">
        <v>24175125.689986024</v>
      </c>
      <c r="AQ106" s="14">
        <v>18540672.17059847</v>
      </c>
      <c r="AR106" s="14">
        <v>1729746.6270126323</v>
      </c>
      <c r="AS106" s="14">
        <v>0</v>
      </c>
      <c r="AT106" s="14">
        <v>35650115.194824263</v>
      </c>
      <c r="AU106" s="14">
        <v>14391350.235602394</v>
      </c>
      <c r="AV106" s="14">
        <v>9318402.871412605</v>
      </c>
      <c r="AW106" s="14">
        <v>1868799.6340815024</v>
      </c>
      <c r="AX106" s="14">
        <v>3402272.1520773442</v>
      </c>
      <c r="AY106" s="14">
        <v>33873138.037713036</v>
      </c>
      <c r="AZ106" s="14">
        <v>1344964.3722933773</v>
      </c>
      <c r="BA106" s="14">
        <v>17086787.474871926</v>
      </c>
      <c r="BB106" s="14">
        <v>4132516.2908926136</v>
      </c>
      <c r="BC106" s="14">
        <v>16127257.464909159</v>
      </c>
      <c r="BD106" s="14">
        <v>98862883.056391299</v>
      </c>
      <c r="BE106" s="14">
        <v>57016739.550033078</v>
      </c>
      <c r="BF106" s="14">
        <v>11909172.384711184</v>
      </c>
      <c r="BG106" s="14">
        <v>27008609.460714355</v>
      </c>
      <c r="BH106" s="14">
        <v>3279670.4295671424</v>
      </c>
      <c r="BI106" s="14">
        <v>50742067.281131081</v>
      </c>
      <c r="BJ106" s="14">
        <v>221065821.78537586</v>
      </c>
      <c r="BK106" s="14">
        <v>22334013.84162828</v>
      </c>
      <c r="BL106" s="14">
        <v>180814082.39858878</v>
      </c>
      <c r="BM106" s="14">
        <v>12475370.10158225</v>
      </c>
      <c r="BN106" s="14">
        <v>9257487.1768870428</v>
      </c>
      <c r="BO106" s="14">
        <v>13031465.48034481</v>
      </c>
      <c r="BP106" s="14">
        <v>13506224.273617549</v>
      </c>
      <c r="BQ106" s="14">
        <v>35904711.658834048</v>
      </c>
      <c r="BR106" s="14">
        <v>11537502.794353252</v>
      </c>
      <c r="BS106" s="14">
        <v>10407149.425067427</v>
      </c>
      <c r="BT106" s="14">
        <v>12945539.336737271</v>
      </c>
      <c r="BU106" s="14">
        <v>19913933.707853738</v>
      </c>
      <c r="BV106" s="14">
        <v>25470318.692956872</v>
      </c>
      <c r="BW106" s="14">
        <v>7666103.817455871</v>
      </c>
      <c r="BX106" s="14">
        <v>26083639.935893375</v>
      </c>
      <c r="BY106" s="14">
        <v>35275407.758431062</v>
      </c>
      <c r="BZ106" s="14">
        <v>178514600.69753695</v>
      </c>
      <c r="CA106" s="14">
        <v>24735875.144866139</v>
      </c>
      <c r="CB106" s="14">
        <v>0</v>
      </c>
      <c r="CC106" s="14">
        <v>20617187.971392229</v>
      </c>
      <c r="CD106" s="14">
        <v>115411285.91381785</v>
      </c>
      <c r="CE106" s="14">
        <v>114052959.42542268</v>
      </c>
      <c r="CF106" s="14">
        <v>0</v>
      </c>
      <c r="CG106" s="14">
        <v>36397809.815740079</v>
      </c>
      <c r="CH106" s="14">
        <v>112574000.72130176</v>
      </c>
      <c r="CI106" s="14">
        <v>89361559.804462776</v>
      </c>
      <c r="CJ106" s="14">
        <v>127564971.28265586</v>
      </c>
      <c r="CK106" s="14">
        <v>0</v>
      </c>
      <c r="CL106" s="14">
        <v>134162720.31796885</v>
      </c>
      <c r="CM106" s="14">
        <v>25742026.740470849</v>
      </c>
      <c r="CN106" s="14">
        <v>13447269.0313574</v>
      </c>
      <c r="CO106" s="14">
        <v>93060627.684087083</v>
      </c>
      <c r="CP106" s="14">
        <v>0</v>
      </c>
      <c r="CQ106" s="14">
        <v>907113393.83222246</v>
      </c>
      <c r="CR106" s="2"/>
    </row>
    <row r="107" spans="2:96" ht="15.95" customHeight="1" x14ac:dyDescent="0.25">
      <c r="B107" s="5" t="s">
        <v>166</v>
      </c>
      <c r="C107" s="8">
        <v>227</v>
      </c>
      <c r="D107" s="8">
        <v>127</v>
      </c>
      <c r="E107" s="8">
        <v>99</v>
      </c>
      <c r="F107" s="8">
        <v>23</v>
      </c>
      <c r="G107" s="8">
        <v>35</v>
      </c>
      <c r="H107" s="8">
        <v>0</v>
      </c>
      <c r="I107" s="8">
        <v>0</v>
      </c>
      <c r="J107" s="8">
        <v>59</v>
      </c>
      <c r="K107" s="8">
        <v>28</v>
      </c>
      <c r="L107" s="8">
        <v>36</v>
      </c>
      <c r="M107" s="8">
        <v>0</v>
      </c>
      <c r="N107" s="8">
        <v>0</v>
      </c>
      <c r="O107" s="8">
        <v>5</v>
      </c>
      <c r="P107" s="8">
        <v>0</v>
      </c>
      <c r="Q107" s="8">
        <v>44</v>
      </c>
      <c r="R107" s="8">
        <v>18</v>
      </c>
      <c r="S107" s="8">
        <v>13</v>
      </c>
      <c r="T107" s="8">
        <v>26</v>
      </c>
      <c r="U107" s="8">
        <v>63</v>
      </c>
      <c r="V107" s="8">
        <v>646</v>
      </c>
      <c r="W107" s="8">
        <v>0</v>
      </c>
      <c r="X107" s="8">
        <v>3364</v>
      </c>
      <c r="Y107" s="8">
        <v>0</v>
      </c>
      <c r="Z107" s="8">
        <v>409</v>
      </c>
      <c r="AA107" s="8">
        <v>154</v>
      </c>
      <c r="AB107" s="8">
        <v>27</v>
      </c>
      <c r="AC107" s="8">
        <v>90</v>
      </c>
      <c r="AD107" s="8">
        <v>387</v>
      </c>
      <c r="AE107" s="8">
        <v>82</v>
      </c>
      <c r="AF107" s="8">
        <v>0</v>
      </c>
      <c r="AG107" s="8">
        <v>0</v>
      </c>
      <c r="AH107" s="8">
        <v>140</v>
      </c>
      <c r="AI107" s="8">
        <v>176</v>
      </c>
      <c r="AJ107" s="8">
        <v>72</v>
      </c>
      <c r="AK107" s="8">
        <v>0</v>
      </c>
      <c r="AL107" s="8">
        <v>110</v>
      </c>
      <c r="AM107" s="8">
        <v>32</v>
      </c>
      <c r="AN107" s="8">
        <v>233</v>
      </c>
      <c r="AO107" s="8">
        <v>154</v>
      </c>
      <c r="AP107" s="8">
        <v>634</v>
      </c>
      <c r="AQ107" s="8">
        <v>128</v>
      </c>
      <c r="AR107" s="8">
        <v>17</v>
      </c>
      <c r="AS107" s="8">
        <v>0</v>
      </c>
      <c r="AT107" s="8">
        <v>378</v>
      </c>
      <c r="AU107" s="8">
        <v>268</v>
      </c>
      <c r="AV107" s="8">
        <v>66</v>
      </c>
      <c r="AW107" s="8">
        <v>86</v>
      </c>
      <c r="AX107" s="8">
        <v>130</v>
      </c>
      <c r="AY107" s="8">
        <v>349</v>
      </c>
      <c r="AZ107" s="8">
        <v>20</v>
      </c>
      <c r="BA107" s="8">
        <v>158</v>
      </c>
      <c r="BB107" s="8">
        <v>161</v>
      </c>
      <c r="BC107" s="8">
        <v>20</v>
      </c>
      <c r="BD107" s="8">
        <v>119</v>
      </c>
      <c r="BE107" s="8">
        <v>89</v>
      </c>
      <c r="BF107" s="8">
        <v>19</v>
      </c>
      <c r="BG107" s="8">
        <v>30</v>
      </c>
      <c r="BH107" s="8">
        <v>88</v>
      </c>
      <c r="BI107" s="8">
        <v>1546</v>
      </c>
      <c r="BJ107" s="8">
        <v>1772</v>
      </c>
      <c r="BK107" s="8">
        <v>727</v>
      </c>
      <c r="BL107" s="8">
        <v>0</v>
      </c>
      <c r="BM107" s="8">
        <v>4</v>
      </c>
      <c r="BN107" s="8">
        <v>291</v>
      </c>
      <c r="BO107" s="8">
        <v>10</v>
      </c>
      <c r="BP107" s="8">
        <v>194</v>
      </c>
      <c r="BQ107" s="8">
        <v>346</v>
      </c>
      <c r="BR107" s="8">
        <v>888</v>
      </c>
      <c r="BS107" s="8">
        <v>141</v>
      </c>
      <c r="BT107" s="8">
        <v>3</v>
      </c>
      <c r="BU107" s="8">
        <v>55</v>
      </c>
      <c r="BV107" s="8">
        <v>117</v>
      </c>
      <c r="BW107" s="8">
        <v>58</v>
      </c>
      <c r="BX107" s="8">
        <v>132</v>
      </c>
      <c r="BY107" s="8">
        <v>37</v>
      </c>
      <c r="BZ107" s="8">
        <v>84531</v>
      </c>
      <c r="CA107" s="8">
        <v>17241</v>
      </c>
      <c r="CB107" s="8">
        <v>0</v>
      </c>
      <c r="CC107" s="8">
        <v>378</v>
      </c>
      <c r="CD107" s="8">
        <v>2205</v>
      </c>
      <c r="CE107" s="8">
        <v>2353</v>
      </c>
      <c r="CF107" s="8">
        <v>0</v>
      </c>
      <c r="CG107" s="8">
        <v>73</v>
      </c>
      <c r="CH107" s="8">
        <v>52296.552611067811</v>
      </c>
      <c r="CI107" s="8">
        <v>23267</v>
      </c>
      <c r="CJ107" s="8">
        <v>58645.585999999996</v>
      </c>
      <c r="CK107" s="8">
        <v>0</v>
      </c>
      <c r="CL107" s="8">
        <v>6013</v>
      </c>
      <c r="CM107" s="8">
        <v>9926</v>
      </c>
      <c r="CN107" s="8">
        <v>3540</v>
      </c>
      <c r="CO107" s="8">
        <v>154</v>
      </c>
      <c r="CP107" s="8">
        <v>0</v>
      </c>
      <c r="CQ107" s="8"/>
      <c r="CR107" s="2"/>
    </row>
    <row r="108" spans="2:96" ht="15.95" customHeight="1" x14ac:dyDescent="0.25">
      <c r="B108" s="11" t="s">
        <v>167</v>
      </c>
      <c r="C108" s="14">
        <v>2914779.9435008853</v>
      </c>
      <c r="D108" s="14">
        <v>1680684.3557493866</v>
      </c>
      <c r="E108" s="14">
        <v>2573240.8114428576</v>
      </c>
      <c r="F108" s="14">
        <v>2891955.2950586942</v>
      </c>
      <c r="G108" s="14">
        <v>1584901.7470873832</v>
      </c>
      <c r="H108" s="14">
        <v>0</v>
      </c>
      <c r="I108" s="14">
        <v>0</v>
      </c>
      <c r="J108" s="14">
        <v>688736.79261640902</v>
      </c>
      <c r="K108" s="14">
        <v>879875.94229456608</v>
      </c>
      <c r="L108" s="14">
        <v>1010885.6485948074</v>
      </c>
      <c r="M108" s="14">
        <v>0</v>
      </c>
      <c r="N108" s="14">
        <v>0</v>
      </c>
      <c r="O108" s="14">
        <v>1408202.1585110046</v>
      </c>
      <c r="P108" s="14">
        <v>0</v>
      </c>
      <c r="Q108" s="14">
        <v>2911261.2483085389</v>
      </c>
      <c r="R108" s="14">
        <v>782001.38755444379</v>
      </c>
      <c r="S108" s="14">
        <v>1057524.6056586029</v>
      </c>
      <c r="T108" s="14">
        <v>4212815.6605705777</v>
      </c>
      <c r="U108" s="14">
        <v>1548448.0829565448</v>
      </c>
      <c r="V108" s="14">
        <v>90091.047436610868</v>
      </c>
      <c r="W108" s="14">
        <v>0</v>
      </c>
      <c r="X108" s="14">
        <v>157034.32428953599</v>
      </c>
      <c r="Y108" s="14">
        <v>0</v>
      </c>
      <c r="Z108" s="14">
        <v>513123.97878027853</v>
      </c>
      <c r="AA108" s="14">
        <v>470986.26942370756</v>
      </c>
      <c r="AB108" s="14">
        <v>551987.96497649804</v>
      </c>
      <c r="AC108" s="14">
        <v>337561.21621748415</v>
      </c>
      <c r="AD108" s="14">
        <v>415383.41830879066</v>
      </c>
      <c r="AE108" s="14">
        <v>82770.354460319577</v>
      </c>
      <c r="AF108" s="14">
        <v>0</v>
      </c>
      <c r="AG108" s="14">
        <v>0</v>
      </c>
      <c r="AH108" s="14">
        <v>235245.24887186536</v>
      </c>
      <c r="AI108" s="14">
        <v>140337.16198833892</v>
      </c>
      <c r="AJ108" s="14">
        <v>45829.847916325511</v>
      </c>
      <c r="AK108" s="14">
        <v>0</v>
      </c>
      <c r="AL108" s="14">
        <v>62032.781865575838</v>
      </c>
      <c r="AM108" s="14">
        <v>34128.758182920676</v>
      </c>
      <c r="AN108" s="14">
        <v>69555.804670625192</v>
      </c>
      <c r="AO108" s="14">
        <v>271991.12131444964</v>
      </c>
      <c r="AP108" s="14">
        <v>38131.113075687732</v>
      </c>
      <c r="AQ108" s="14">
        <v>144849.00133280054</v>
      </c>
      <c r="AR108" s="14">
        <v>101749.80158897837</v>
      </c>
      <c r="AS108" s="14">
        <v>0</v>
      </c>
      <c r="AT108" s="14">
        <v>94312.474060381646</v>
      </c>
      <c r="AU108" s="14">
        <v>53699.068043292515</v>
      </c>
      <c r="AV108" s="14">
        <v>141187.92229413037</v>
      </c>
      <c r="AW108" s="14">
        <v>21730.228303273285</v>
      </c>
      <c r="AX108" s="14">
        <v>26171.324246748802</v>
      </c>
      <c r="AY108" s="14">
        <v>97057.702113790932</v>
      </c>
      <c r="AZ108" s="14">
        <v>67248.218614668862</v>
      </c>
      <c r="BA108" s="14">
        <v>108144.22452450586</v>
      </c>
      <c r="BB108" s="14">
        <v>25667.803049022445</v>
      </c>
      <c r="BC108" s="14">
        <v>806362.87324545789</v>
      </c>
      <c r="BD108" s="14">
        <v>830780.52988564118</v>
      </c>
      <c r="BE108" s="14">
        <v>640637.52303407947</v>
      </c>
      <c r="BF108" s="14">
        <v>626798.54656374652</v>
      </c>
      <c r="BG108" s="14">
        <v>900286.98202381178</v>
      </c>
      <c r="BH108" s="14">
        <v>37268.982154172074</v>
      </c>
      <c r="BI108" s="14">
        <v>32821.51829309902</v>
      </c>
      <c r="BJ108" s="14">
        <v>124754.97843418502</v>
      </c>
      <c r="BK108" s="14">
        <v>30720.789328236973</v>
      </c>
      <c r="BL108" s="14">
        <v>0</v>
      </c>
      <c r="BM108" s="14">
        <v>3118842.5253955624</v>
      </c>
      <c r="BN108" s="14">
        <v>31812.670710952036</v>
      </c>
      <c r="BO108" s="14">
        <v>1303146.548034481</v>
      </c>
      <c r="BP108" s="14">
        <v>69619.712750605919</v>
      </c>
      <c r="BQ108" s="14">
        <v>103770.84294460708</v>
      </c>
      <c r="BR108" s="14">
        <v>12992.683326974384</v>
      </c>
      <c r="BS108" s="14">
        <v>73809.570390549125</v>
      </c>
      <c r="BT108" s="14">
        <v>4315179.7789124241</v>
      </c>
      <c r="BU108" s="14">
        <v>362071.52196097706</v>
      </c>
      <c r="BV108" s="14">
        <v>217695.03156373394</v>
      </c>
      <c r="BW108" s="14">
        <v>132174.20374923915</v>
      </c>
      <c r="BX108" s="14">
        <v>197603.33284767708</v>
      </c>
      <c r="BY108" s="14">
        <v>953389.39887651522</v>
      </c>
      <c r="BZ108" s="14">
        <v>2111.8240727962161</v>
      </c>
      <c r="CA108" s="14">
        <v>1434.7123220733217</v>
      </c>
      <c r="CB108" s="14">
        <v>0</v>
      </c>
      <c r="CC108" s="14">
        <v>54542.825321143464</v>
      </c>
      <c r="CD108" s="14">
        <v>52340.719235291544</v>
      </c>
      <c r="CE108" s="14">
        <v>48471.295973405307</v>
      </c>
      <c r="CF108" s="14">
        <v>0</v>
      </c>
      <c r="CG108" s="14">
        <v>498600.13446219289</v>
      </c>
      <c r="CH108" s="14">
        <v>2152.6084435913103</v>
      </c>
      <c r="CI108" s="14">
        <v>3840.699695038586</v>
      </c>
      <c r="CJ108" s="14">
        <v>2175.1845276583285</v>
      </c>
      <c r="CK108" s="14">
        <v>0</v>
      </c>
      <c r="CL108" s="14">
        <v>22312.11048028752</v>
      </c>
      <c r="CM108" s="14">
        <v>2593.3937880788685</v>
      </c>
      <c r="CN108" s="14">
        <v>3798.6635681800567</v>
      </c>
      <c r="CO108" s="14">
        <v>604289.79015640961</v>
      </c>
      <c r="CP108" s="14">
        <v>0</v>
      </c>
      <c r="CQ108" s="14">
        <v>0</v>
      </c>
      <c r="CR108" s="4"/>
    </row>
    <row r="109" spans="2:96" ht="15.95" customHeight="1" x14ac:dyDescent="0.25">
      <c r="B109" s="5" t="s">
        <v>168</v>
      </c>
      <c r="C109" s="8">
        <v>1978</v>
      </c>
      <c r="D109" s="8">
        <v>611</v>
      </c>
      <c r="E109" s="8">
        <v>266</v>
      </c>
      <c r="F109" s="8">
        <v>69</v>
      </c>
      <c r="G109" s="8">
        <v>146</v>
      </c>
      <c r="H109" s="8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294</v>
      </c>
      <c r="U109" s="8">
        <v>280</v>
      </c>
      <c r="V109" s="8"/>
      <c r="W109" s="8"/>
      <c r="X109" s="8"/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/>
      <c r="BD109" s="8"/>
      <c r="BE109" s="8"/>
      <c r="BF109" s="8"/>
      <c r="BG109" s="8"/>
      <c r="BH109" s="8">
        <v>0</v>
      </c>
      <c r="BI109" s="8">
        <v>0</v>
      </c>
      <c r="BJ109" s="8">
        <v>0</v>
      </c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9"/>
    </row>
    <row r="110" spans="2:96" ht="15.95" customHeight="1" x14ac:dyDescent="0.25">
      <c r="B110" s="11" t="s">
        <v>169</v>
      </c>
      <c r="C110" s="14">
        <v>334507.1017061178</v>
      </c>
      <c r="D110" s="14">
        <v>349340.28343727021</v>
      </c>
      <c r="E110" s="14">
        <v>957709.9260633192</v>
      </c>
      <c r="F110" s="14">
        <v>963985.09835289803</v>
      </c>
      <c r="G110" s="14">
        <v>379942.19964423572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372561.92916610546</v>
      </c>
      <c r="U110" s="14">
        <v>348400.81866522261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O110" s="14">
        <v>0</v>
      </c>
      <c r="CP110" s="14">
        <v>0</v>
      </c>
      <c r="CQ110" s="14">
        <v>0</v>
      </c>
      <c r="CR110" s="4"/>
    </row>
    <row r="111" spans="2:96" ht="15.95" customHeight="1" x14ac:dyDescent="0.25">
      <c r="B111" s="5" t="s">
        <v>170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>
        <v>1</v>
      </c>
      <c r="U111" s="8">
        <v>8</v>
      </c>
      <c r="V111" s="8"/>
      <c r="W111" s="8"/>
      <c r="X111" s="8"/>
      <c r="Y111" s="5"/>
      <c r="Z111" s="5"/>
      <c r="AA111" s="5"/>
      <c r="AB111" s="5"/>
      <c r="AC111" s="5"/>
      <c r="AD111" s="5"/>
      <c r="AE111" s="5"/>
      <c r="AF111" s="5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9"/>
    </row>
    <row r="112" spans="2:96" ht="15.95" customHeight="1" x14ac:dyDescent="0.25">
      <c r="B112" s="11" t="s">
        <v>171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109533207.17483501</v>
      </c>
      <c r="U112" s="14">
        <v>12194028.653282791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O112" s="14">
        <v>0</v>
      </c>
      <c r="CP112" s="14">
        <v>0</v>
      </c>
      <c r="CQ112" s="14">
        <v>0</v>
      </c>
      <c r="CR112" s="4"/>
    </row>
    <row r="113" spans="2:96" ht="15.95" customHeight="1" x14ac:dyDescent="0.25">
      <c r="B113" s="5" t="s">
        <v>172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9"/>
    </row>
    <row r="114" spans="2:96" ht="15.95" customHeight="1" x14ac:dyDescent="0.25">
      <c r="B114" s="11" t="s">
        <v>173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/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O114" s="14">
        <v>0</v>
      </c>
      <c r="CP114" s="14">
        <v>0</v>
      </c>
      <c r="CQ114" s="14">
        <v>0</v>
      </c>
      <c r="CR114" s="4"/>
    </row>
    <row r="115" spans="2:96" ht="15.95" customHeight="1" x14ac:dyDescent="0.25">
      <c r="B115" s="5" t="s">
        <v>174</v>
      </c>
      <c r="C115" s="8">
        <v>63</v>
      </c>
      <c r="D115" s="8">
        <v>16</v>
      </c>
      <c r="E115" s="8">
        <v>12</v>
      </c>
      <c r="F115" s="8">
        <v>8</v>
      </c>
      <c r="G115" s="8">
        <v>10</v>
      </c>
      <c r="H115" s="8">
        <v>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>
        <v>3</v>
      </c>
      <c r="U115" s="8">
        <v>9</v>
      </c>
      <c r="V115" s="8"/>
      <c r="W115" s="8"/>
      <c r="X115" s="8"/>
      <c r="Y115" s="5"/>
      <c r="Z115" s="5"/>
      <c r="AA115" s="5"/>
      <c r="AB115" s="5"/>
      <c r="AC115" s="5"/>
      <c r="AD115" s="5"/>
      <c r="AE115" s="5"/>
      <c r="AF115" s="5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5"/>
      <c r="BG115" s="5"/>
      <c r="BH115" s="5"/>
      <c r="BI115" s="5"/>
      <c r="BJ115" s="5"/>
      <c r="BK115" s="5">
        <v>0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8"/>
      <c r="CM115" s="8"/>
      <c r="CN115" s="5"/>
      <c r="CO115" s="5"/>
      <c r="CP115" s="5"/>
      <c r="CQ115" s="5"/>
      <c r="CR115" s="9"/>
    </row>
    <row r="116" spans="2:96" ht="15.95" customHeight="1" x14ac:dyDescent="0.25">
      <c r="B116" s="11" t="s">
        <v>175</v>
      </c>
      <c r="C116" s="14">
        <v>10502461.066265095</v>
      </c>
      <c r="D116" s="14">
        <v>13340432.073760755</v>
      </c>
      <c r="E116" s="14">
        <v>21229236.694403578</v>
      </c>
      <c r="F116" s="14">
        <v>8314371.4732937459</v>
      </c>
      <c r="G116" s="14">
        <v>5547156.1148058418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36511069.058278337</v>
      </c>
      <c r="U116" s="14">
        <v>10839136.580695815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0</v>
      </c>
      <c r="BK116" s="14">
        <v>0</v>
      </c>
      <c r="BL116" s="14">
        <v>0</v>
      </c>
      <c r="BM116" s="14">
        <v>0</v>
      </c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O116" s="14">
        <v>0</v>
      </c>
      <c r="CP116" s="14">
        <v>0</v>
      </c>
      <c r="CQ116" s="14">
        <v>0</v>
      </c>
      <c r="CR116" s="4"/>
    </row>
    <row r="117" spans="2:96" ht="15.95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2"/>
    </row>
    <row r="118" spans="2:96" ht="15.95" customHeight="1" x14ac:dyDescent="0.25">
      <c r="B118" s="15" t="s">
        <v>176</v>
      </c>
      <c r="C118" s="15" t="s">
        <v>177</v>
      </c>
      <c r="D118" s="15" t="s">
        <v>178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2"/>
    </row>
    <row r="119" spans="2:96" ht="15.95" customHeight="1" x14ac:dyDescent="0.25">
      <c r="B119" s="16">
        <v>3786852108.1647177</v>
      </c>
      <c r="C119" s="16">
        <v>3786852108.1646943</v>
      </c>
      <c r="D119" s="17">
        <v>2.3365020751953125E-5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2"/>
    </row>
    <row r="120" spans="2:96" ht="15.95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2"/>
    </row>
  </sheetData>
  <conditionalFormatting sqref="D118">
    <cfRule type="expression" dxfId="1" priority="1">
      <formula>OR($D$119&gt;1000,$D$119&lt;(-1000))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298-40BC-4029-AD45-6AFE86E03F70}">
  <dimension ref="A2:G10"/>
  <sheetViews>
    <sheetView workbookViewId="0">
      <selection activeCell="G4" sqref="G4:G9"/>
    </sheetView>
  </sheetViews>
  <sheetFormatPr baseColWidth="10" defaultRowHeight="15" x14ac:dyDescent="0.25"/>
  <cols>
    <col min="1" max="1" width="40.7109375" style="10" customWidth="1"/>
    <col min="2" max="6" width="20.7109375" style="10" customWidth="1"/>
    <col min="7" max="7" width="12" bestFit="1" customWidth="1"/>
  </cols>
  <sheetData>
    <row r="2" spans="1:7" x14ac:dyDescent="0.25">
      <c r="A2" s="19">
        <v>121121</v>
      </c>
      <c r="B2" s="1">
        <v>701</v>
      </c>
      <c r="C2" s="1">
        <v>702</v>
      </c>
      <c r="D2" s="1">
        <v>704</v>
      </c>
      <c r="E2" s="1">
        <v>705</v>
      </c>
      <c r="F2" s="1">
        <v>706</v>
      </c>
    </row>
    <row r="3" spans="1:7" ht="51" x14ac:dyDescent="0.25">
      <c r="A3" s="18">
        <v>46113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</row>
    <row r="4" spans="1:7" x14ac:dyDescent="0.25">
      <c r="A4" s="11" t="s">
        <v>94</v>
      </c>
      <c r="B4" s="12">
        <v>7850658.5746927401</v>
      </c>
      <c r="C4" s="12">
        <v>50228469.634971514</v>
      </c>
      <c r="D4" s="12">
        <v>30684195.979116168</v>
      </c>
      <c r="E4" s="12">
        <v>4390182.121284917</v>
      </c>
      <c r="F4" s="12">
        <v>13919748.713631287</v>
      </c>
      <c r="G4" s="20">
        <f>SUM(B4:F4)</f>
        <v>107073255.02369663</v>
      </c>
    </row>
    <row r="5" spans="1:7" x14ac:dyDescent="0.25">
      <c r="A5" s="11" t="s">
        <v>104</v>
      </c>
      <c r="B5" s="12">
        <v>2118271.0987630566</v>
      </c>
      <c r="C5" s="12">
        <v>3126247.0987630566</v>
      </c>
      <c r="D5" s="12">
        <v>2666297.0987630566</v>
      </c>
      <c r="E5" s="12">
        <v>2738246.0987630566</v>
      </c>
      <c r="F5" s="12">
        <v>2265064.0987630566</v>
      </c>
      <c r="G5" s="20">
        <f t="shared" ref="G5:G10" si="0">SUM(B5:F5)</f>
        <v>12914125.493815282</v>
      </c>
    </row>
    <row r="6" spans="1:7" x14ac:dyDescent="0.25">
      <c r="A6" s="11" t="s">
        <v>142</v>
      </c>
      <c r="B6" s="12">
        <v>100810</v>
      </c>
      <c r="C6" s="12">
        <v>879870</v>
      </c>
      <c r="D6" s="12">
        <v>1773666</v>
      </c>
      <c r="E6" s="12">
        <v>881665</v>
      </c>
      <c r="F6" s="12">
        <v>285919</v>
      </c>
      <c r="G6" s="20">
        <f t="shared" si="0"/>
        <v>3921930</v>
      </c>
    </row>
    <row r="7" spans="1:7" x14ac:dyDescent="0.25">
      <c r="A7" s="11" t="s">
        <v>164</v>
      </c>
      <c r="B7" s="12">
        <v>6057517.7914533615</v>
      </c>
      <c r="C7" s="12">
        <v>44628296.322656721</v>
      </c>
      <c r="D7" s="12">
        <v>21892580.472153861</v>
      </c>
      <c r="E7" s="12">
        <v>3899079.1646632096</v>
      </c>
      <c r="F7" s="12">
        <v>10537877.648320014</v>
      </c>
      <c r="G7" s="20">
        <f t="shared" si="0"/>
        <v>87015351.399247169</v>
      </c>
    </row>
    <row r="8" spans="1:7" x14ac:dyDescent="0.25">
      <c r="A8" s="11" t="s">
        <v>165</v>
      </c>
      <c r="B8" s="14">
        <v>16127257.464909159</v>
      </c>
      <c r="C8" s="14">
        <v>98862883.056391299</v>
      </c>
      <c r="D8" s="14">
        <v>57016739.550033078</v>
      </c>
      <c r="E8" s="14">
        <v>11909172.384711184</v>
      </c>
      <c r="F8" s="14">
        <v>27008609.460714355</v>
      </c>
      <c r="G8" s="20">
        <f t="shared" si="0"/>
        <v>210924661.91675907</v>
      </c>
    </row>
    <row r="9" spans="1:7" x14ac:dyDescent="0.25">
      <c r="A9" s="5" t="s">
        <v>166</v>
      </c>
      <c r="B9" s="8">
        <v>20</v>
      </c>
      <c r="C9" s="8">
        <v>119</v>
      </c>
      <c r="D9" s="8">
        <v>89</v>
      </c>
      <c r="E9" s="8">
        <v>19</v>
      </c>
      <c r="F9" s="8">
        <v>30</v>
      </c>
      <c r="G9" s="20">
        <f t="shared" si="0"/>
        <v>277</v>
      </c>
    </row>
    <row r="10" spans="1:7" x14ac:dyDescent="0.25">
      <c r="A10" s="11" t="s">
        <v>167</v>
      </c>
      <c r="B10" s="14">
        <v>806362.87324545789</v>
      </c>
      <c r="C10" s="14">
        <v>830780.52988564118</v>
      </c>
      <c r="D10" s="14">
        <v>640637.52303407947</v>
      </c>
      <c r="E10" s="14">
        <v>626798.54656374652</v>
      </c>
      <c r="F10" s="14">
        <v>900286.98202381178</v>
      </c>
      <c r="G10" s="20">
        <f t="shared" si="0"/>
        <v>3804866.4547527367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Cubo 9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2026-04-01T18:56:54Z</dcterms:created>
  <dcterms:modified xsi:type="dcterms:W3CDTF">2026-05-04T19:58:09Z</dcterms:modified>
</cp:coreProperties>
</file>